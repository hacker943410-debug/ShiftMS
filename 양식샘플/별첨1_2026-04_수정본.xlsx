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184" documentId="11_E62D2C9431428F35136F2D96168251846B3B0B86" xr6:coauthVersionLast="47" xr6:coauthVersionMax="47" xr10:uidLastSave="{92037790-A7DB-41DE-9033-25EF9E06BCB7}"/>
  <bookViews>
    <workbookView xWindow="-108" yWindow="-108" windowWidth="30936" windowHeight="16776" activeTab="1" xr2:uid="{00000000-000D-0000-FFFF-FFFF00000000}"/>
  </bookViews>
  <sheets>
    <sheet name="별첨1" sheetId="3" r:id="rId1"/>
    <sheet name="검증_1" sheetId="4" r:id="rId2"/>
    <sheet name="인력현황_202604" sheetId="5" r:id="rId3"/>
    <sheet name="계산식_전인환" sheetId="6" r:id="rId4"/>
  </sheets>
  <externalReferences>
    <externalReference r:id="rId5"/>
    <externalReference r:id="rId6"/>
  </externalReferenc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4" l="1"/>
  <c r="K22" i="3"/>
  <c r="N3" i="4" l="1"/>
  <c r="N4" i="4"/>
  <c r="N5" i="4"/>
  <c r="N6" i="4"/>
  <c r="N7" i="4"/>
  <c r="N8" i="4"/>
  <c r="N9" i="4"/>
  <c r="S9" i="4" s="1"/>
  <c r="W9" i="4" s="1"/>
  <c r="N10" i="4"/>
  <c r="N11" i="4"/>
  <c r="S11" i="4" s="1"/>
  <c r="W11" i="4" s="1"/>
  <c r="N12" i="4"/>
  <c r="S12" i="4" s="1"/>
  <c r="W12" i="4" s="1"/>
  <c r="S3" i="4"/>
  <c r="W3" i="4" s="1"/>
  <c r="S6" i="4"/>
  <c r="W6" i="4" s="1"/>
  <c r="S7" i="4"/>
  <c r="W7" i="4" s="1"/>
  <c r="S4" i="4"/>
  <c r="W4" i="4" s="1"/>
  <c r="S5" i="4"/>
  <c r="W5" i="4" s="1"/>
  <c r="S8" i="4"/>
  <c r="W8" i="4" s="1"/>
  <c r="S10" i="4"/>
  <c r="W10" i="4" s="1"/>
  <c r="U4" i="4"/>
  <c r="V4" i="4" s="1"/>
  <c r="U5" i="4"/>
  <c r="V5" i="4" s="1"/>
  <c r="U6" i="4"/>
  <c r="V6" i="4" s="1"/>
  <c r="U7" i="4"/>
  <c r="V7" i="4" s="1"/>
  <c r="U8" i="4"/>
  <c r="V8" i="4" s="1"/>
  <c r="U9" i="4"/>
  <c r="V9" i="4" s="1"/>
  <c r="U10" i="4"/>
  <c r="V10" i="4" s="1"/>
  <c r="U11" i="4"/>
  <c r="V11" i="4" s="1"/>
  <c r="U12" i="4"/>
  <c r="V12" i="4" s="1"/>
  <c r="U3" i="4"/>
  <c r="V3" i="4" s="1"/>
  <c r="BP229" i="5"/>
  <c r="BL229" i="5"/>
  <c r="BK229" i="5"/>
  <c r="BJ229" i="5"/>
  <c r="BI229" i="5" s="1"/>
  <c r="AZ229" i="5"/>
  <c r="Z229" i="5"/>
  <c r="BL224" i="5"/>
  <c r="BK224" i="5"/>
  <c r="BJ224" i="5"/>
  <c r="BI224" i="5" s="1"/>
  <c r="AZ224" i="5"/>
  <c r="A224" i="5"/>
  <c r="BL223" i="5"/>
  <c r="BK223" i="5"/>
  <c r="BJ223" i="5"/>
  <c r="BI223" i="5" s="1"/>
  <c r="AZ223" i="5"/>
  <c r="A223" i="5"/>
  <c r="BP220" i="5"/>
  <c r="BL220" i="5"/>
  <c r="BK220" i="5"/>
  <c r="BJ220" i="5"/>
  <c r="BI220" i="5" s="1"/>
  <c r="AZ220" i="5"/>
  <c r="A220" i="5"/>
  <c r="BL219" i="5"/>
  <c r="BK219" i="5"/>
  <c r="BJ219" i="5"/>
  <c r="BI219" i="5" s="1"/>
  <c r="BS219" i="5" s="1"/>
  <c r="AZ219" i="5"/>
  <c r="A219" i="5"/>
  <c r="BP218" i="5"/>
  <c r="BL218" i="5"/>
  <c r="BK218" i="5"/>
  <c r="BJ218" i="5"/>
  <c r="BI218" i="5" s="1"/>
  <c r="AZ218" i="5"/>
  <c r="A218" i="5"/>
  <c r="BP217" i="5"/>
  <c r="BL217" i="5"/>
  <c r="BK217" i="5"/>
  <c r="BJ217" i="5"/>
  <c r="BI217" i="5" s="1"/>
  <c r="AZ217" i="5"/>
  <c r="A217" i="5"/>
  <c r="BP216" i="5"/>
  <c r="BL216" i="5"/>
  <c r="BK216" i="5"/>
  <c r="BJ216" i="5"/>
  <c r="BI216" i="5" s="1"/>
  <c r="AZ216" i="5"/>
  <c r="A216" i="5"/>
  <c r="BL215" i="5"/>
  <c r="BK215" i="5"/>
  <c r="BJ215" i="5"/>
  <c r="BI215" i="5" s="1"/>
  <c r="AZ215" i="5"/>
  <c r="A215" i="5"/>
  <c r="BL214" i="5"/>
  <c r="BK214" i="5"/>
  <c r="BJ214" i="5"/>
  <c r="BI214" i="5" s="1"/>
  <c r="AZ214" i="5"/>
  <c r="A214" i="5"/>
  <c r="BL213" i="5"/>
  <c r="BK213" i="5"/>
  <c r="BJ213" i="5"/>
  <c r="BI213" i="5" s="1"/>
  <c r="AZ213" i="5"/>
  <c r="A213" i="5"/>
  <c r="BI212" i="5"/>
  <c r="BM212" i="5" s="1"/>
  <c r="AZ212" i="5"/>
  <c r="A212" i="5"/>
  <c r="BJ211" i="5"/>
  <c r="BI211" i="5" s="1"/>
  <c r="BQ211" i="5" s="1"/>
  <c r="AZ211" i="5"/>
  <c r="A211" i="5"/>
  <c r="BP210" i="5"/>
  <c r="BJ210" i="5"/>
  <c r="BI210" i="5" s="1"/>
  <c r="BQ210" i="5" s="1"/>
  <c r="AZ210" i="5"/>
  <c r="A210" i="5"/>
  <c r="BP209" i="5"/>
  <c r="BJ209" i="5"/>
  <c r="BI209" i="5" s="1"/>
  <c r="BN209" i="5" s="1"/>
  <c r="AZ209" i="5"/>
  <c r="A209" i="5"/>
  <c r="BJ208" i="5"/>
  <c r="BI208" i="5" s="1"/>
  <c r="BQ208" i="5" s="1"/>
  <c r="AZ208" i="5"/>
  <c r="A208" i="5"/>
  <c r="BP207" i="5"/>
  <c r="BJ207" i="5"/>
  <c r="BI207" i="5" s="1"/>
  <c r="BN207" i="5" s="1"/>
  <c r="AZ207" i="5"/>
  <c r="A207" i="5"/>
  <c r="BP206" i="5"/>
  <c r="BJ206" i="5"/>
  <c r="BI206" i="5" s="1"/>
  <c r="AZ206" i="5"/>
  <c r="A206" i="5"/>
  <c r="BS205" i="5"/>
  <c r="BP205" i="5"/>
  <c r="BL205" i="5"/>
  <c r="BK205" i="5"/>
  <c r="BJ205" i="5"/>
  <c r="BI205" i="5" s="1"/>
  <c r="BQ205" i="5" s="1"/>
  <c r="AZ205" i="5"/>
  <c r="A205" i="5"/>
  <c r="BP204" i="5"/>
  <c r="BL204" i="5"/>
  <c r="BK204" i="5"/>
  <c r="BJ204" i="5"/>
  <c r="BI204" i="5" s="1"/>
  <c r="AZ204" i="5"/>
  <c r="A204" i="5"/>
  <c r="BP203" i="5"/>
  <c r="BL203" i="5"/>
  <c r="BK203" i="5"/>
  <c r="BJ203" i="5"/>
  <c r="BI203" i="5" s="1"/>
  <c r="BS203" i="5" s="1"/>
  <c r="AZ203" i="5"/>
  <c r="A203" i="5"/>
  <c r="BP202" i="5"/>
  <c r="BL202" i="5"/>
  <c r="BK202" i="5"/>
  <c r="BJ202" i="5"/>
  <c r="BI202" i="5" s="1"/>
  <c r="AZ202" i="5"/>
  <c r="A202" i="5"/>
  <c r="BP201" i="5"/>
  <c r="BL201" i="5"/>
  <c r="BK201" i="5"/>
  <c r="BJ201" i="5"/>
  <c r="BI201" i="5" s="1"/>
  <c r="AZ201" i="5"/>
  <c r="A201" i="5"/>
  <c r="BL200" i="5"/>
  <c r="BK200" i="5"/>
  <c r="BJ200" i="5"/>
  <c r="BI200" i="5"/>
  <c r="AZ200" i="5"/>
  <c r="A200" i="5"/>
  <c r="CB199" i="5"/>
  <c r="CA199" i="5"/>
  <c r="BY199" i="5"/>
  <c r="BX199" i="5"/>
  <c r="BW199" i="5"/>
  <c r="BV199" i="5"/>
  <c r="BU199" i="5"/>
  <c r="BL199" i="5"/>
  <c r="BK199" i="5"/>
  <c r="BJ199" i="5"/>
  <c r="BI199" i="5" s="1"/>
  <c r="BQ199" i="5" s="1"/>
  <c r="AZ199" i="5"/>
  <c r="A199" i="5"/>
  <c r="BP198" i="5"/>
  <c r="BL198" i="5"/>
  <c r="BK198" i="5"/>
  <c r="BJ198" i="5"/>
  <c r="BI198" i="5" s="1"/>
  <c r="AZ198" i="5"/>
  <c r="A198" i="5"/>
  <c r="BP197" i="5"/>
  <c r="BL197" i="5"/>
  <c r="BK197" i="5"/>
  <c r="BJ197" i="5"/>
  <c r="BI197" i="5" s="1"/>
  <c r="BS197" i="5" s="1"/>
  <c r="AZ197" i="5"/>
  <c r="A197" i="5"/>
  <c r="BP196" i="5"/>
  <c r="BL196" i="5"/>
  <c r="BK196" i="5"/>
  <c r="BJ196" i="5"/>
  <c r="BI196" i="5" s="1"/>
  <c r="AZ196" i="5"/>
  <c r="A196" i="5"/>
  <c r="BP195" i="5"/>
  <c r="BL195" i="5"/>
  <c r="BN195" i="5" s="1"/>
  <c r="BK195" i="5"/>
  <c r="BJ195" i="5"/>
  <c r="BI195" i="5" s="1"/>
  <c r="BM195" i="5" s="1"/>
  <c r="AZ195" i="5"/>
  <c r="A195" i="5"/>
  <c r="BP194" i="5"/>
  <c r="BL194" i="5"/>
  <c r="BK194" i="5"/>
  <c r="BJ194" i="5"/>
  <c r="BI194" i="5" s="1"/>
  <c r="BS194" i="5" s="1"/>
  <c r="AZ194" i="5"/>
  <c r="A194" i="5"/>
  <c r="BP193" i="5"/>
  <c r="BL193" i="5"/>
  <c r="BK193" i="5"/>
  <c r="BJ193" i="5"/>
  <c r="BI193" i="5" s="1"/>
  <c r="BQ193" i="5" s="1"/>
  <c r="AZ193" i="5"/>
  <c r="A193" i="5"/>
  <c r="BL192" i="5"/>
  <c r="BK192" i="5"/>
  <c r="BJ192" i="5"/>
  <c r="BI192" i="5" s="1"/>
  <c r="AZ192" i="5"/>
  <c r="A192" i="5"/>
  <c r="BL191" i="5"/>
  <c r="BK191" i="5"/>
  <c r="BJ191" i="5"/>
  <c r="BI191" i="5" s="1"/>
  <c r="BQ191" i="5" s="1"/>
  <c r="AZ191" i="5"/>
  <c r="A191" i="5"/>
  <c r="BP190" i="5"/>
  <c r="BL190" i="5"/>
  <c r="BK190" i="5"/>
  <c r="BJ190" i="5"/>
  <c r="BI190" i="5" s="1"/>
  <c r="BQ190" i="5" s="1"/>
  <c r="AZ190" i="5"/>
  <c r="A190" i="5"/>
  <c r="BP189" i="5"/>
  <c r="BL189" i="5"/>
  <c r="BK189" i="5"/>
  <c r="BJ189" i="5"/>
  <c r="BI189" i="5"/>
  <c r="BQ189" i="5" s="1"/>
  <c r="AZ189" i="5"/>
  <c r="A189" i="5"/>
  <c r="BL188" i="5"/>
  <c r="BK188" i="5"/>
  <c r="BJ188" i="5"/>
  <c r="BI188" i="5" s="1"/>
  <c r="AZ188" i="5"/>
  <c r="A188" i="5"/>
  <c r="BP187" i="5"/>
  <c r="BL187" i="5"/>
  <c r="BK187" i="5"/>
  <c r="BJ187" i="5"/>
  <c r="BI187" i="5" s="1"/>
  <c r="AZ187" i="5"/>
  <c r="A187" i="5"/>
  <c r="BP186" i="5"/>
  <c r="BL186" i="5"/>
  <c r="BK186" i="5"/>
  <c r="BJ186" i="5"/>
  <c r="BI186" i="5"/>
  <c r="AZ186" i="5"/>
  <c r="A186" i="5"/>
  <c r="BP185" i="5"/>
  <c r="BL185" i="5"/>
  <c r="BK185" i="5"/>
  <c r="BJ185" i="5"/>
  <c r="BI185" i="5"/>
  <c r="AZ185" i="5"/>
  <c r="A185" i="5"/>
  <c r="BL184" i="5"/>
  <c r="BK184" i="5"/>
  <c r="BJ184" i="5"/>
  <c r="BI184" i="5" s="1"/>
  <c r="BM184" i="5" s="1"/>
  <c r="AZ184" i="5"/>
  <c r="A184" i="5"/>
  <c r="BS183" i="5"/>
  <c r="BP183" i="5"/>
  <c r="BL183" i="5"/>
  <c r="BK183" i="5"/>
  <c r="BJ183" i="5"/>
  <c r="BI183" i="5" s="1"/>
  <c r="BQ183" i="5" s="1"/>
  <c r="AZ183" i="5"/>
  <c r="A183" i="5"/>
  <c r="BL182" i="5"/>
  <c r="BK182" i="5"/>
  <c r="BJ182" i="5"/>
  <c r="BI182" i="5" s="1"/>
  <c r="AZ182" i="5"/>
  <c r="A182" i="5"/>
  <c r="BP181" i="5"/>
  <c r="BL181" i="5"/>
  <c r="BK181" i="5"/>
  <c r="BJ181" i="5"/>
  <c r="BI181" i="5" s="1"/>
  <c r="BS181" i="5" s="1"/>
  <c r="AZ181" i="5"/>
  <c r="A181" i="5"/>
  <c r="BP180" i="5"/>
  <c r="BL180" i="5"/>
  <c r="BK180" i="5"/>
  <c r="BJ180" i="5"/>
  <c r="BI180" i="5" s="1"/>
  <c r="AZ180" i="5"/>
  <c r="A180" i="5"/>
  <c r="BL179" i="5"/>
  <c r="BK179" i="5"/>
  <c r="BJ179" i="5"/>
  <c r="BI179" i="5" s="1"/>
  <c r="AZ179" i="5"/>
  <c r="A179" i="5"/>
  <c r="BL178" i="5"/>
  <c r="BK178" i="5"/>
  <c r="BJ178" i="5"/>
  <c r="BI178" i="5" s="1"/>
  <c r="AZ178" i="5"/>
  <c r="A178" i="5"/>
  <c r="BL177" i="5"/>
  <c r="BK177" i="5"/>
  <c r="BJ177" i="5"/>
  <c r="BI177" i="5" s="1"/>
  <c r="AZ177" i="5"/>
  <c r="A177" i="5"/>
  <c r="BP176" i="5"/>
  <c r="BL176" i="5"/>
  <c r="BK176" i="5"/>
  <c r="BJ176" i="5"/>
  <c r="BI176" i="5" s="1"/>
  <c r="AZ176" i="5"/>
  <c r="A176" i="5"/>
  <c r="BP175" i="5"/>
  <c r="BL175" i="5"/>
  <c r="BK175" i="5"/>
  <c r="BJ175" i="5"/>
  <c r="BI175" i="5"/>
  <c r="BS175" i="5" s="1"/>
  <c r="AZ175" i="5"/>
  <c r="A175" i="5"/>
  <c r="BL174" i="5"/>
  <c r="BK174" i="5"/>
  <c r="BJ174" i="5"/>
  <c r="BI174" i="5" s="1"/>
  <c r="AZ174" i="5"/>
  <c r="A174" i="5"/>
  <c r="BP173" i="5"/>
  <c r="BL173" i="5"/>
  <c r="BK173" i="5"/>
  <c r="BJ173" i="5"/>
  <c r="BI173" i="5" s="1"/>
  <c r="AZ173" i="5"/>
  <c r="A173" i="5"/>
  <c r="BL172" i="5"/>
  <c r="BK172" i="5"/>
  <c r="BJ172" i="5"/>
  <c r="BI172" i="5" s="1"/>
  <c r="BS172" i="5" s="1"/>
  <c r="AZ172" i="5"/>
  <c r="A172" i="5"/>
  <c r="BP171" i="5"/>
  <c r="BL171" i="5"/>
  <c r="BK171" i="5"/>
  <c r="BJ171" i="5"/>
  <c r="BI171" i="5" s="1"/>
  <c r="AZ171" i="5"/>
  <c r="A171" i="5"/>
  <c r="BL170" i="5"/>
  <c r="BK170" i="5"/>
  <c r="BJ170" i="5"/>
  <c r="BI170" i="5" s="1"/>
  <c r="BS170" i="5" s="1"/>
  <c r="AZ170" i="5"/>
  <c r="A170" i="5"/>
  <c r="BL169" i="5"/>
  <c r="BK169" i="5"/>
  <c r="BJ169" i="5"/>
  <c r="BI169" i="5" s="1"/>
  <c r="AZ169" i="5"/>
  <c r="A169" i="5"/>
  <c r="BP168" i="5"/>
  <c r="BL168" i="5"/>
  <c r="BK168" i="5"/>
  <c r="BJ168" i="5"/>
  <c r="BI168" i="5"/>
  <c r="AZ168" i="5"/>
  <c r="A168" i="5"/>
  <c r="BL167" i="5"/>
  <c r="BK167" i="5"/>
  <c r="BJ167" i="5"/>
  <c r="BI167" i="5" s="1"/>
  <c r="AZ167" i="5"/>
  <c r="A167" i="5"/>
  <c r="BP166" i="5"/>
  <c r="BL166" i="5"/>
  <c r="BK166" i="5"/>
  <c r="BJ166" i="5"/>
  <c r="BI166" i="5" s="1"/>
  <c r="BS166" i="5" s="1"/>
  <c r="AZ166" i="5"/>
  <c r="A166" i="5"/>
  <c r="BP165" i="5"/>
  <c r="BL165" i="5"/>
  <c r="BK165" i="5"/>
  <c r="BJ165" i="5"/>
  <c r="BI165" i="5" s="1"/>
  <c r="AZ165" i="5"/>
  <c r="A165" i="5"/>
  <c r="BL164" i="5"/>
  <c r="BK164" i="5"/>
  <c r="BJ164" i="5"/>
  <c r="BI164" i="5" s="1"/>
  <c r="AZ164" i="5"/>
  <c r="A164" i="5"/>
  <c r="BQ163" i="5"/>
  <c r="BI163" i="5"/>
  <c r="BS163" i="5" s="1"/>
  <c r="AZ163" i="5"/>
  <c r="A163" i="5"/>
  <c r="BL162" i="5"/>
  <c r="BK162" i="5"/>
  <c r="BJ162" i="5"/>
  <c r="BI162" i="5"/>
  <c r="AZ162" i="5"/>
  <c r="A162" i="5"/>
  <c r="BI161" i="5"/>
  <c r="AZ161" i="5"/>
  <c r="A161" i="5"/>
  <c r="BP160" i="5"/>
  <c r="BL160" i="5"/>
  <c r="BK160" i="5"/>
  <c r="BJ160" i="5"/>
  <c r="BI160" i="5" s="1"/>
  <c r="AZ160" i="5"/>
  <c r="A160" i="5"/>
  <c r="BP159" i="5"/>
  <c r="BL159" i="5"/>
  <c r="BK159" i="5"/>
  <c r="BJ159" i="5"/>
  <c r="BI159" i="5" s="1"/>
  <c r="BS159" i="5" s="1"/>
  <c r="AZ159" i="5"/>
  <c r="A159" i="5"/>
  <c r="BL158" i="5"/>
  <c r="BK158" i="5"/>
  <c r="BJ158" i="5"/>
  <c r="BI158" i="5" s="1"/>
  <c r="AZ158" i="5"/>
  <c r="A158" i="5"/>
  <c r="BL157" i="5"/>
  <c r="BK157" i="5"/>
  <c r="BJ157" i="5"/>
  <c r="BI157" i="5"/>
  <c r="AZ157" i="5"/>
  <c r="A157" i="5"/>
  <c r="BP156" i="5"/>
  <c r="BL156" i="5"/>
  <c r="BK156" i="5"/>
  <c r="BJ156" i="5"/>
  <c r="BI156" i="5" s="1"/>
  <c r="AZ156" i="5"/>
  <c r="A156" i="5"/>
  <c r="BS155" i="5"/>
  <c r="BQ155" i="5"/>
  <c r="BN155" i="5"/>
  <c r="BI155" i="5"/>
  <c r="BM155" i="5" s="1"/>
  <c r="BG155" i="5" s="1"/>
  <c r="AZ155" i="5"/>
  <c r="A155" i="5"/>
  <c r="BL154" i="5"/>
  <c r="BK154" i="5"/>
  <c r="BJ154" i="5"/>
  <c r="BI154" i="5" s="1"/>
  <c r="BS154" i="5" s="1"/>
  <c r="AZ154" i="5"/>
  <c r="A154" i="5"/>
  <c r="BL153" i="5"/>
  <c r="BK153" i="5"/>
  <c r="BJ153" i="5"/>
  <c r="BI153" i="5" s="1"/>
  <c r="AZ153" i="5"/>
  <c r="A153" i="5"/>
  <c r="BL152" i="5"/>
  <c r="BK152" i="5"/>
  <c r="BJ152" i="5"/>
  <c r="BI152" i="5" s="1"/>
  <c r="AZ152" i="5"/>
  <c r="A152" i="5"/>
  <c r="BP151" i="5"/>
  <c r="BL151" i="5"/>
  <c r="BK151" i="5"/>
  <c r="BJ151" i="5"/>
  <c r="BI151" i="5" s="1"/>
  <c r="AZ151" i="5"/>
  <c r="A151" i="5"/>
  <c r="BL150" i="5"/>
  <c r="BK150" i="5"/>
  <c r="BJ150" i="5"/>
  <c r="BI150" i="5" s="1"/>
  <c r="AZ150" i="5"/>
  <c r="A150" i="5"/>
  <c r="BL149" i="5"/>
  <c r="BK149" i="5"/>
  <c r="BJ149" i="5"/>
  <c r="BI149" i="5" s="1"/>
  <c r="BQ149" i="5" s="1"/>
  <c r="AZ149" i="5"/>
  <c r="A149" i="5"/>
  <c r="BL148" i="5"/>
  <c r="BK148" i="5"/>
  <c r="BJ148" i="5"/>
  <c r="BI148" i="5" s="1"/>
  <c r="AZ148" i="5"/>
  <c r="A148" i="5"/>
  <c r="BP147" i="5"/>
  <c r="BL147" i="5"/>
  <c r="BK147" i="5"/>
  <c r="BJ147" i="5"/>
  <c r="BI147" i="5" s="1"/>
  <c r="BM147" i="5" s="1"/>
  <c r="AZ147" i="5"/>
  <c r="A147" i="5"/>
  <c r="BP146" i="5"/>
  <c r="BL146" i="5"/>
  <c r="BK146" i="5"/>
  <c r="BJ146" i="5"/>
  <c r="BI146" i="5" s="1"/>
  <c r="AZ146" i="5"/>
  <c r="A146" i="5"/>
  <c r="BL145" i="5"/>
  <c r="BK145" i="5"/>
  <c r="BJ145" i="5"/>
  <c r="BI145" i="5" s="1"/>
  <c r="AZ145" i="5"/>
  <c r="A145" i="5"/>
  <c r="BS144" i="5"/>
  <c r="BL144" i="5"/>
  <c r="BK144" i="5"/>
  <c r="BJ144" i="5"/>
  <c r="BI144" i="5"/>
  <c r="BQ144" i="5" s="1"/>
  <c r="AZ144" i="5"/>
  <c r="A144" i="5"/>
  <c r="BP143" i="5"/>
  <c r="BL143" i="5"/>
  <c r="BK143" i="5"/>
  <c r="BJ143" i="5"/>
  <c r="BI143" i="5" s="1"/>
  <c r="AZ143" i="5"/>
  <c r="A143" i="5"/>
  <c r="BP142" i="5"/>
  <c r="BL142" i="5"/>
  <c r="BK142" i="5"/>
  <c r="BJ142" i="5"/>
  <c r="BI142" i="5" s="1"/>
  <c r="AZ142" i="5"/>
  <c r="A142" i="5"/>
  <c r="BP141" i="5"/>
  <c r="BL141" i="5"/>
  <c r="BK141" i="5"/>
  <c r="BJ141" i="5"/>
  <c r="BI141" i="5" s="1"/>
  <c r="AZ141" i="5"/>
  <c r="A141" i="5"/>
  <c r="BP140" i="5"/>
  <c r="BL140" i="5"/>
  <c r="BK140" i="5"/>
  <c r="BJ140" i="5"/>
  <c r="BI140" i="5"/>
  <c r="AZ140" i="5"/>
  <c r="A140" i="5"/>
  <c r="BL139" i="5"/>
  <c r="BK139" i="5"/>
  <c r="BJ139" i="5"/>
  <c r="BI139" i="5" s="1"/>
  <c r="AZ139" i="5"/>
  <c r="A139" i="5"/>
  <c r="BL138" i="5"/>
  <c r="BK138" i="5"/>
  <c r="BJ138" i="5"/>
  <c r="BI138" i="5" s="1"/>
  <c r="AZ138" i="5"/>
  <c r="A138" i="5"/>
  <c r="BL137" i="5"/>
  <c r="BK137" i="5"/>
  <c r="BJ137" i="5"/>
  <c r="BI137" i="5" s="1"/>
  <c r="AZ137" i="5"/>
  <c r="A137" i="5"/>
  <c r="BP136" i="5"/>
  <c r="BL136" i="5"/>
  <c r="BK136" i="5"/>
  <c r="BJ136" i="5"/>
  <c r="BI136" i="5" s="1"/>
  <c r="BM136" i="5" s="1"/>
  <c r="AZ136" i="5"/>
  <c r="A136" i="5"/>
  <c r="BL135" i="5"/>
  <c r="BK135" i="5"/>
  <c r="BJ135" i="5"/>
  <c r="BI135" i="5" s="1"/>
  <c r="AZ135" i="5"/>
  <c r="A135" i="5"/>
  <c r="BP134" i="5"/>
  <c r="BL134" i="5"/>
  <c r="BK134" i="5"/>
  <c r="BJ134" i="5"/>
  <c r="BI134" i="5" s="1"/>
  <c r="BS134" i="5" s="1"/>
  <c r="AZ134" i="5"/>
  <c r="A134" i="5"/>
  <c r="BL133" i="5"/>
  <c r="BK133" i="5"/>
  <c r="BJ133" i="5"/>
  <c r="BI133" i="5"/>
  <c r="BP133" i="5" s="1"/>
  <c r="AZ133" i="5"/>
  <c r="A133" i="5"/>
  <c r="BS132" i="5"/>
  <c r="BP132" i="5"/>
  <c r="BL132" i="5"/>
  <c r="BK132" i="5"/>
  <c r="BJ132" i="5"/>
  <c r="BI132" i="5" s="1"/>
  <c r="BQ132" i="5" s="1"/>
  <c r="AZ132" i="5"/>
  <c r="A132" i="5"/>
  <c r="BL131" i="5"/>
  <c r="BK131" i="5"/>
  <c r="BJ131" i="5"/>
  <c r="BI131" i="5" s="1"/>
  <c r="AZ131" i="5"/>
  <c r="A131" i="5"/>
  <c r="BP130" i="5"/>
  <c r="BL130" i="5"/>
  <c r="BK130" i="5"/>
  <c r="BJ130" i="5"/>
  <c r="BI130" i="5" s="1"/>
  <c r="BN130" i="5" s="1"/>
  <c r="AZ130" i="5"/>
  <c r="A130" i="5"/>
  <c r="BP129" i="5"/>
  <c r="BL129" i="5"/>
  <c r="BK129" i="5"/>
  <c r="BJ129" i="5"/>
  <c r="BI129" i="5" s="1"/>
  <c r="AZ129" i="5"/>
  <c r="A129" i="5"/>
  <c r="BP128" i="5"/>
  <c r="BL128" i="5"/>
  <c r="BK128" i="5"/>
  <c r="BJ128" i="5"/>
  <c r="BI128" i="5"/>
  <c r="AZ128" i="5"/>
  <c r="A128" i="5"/>
  <c r="BP127" i="5"/>
  <c r="BL127" i="5"/>
  <c r="BK127" i="5"/>
  <c r="BJ127" i="5"/>
  <c r="BI127" i="5" s="1"/>
  <c r="AZ127" i="5"/>
  <c r="A127" i="5"/>
  <c r="BP126" i="5"/>
  <c r="BL126" i="5"/>
  <c r="BK126" i="5"/>
  <c r="BJ126" i="5"/>
  <c r="BI126" i="5" s="1"/>
  <c r="AZ126" i="5"/>
  <c r="A126" i="5"/>
  <c r="BL125" i="5"/>
  <c r="BK125" i="5"/>
  <c r="BJ125" i="5"/>
  <c r="BI125" i="5" s="1"/>
  <c r="AZ125" i="5"/>
  <c r="A125" i="5"/>
  <c r="BP124" i="5"/>
  <c r="BL124" i="5"/>
  <c r="BK124" i="5"/>
  <c r="BJ124" i="5"/>
  <c r="BI124" i="5" s="1"/>
  <c r="AZ124" i="5"/>
  <c r="A124" i="5"/>
  <c r="BL123" i="5"/>
  <c r="BK123" i="5"/>
  <c r="BJ123" i="5"/>
  <c r="BI123" i="5" s="1"/>
  <c r="AZ123" i="5"/>
  <c r="A123" i="5"/>
  <c r="BP122" i="5"/>
  <c r="BL122" i="5"/>
  <c r="BK122" i="5"/>
  <c r="BJ122" i="5"/>
  <c r="BI122" i="5" s="1"/>
  <c r="AZ122" i="5"/>
  <c r="A122" i="5"/>
  <c r="BP121" i="5"/>
  <c r="BL121" i="5"/>
  <c r="BK121" i="5"/>
  <c r="BJ121" i="5"/>
  <c r="BI121" i="5" s="1"/>
  <c r="AZ121" i="5"/>
  <c r="A121" i="5"/>
  <c r="BP120" i="5"/>
  <c r="BL120" i="5"/>
  <c r="BK120" i="5"/>
  <c r="BJ120" i="5"/>
  <c r="BI120" i="5" s="1"/>
  <c r="AZ120" i="5"/>
  <c r="A120" i="5"/>
  <c r="BL119" i="5"/>
  <c r="BK119" i="5"/>
  <c r="BJ119" i="5"/>
  <c r="BI119" i="5" s="1"/>
  <c r="BS119" i="5" s="1"/>
  <c r="AZ119" i="5"/>
  <c r="A119" i="5"/>
  <c r="BL118" i="5"/>
  <c r="BK118" i="5"/>
  <c r="BJ118" i="5"/>
  <c r="BI118" i="5" s="1"/>
  <c r="AZ118" i="5"/>
  <c r="A118" i="5"/>
  <c r="BL117" i="5"/>
  <c r="BK117" i="5"/>
  <c r="BJ117" i="5"/>
  <c r="BI117" i="5" s="1"/>
  <c r="BQ117" i="5" s="1"/>
  <c r="AZ117" i="5"/>
  <c r="A117" i="5"/>
  <c r="BL116" i="5"/>
  <c r="BK116" i="5"/>
  <c r="BJ116" i="5"/>
  <c r="BI116" i="5"/>
  <c r="BS116" i="5" s="1"/>
  <c r="AZ116" i="5"/>
  <c r="A116" i="5"/>
  <c r="BL115" i="5"/>
  <c r="BK115" i="5"/>
  <c r="BJ115" i="5"/>
  <c r="BI115" i="5" s="1"/>
  <c r="AZ115" i="5"/>
  <c r="A115" i="5"/>
  <c r="BP114" i="5"/>
  <c r="BL114" i="5"/>
  <c r="BK114" i="5"/>
  <c r="BJ114" i="5"/>
  <c r="BI114" i="5" s="1"/>
  <c r="AZ114" i="5"/>
  <c r="A114" i="5"/>
  <c r="BL113" i="5"/>
  <c r="BK113" i="5"/>
  <c r="BJ113" i="5"/>
  <c r="BI113" i="5" s="1"/>
  <c r="AZ113" i="5"/>
  <c r="A113" i="5"/>
  <c r="BP112" i="5"/>
  <c r="BL112" i="5"/>
  <c r="BK112" i="5"/>
  <c r="BJ112" i="5"/>
  <c r="BI112" i="5"/>
  <c r="AZ112" i="5"/>
  <c r="A112" i="5"/>
  <c r="BP111" i="5"/>
  <c r="BL111" i="5"/>
  <c r="BK111" i="5"/>
  <c r="BJ111" i="5"/>
  <c r="BI111" i="5" s="1"/>
  <c r="AZ111" i="5"/>
  <c r="A111" i="5"/>
  <c r="BL110" i="5"/>
  <c r="BK110" i="5"/>
  <c r="BJ110" i="5"/>
  <c r="BI110" i="5" s="1"/>
  <c r="AZ110" i="5"/>
  <c r="A110" i="5"/>
  <c r="BL109" i="5"/>
  <c r="BK109" i="5"/>
  <c r="BJ109" i="5"/>
  <c r="BI109" i="5"/>
  <c r="AZ109" i="5"/>
  <c r="A109" i="5"/>
  <c r="BL108" i="5"/>
  <c r="BK108" i="5"/>
  <c r="BJ108" i="5"/>
  <c r="BI108" i="5" s="1"/>
  <c r="AZ108" i="5"/>
  <c r="A108" i="5"/>
  <c r="BL107" i="5"/>
  <c r="BK107" i="5"/>
  <c r="BJ107" i="5"/>
  <c r="BI107" i="5" s="1"/>
  <c r="AZ107" i="5"/>
  <c r="A107" i="5"/>
  <c r="BL106" i="5"/>
  <c r="BK106" i="5"/>
  <c r="BJ106" i="5"/>
  <c r="BI106" i="5" s="1"/>
  <c r="AZ106" i="5"/>
  <c r="A106" i="5"/>
  <c r="BP105" i="5"/>
  <c r="BL105" i="5"/>
  <c r="BK105" i="5"/>
  <c r="BJ105" i="5"/>
  <c r="BI105" i="5" s="1"/>
  <c r="AZ105" i="5"/>
  <c r="A105" i="5"/>
  <c r="BL104" i="5"/>
  <c r="BK104" i="5"/>
  <c r="BJ104" i="5"/>
  <c r="BI104" i="5" s="1"/>
  <c r="BQ104" i="5" s="1"/>
  <c r="AZ104" i="5"/>
  <c r="A104" i="5"/>
  <c r="BP103" i="5"/>
  <c r="BL103" i="5"/>
  <c r="BK103" i="5"/>
  <c r="BJ103" i="5"/>
  <c r="BI103" i="5"/>
  <c r="BS103" i="5" s="1"/>
  <c r="AZ103" i="5"/>
  <c r="A103" i="5"/>
  <c r="BL102" i="5"/>
  <c r="BK102" i="5"/>
  <c r="BJ102" i="5"/>
  <c r="BI102" i="5"/>
  <c r="AZ102" i="5"/>
  <c r="A102" i="5"/>
  <c r="BP101" i="5"/>
  <c r="BL101" i="5"/>
  <c r="BK101" i="5"/>
  <c r="BJ101" i="5"/>
  <c r="BI101" i="5" s="1"/>
  <c r="AZ101" i="5"/>
  <c r="A101" i="5"/>
  <c r="BL100" i="5"/>
  <c r="BK100" i="5"/>
  <c r="BJ100" i="5"/>
  <c r="BI100" i="5"/>
  <c r="BQ100" i="5" s="1"/>
  <c r="AZ100" i="5"/>
  <c r="A100" i="5"/>
  <c r="BL99" i="5"/>
  <c r="BK99" i="5"/>
  <c r="BJ99" i="5"/>
  <c r="BI99" i="5" s="1"/>
  <c r="BM99" i="5" s="1"/>
  <c r="AZ99" i="5"/>
  <c r="A99" i="5"/>
  <c r="BL98" i="5"/>
  <c r="BK98" i="5"/>
  <c r="BJ98" i="5"/>
  <c r="BI98" i="5" s="1"/>
  <c r="BP98" i="5" s="1"/>
  <c r="AZ98" i="5"/>
  <c r="A98" i="5"/>
  <c r="BL97" i="5"/>
  <c r="BK97" i="5"/>
  <c r="BJ97" i="5"/>
  <c r="BI97" i="5" s="1"/>
  <c r="BS97" i="5" s="1"/>
  <c r="AZ97" i="5"/>
  <c r="A97" i="5"/>
  <c r="BL96" i="5"/>
  <c r="BK96" i="5"/>
  <c r="BJ96" i="5"/>
  <c r="BI96" i="5" s="1"/>
  <c r="AZ96" i="5"/>
  <c r="A96" i="5"/>
  <c r="BL95" i="5"/>
  <c r="BK95" i="5"/>
  <c r="BJ95" i="5"/>
  <c r="BI95" i="5" s="1"/>
  <c r="AZ95" i="5"/>
  <c r="A95" i="5"/>
  <c r="BP94" i="5"/>
  <c r="BL94" i="5"/>
  <c r="BK94" i="5"/>
  <c r="BJ94" i="5"/>
  <c r="BI94" i="5"/>
  <c r="AZ94" i="5"/>
  <c r="AX94" i="5"/>
  <c r="A94" i="5"/>
  <c r="BP93" i="5"/>
  <c r="BL93" i="5"/>
  <c r="BK93" i="5"/>
  <c r="BJ93" i="5"/>
  <c r="BI93" i="5" s="1"/>
  <c r="AZ93" i="5"/>
  <c r="A93" i="5"/>
  <c r="BP92" i="5"/>
  <c r="BL92" i="5"/>
  <c r="BK92" i="5"/>
  <c r="BJ92" i="5"/>
  <c r="BI92" i="5" s="1"/>
  <c r="BQ92" i="5" s="1"/>
  <c r="AZ92" i="5"/>
  <c r="A92" i="5"/>
  <c r="BL91" i="5"/>
  <c r="BK91" i="5"/>
  <c r="BJ91" i="5"/>
  <c r="BI91" i="5" s="1"/>
  <c r="AZ91" i="5"/>
  <c r="A91" i="5"/>
  <c r="BP90" i="5"/>
  <c r="BL90" i="5"/>
  <c r="BK90" i="5"/>
  <c r="BJ90" i="5"/>
  <c r="BI90" i="5" s="1"/>
  <c r="BQ90" i="5" s="1"/>
  <c r="AZ90" i="5"/>
  <c r="A90" i="5"/>
  <c r="BP89" i="5"/>
  <c r="BL89" i="5"/>
  <c r="BK89" i="5"/>
  <c r="BJ89" i="5"/>
  <c r="BI89" i="5" s="1"/>
  <c r="BS89" i="5" s="1"/>
  <c r="AZ89" i="5"/>
  <c r="A89" i="5"/>
  <c r="BP88" i="5"/>
  <c r="BL88" i="5"/>
  <c r="BK88" i="5"/>
  <c r="BJ88" i="5"/>
  <c r="BI88" i="5" s="1"/>
  <c r="BQ88" i="5" s="1"/>
  <c r="AZ88" i="5"/>
  <c r="A88" i="5"/>
  <c r="BP87" i="5"/>
  <c r="BL87" i="5"/>
  <c r="BK87" i="5"/>
  <c r="BJ87" i="5"/>
  <c r="BI87" i="5" s="1"/>
  <c r="AZ87" i="5"/>
  <c r="A87" i="5"/>
  <c r="BP86" i="5"/>
  <c r="BL86" i="5"/>
  <c r="BK86" i="5"/>
  <c r="BJ86" i="5"/>
  <c r="BI86" i="5" s="1"/>
  <c r="AZ86" i="5"/>
  <c r="A86" i="5"/>
  <c r="BP85" i="5"/>
  <c r="BL85" i="5"/>
  <c r="BK85" i="5"/>
  <c r="BJ85" i="5"/>
  <c r="BI85" i="5" s="1"/>
  <c r="AZ85" i="5"/>
  <c r="A85" i="5"/>
  <c r="BP84" i="5"/>
  <c r="BL84" i="5"/>
  <c r="BK84" i="5"/>
  <c r="BJ84" i="5"/>
  <c r="BI84" i="5" s="1"/>
  <c r="BQ84" i="5" s="1"/>
  <c r="AZ84" i="5"/>
  <c r="A84" i="5"/>
  <c r="BP83" i="5"/>
  <c r="BL83" i="5"/>
  <c r="BK83" i="5"/>
  <c r="BJ83" i="5"/>
  <c r="BI83" i="5" s="1"/>
  <c r="AZ83" i="5"/>
  <c r="A83" i="5"/>
  <c r="BP82" i="5"/>
  <c r="BL82" i="5"/>
  <c r="BK82" i="5"/>
  <c r="BJ82" i="5"/>
  <c r="BI82" i="5" s="1"/>
  <c r="AZ82" i="5"/>
  <c r="A82" i="5"/>
  <c r="BP81" i="5"/>
  <c r="BL81" i="5"/>
  <c r="BK81" i="5"/>
  <c r="BJ81" i="5"/>
  <c r="BI81" i="5" s="1"/>
  <c r="BN81" i="5" s="1"/>
  <c r="AZ81" i="5"/>
  <c r="A81" i="5"/>
  <c r="BL80" i="5"/>
  <c r="BK80" i="5"/>
  <c r="BJ80" i="5"/>
  <c r="BI80" i="5" s="1"/>
  <c r="AZ80" i="5"/>
  <c r="A80" i="5"/>
  <c r="BP79" i="5"/>
  <c r="BL79" i="5"/>
  <c r="BK79" i="5"/>
  <c r="BJ79" i="5"/>
  <c r="BI79" i="5" s="1"/>
  <c r="AZ79" i="5"/>
  <c r="A79" i="5"/>
  <c r="BL78" i="5"/>
  <c r="BK78" i="5"/>
  <c r="BJ78" i="5"/>
  <c r="BI78" i="5" s="1"/>
  <c r="BQ78" i="5" s="1"/>
  <c r="AZ78" i="5"/>
  <c r="A78" i="5"/>
  <c r="BP77" i="5"/>
  <c r="BL77" i="5"/>
  <c r="BK77" i="5"/>
  <c r="BJ77" i="5"/>
  <c r="BI77" i="5" s="1"/>
  <c r="AZ77" i="5"/>
  <c r="A77" i="5"/>
  <c r="BP76" i="5"/>
  <c r="BL76" i="5"/>
  <c r="BK76" i="5"/>
  <c r="BJ76" i="5"/>
  <c r="BI76" i="5" s="1"/>
  <c r="AZ76" i="5"/>
  <c r="A76" i="5"/>
  <c r="BP75" i="5"/>
  <c r="BL75" i="5"/>
  <c r="BK75" i="5"/>
  <c r="BJ75" i="5"/>
  <c r="BI75" i="5"/>
  <c r="AZ75" i="5"/>
  <c r="A75" i="5"/>
  <c r="BP74" i="5"/>
  <c r="BL74" i="5"/>
  <c r="BK74" i="5"/>
  <c r="BJ74" i="5"/>
  <c r="BI74" i="5" s="1"/>
  <c r="AZ74" i="5"/>
  <c r="A74" i="5"/>
  <c r="BL73" i="5"/>
  <c r="BK73" i="5"/>
  <c r="BJ73" i="5"/>
  <c r="BI73" i="5" s="1"/>
  <c r="AZ73" i="5"/>
  <c r="A73" i="5"/>
  <c r="BP72" i="5"/>
  <c r="BL72" i="5"/>
  <c r="BK72" i="5"/>
  <c r="BJ72" i="5"/>
  <c r="BI72" i="5"/>
  <c r="BQ72" i="5" s="1"/>
  <c r="AZ72" i="5"/>
  <c r="A72" i="5"/>
  <c r="BS71" i="5"/>
  <c r="BP71" i="5"/>
  <c r="BL71" i="5"/>
  <c r="BK71" i="5"/>
  <c r="BJ71" i="5"/>
  <c r="BI71" i="5" s="1"/>
  <c r="BQ71" i="5" s="1"/>
  <c r="AZ71" i="5"/>
  <c r="A71" i="5"/>
  <c r="BP70" i="5"/>
  <c r="BL70" i="5"/>
  <c r="BK70" i="5"/>
  <c r="BJ70" i="5"/>
  <c r="BI70" i="5" s="1"/>
  <c r="AZ70" i="5"/>
  <c r="A70" i="5"/>
  <c r="BP69" i="5"/>
  <c r="BL69" i="5"/>
  <c r="BK69" i="5"/>
  <c r="BJ69" i="5"/>
  <c r="BI69" i="5" s="1"/>
  <c r="AZ69" i="5"/>
  <c r="A69" i="5"/>
  <c r="BL68" i="5"/>
  <c r="BK68" i="5"/>
  <c r="BJ68" i="5"/>
  <c r="BI68" i="5" s="1"/>
  <c r="BS68" i="5" s="1"/>
  <c r="AZ68" i="5"/>
  <c r="A68" i="5"/>
  <c r="BP67" i="5"/>
  <c r="BL67" i="5"/>
  <c r="BK67" i="5"/>
  <c r="BJ67" i="5"/>
  <c r="BI67" i="5" s="1"/>
  <c r="AZ67" i="5"/>
  <c r="A67" i="5"/>
  <c r="BP66" i="5"/>
  <c r="BL66" i="5"/>
  <c r="BK66" i="5"/>
  <c r="BJ66" i="5"/>
  <c r="BI66" i="5" s="1"/>
  <c r="AZ66" i="5"/>
  <c r="A66" i="5"/>
  <c r="BP65" i="5"/>
  <c r="BL65" i="5"/>
  <c r="BK65" i="5"/>
  <c r="BJ65" i="5"/>
  <c r="BI65" i="5" s="1"/>
  <c r="AZ65" i="5"/>
  <c r="A65" i="5"/>
  <c r="BP64" i="5"/>
  <c r="BL64" i="5"/>
  <c r="BK64" i="5"/>
  <c r="BJ64" i="5"/>
  <c r="BI64" i="5" s="1"/>
  <c r="AZ64" i="5"/>
  <c r="A64" i="5"/>
  <c r="BP63" i="5"/>
  <c r="BL63" i="5"/>
  <c r="BK63" i="5"/>
  <c r="BJ63" i="5"/>
  <c r="BI63" i="5" s="1"/>
  <c r="BQ63" i="5" s="1"/>
  <c r="AZ63" i="5"/>
  <c r="A63" i="5"/>
  <c r="BP62" i="5"/>
  <c r="BL62" i="5"/>
  <c r="BK62" i="5"/>
  <c r="BJ62" i="5"/>
  <c r="BI62" i="5" s="1"/>
  <c r="BS62" i="5" s="1"/>
  <c r="AZ62" i="5"/>
  <c r="A62" i="5"/>
  <c r="BP61" i="5"/>
  <c r="BL61" i="5"/>
  <c r="BK61" i="5"/>
  <c r="BJ61" i="5"/>
  <c r="BI61" i="5"/>
  <c r="BQ61" i="5" s="1"/>
  <c r="AZ61" i="5"/>
  <c r="A61" i="5"/>
  <c r="BP60" i="5"/>
  <c r="BL60" i="5"/>
  <c r="BK60" i="5"/>
  <c r="BJ60" i="5"/>
  <c r="BI60" i="5" s="1"/>
  <c r="AZ60" i="5"/>
  <c r="A60" i="5"/>
  <c r="BP59" i="5"/>
  <c r="BL59" i="5"/>
  <c r="BK59" i="5"/>
  <c r="BJ59" i="5"/>
  <c r="BI59" i="5" s="1"/>
  <c r="AZ59" i="5"/>
  <c r="A59" i="5"/>
  <c r="BL58" i="5"/>
  <c r="BK58" i="5"/>
  <c r="BJ58" i="5"/>
  <c r="BI58" i="5" s="1"/>
  <c r="AZ58" i="5"/>
  <c r="A58" i="5"/>
  <c r="BP57" i="5"/>
  <c r="BL57" i="5"/>
  <c r="BK57" i="5"/>
  <c r="BJ57" i="5"/>
  <c r="BI57" i="5"/>
  <c r="AZ57" i="5"/>
  <c r="A57" i="5"/>
  <c r="BP56" i="5"/>
  <c r="BL56" i="5"/>
  <c r="BK56" i="5"/>
  <c r="BJ56" i="5"/>
  <c r="BI56" i="5" s="1"/>
  <c r="BS56" i="5" s="1"/>
  <c r="AZ56" i="5"/>
  <c r="A56" i="5"/>
  <c r="BL55" i="5"/>
  <c r="BK55" i="5"/>
  <c r="BJ55" i="5"/>
  <c r="BI55" i="5" s="1"/>
  <c r="AZ55" i="5"/>
  <c r="A55" i="5"/>
  <c r="BP54" i="5"/>
  <c r="BL54" i="5"/>
  <c r="BK54" i="5"/>
  <c r="BJ54" i="5"/>
  <c r="BI54" i="5"/>
  <c r="AZ54" i="5"/>
  <c r="A54" i="5"/>
  <c r="BP53" i="5"/>
  <c r="BL53" i="5"/>
  <c r="BK53" i="5"/>
  <c r="BJ53" i="5"/>
  <c r="BI53" i="5" s="1"/>
  <c r="BQ53" i="5" s="1"/>
  <c r="AZ53" i="5"/>
  <c r="A53" i="5"/>
  <c r="BP52" i="5"/>
  <c r="BL52" i="5"/>
  <c r="BK52" i="5"/>
  <c r="BJ52" i="5"/>
  <c r="BI52" i="5" s="1"/>
  <c r="AZ52" i="5"/>
  <c r="A52" i="5"/>
  <c r="BP51" i="5"/>
  <c r="BL51" i="5"/>
  <c r="BK51" i="5"/>
  <c r="BJ51" i="5"/>
  <c r="BI51" i="5" s="1"/>
  <c r="AZ51" i="5"/>
  <c r="A51" i="5"/>
  <c r="BP50" i="5"/>
  <c r="BL50" i="5"/>
  <c r="BK50" i="5"/>
  <c r="BJ50" i="5"/>
  <c r="BI50" i="5" s="1"/>
  <c r="AZ50" i="5"/>
  <c r="A50" i="5"/>
  <c r="BP49" i="5"/>
  <c r="BL49" i="5"/>
  <c r="BK49" i="5"/>
  <c r="BJ49" i="5"/>
  <c r="BI49" i="5" s="1"/>
  <c r="AZ49" i="5"/>
  <c r="A49" i="5"/>
  <c r="BP48" i="5"/>
  <c r="BL48" i="5"/>
  <c r="BK48" i="5"/>
  <c r="BJ48" i="5"/>
  <c r="BI48" i="5" s="1"/>
  <c r="AZ48" i="5"/>
  <c r="A48" i="5"/>
  <c r="BP47" i="5"/>
  <c r="BL47" i="5"/>
  <c r="BK47" i="5"/>
  <c r="BJ47" i="5"/>
  <c r="BI47" i="5" s="1"/>
  <c r="AZ47" i="5"/>
  <c r="A47" i="5"/>
  <c r="BL46" i="5"/>
  <c r="BK46" i="5"/>
  <c r="BJ46" i="5"/>
  <c r="BI46" i="5" s="1"/>
  <c r="AZ46" i="5"/>
  <c r="A46" i="5"/>
  <c r="BP45" i="5"/>
  <c r="BL45" i="5"/>
  <c r="BK45" i="5"/>
  <c r="BJ45" i="5"/>
  <c r="BI45" i="5" s="1"/>
  <c r="BQ45" i="5" s="1"/>
  <c r="AZ45" i="5"/>
  <c r="A45" i="5"/>
  <c r="BP44" i="5"/>
  <c r="BL44" i="5"/>
  <c r="BK44" i="5"/>
  <c r="BJ44" i="5"/>
  <c r="BI44" i="5" s="1"/>
  <c r="BM44" i="5" s="1"/>
  <c r="AZ44" i="5"/>
  <c r="A44" i="5"/>
  <c r="BP43" i="5"/>
  <c r="BL43" i="5"/>
  <c r="BK43" i="5"/>
  <c r="BJ43" i="5"/>
  <c r="BI43" i="5" s="1"/>
  <c r="AZ43" i="5"/>
  <c r="A43" i="5"/>
  <c r="BP42" i="5"/>
  <c r="BL42" i="5"/>
  <c r="BK42" i="5"/>
  <c r="BJ42" i="5"/>
  <c r="BI42" i="5" s="1"/>
  <c r="BQ42" i="5" s="1"/>
  <c r="AZ42" i="5"/>
  <c r="A42" i="5"/>
  <c r="BP41" i="5"/>
  <c r="BL41" i="5"/>
  <c r="BK41" i="5"/>
  <c r="BJ41" i="5"/>
  <c r="BI41" i="5" s="1"/>
  <c r="AZ41" i="5"/>
  <c r="A41" i="5"/>
  <c r="BP40" i="5"/>
  <c r="BL40" i="5"/>
  <c r="BK40" i="5"/>
  <c r="BJ40" i="5"/>
  <c r="BI40" i="5" s="1"/>
  <c r="AZ40" i="5"/>
  <c r="A40" i="5"/>
  <c r="BP39" i="5"/>
  <c r="BL39" i="5"/>
  <c r="BK39" i="5"/>
  <c r="BJ39" i="5"/>
  <c r="BI39" i="5" s="1"/>
  <c r="AZ39" i="5"/>
  <c r="A39" i="5"/>
  <c r="BP38" i="5"/>
  <c r="BL38" i="5"/>
  <c r="BK38" i="5"/>
  <c r="BJ38" i="5"/>
  <c r="BI38" i="5" s="1"/>
  <c r="BS38" i="5" s="1"/>
  <c r="AZ38" i="5"/>
  <c r="A38" i="5"/>
  <c r="BP37" i="5"/>
  <c r="BL37" i="5"/>
  <c r="BK37" i="5"/>
  <c r="BJ37" i="5"/>
  <c r="BI37" i="5" s="1"/>
  <c r="BM37" i="5" s="1"/>
  <c r="AZ37" i="5"/>
  <c r="A37" i="5"/>
  <c r="BP36" i="5"/>
  <c r="BL36" i="5"/>
  <c r="BK36" i="5"/>
  <c r="BJ36" i="5"/>
  <c r="BI36" i="5" s="1"/>
  <c r="BS36" i="5" s="1"/>
  <c r="AZ36" i="5"/>
  <c r="A36" i="5"/>
  <c r="BP35" i="5"/>
  <c r="BL35" i="5"/>
  <c r="BK35" i="5"/>
  <c r="BJ35" i="5"/>
  <c r="BI35" i="5" s="1"/>
  <c r="AZ35" i="5"/>
  <c r="A35" i="5"/>
  <c r="BP34" i="5"/>
  <c r="BL34" i="5"/>
  <c r="BK34" i="5"/>
  <c r="BJ34" i="5"/>
  <c r="BI34" i="5"/>
  <c r="AZ34" i="5"/>
  <c r="A34" i="5"/>
  <c r="BP33" i="5"/>
  <c r="BL33" i="5"/>
  <c r="BK33" i="5"/>
  <c r="BJ33" i="5"/>
  <c r="BI33" i="5" s="1"/>
  <c r="AZ33" i="5"/>
  <c r="A33" i="5"/>
  <c r="BP32" i="5"/>
  <c r="BL32" i="5"/>
  <c r="BK32" i="5"/>
  <c r="BJ32" i="5"/>
  <c r="BI32" i="5" s="1"/>
  <c r="AZ32" i="5"/>
  <c r="A32" i="5"/>
  <c r="BP31" i="5"/>
  <c r="BL31" i="5"/>
  <c r="BK31" i="5"/>
  <c r="BJ31" i="5"/>
  <c r="BI31" i="5" s="1"/>
  <c r="AZ31" i="5"/>
  <c r="A31" i="5"/>
  <c r="BP30" i="5"/>
  <c r="BL30" i="5"/>
  <c r="BK30" i="5"/>
  <c r="BJ30" i="5"/>
  <c r="BI30" i="5" s="1"/>
  <c r="AZ30" i="5"/>
  <c r="A30" i="5"/>
  <c r="BP29" i="5"/>
  <c r="BL29" i="5"/>
  <c r="BK29" i="5"/>
  <c r="BJ29" i="5"/>
  <c r="BI29" i="5" s="1"/>
  <c r="AZ29" i="5"/>
  <c r="A29" i="5"/>
  <c r="BP28" i="5"/>
  <c r="BL28" i="5"/>
  <c r="BK28" i="5"/>
  <c r="BJ28" i="5"/>
  <c r="BI28" i="5" s="1"/>
  <c r="AZ28" i="5"/>
  <c r="A28" i="5"/>
  <c r="BS27" i="5"/>
  <c r="BP27" i="5"/>
  <c r="BL27" i="5"/>
  <c r="BK27" i="5"/>
  <c r="BJ27" i="5"/>
  <c r="BI27" i="5" s="1"/>
  <c r="AZ27" i="5"/>
  <c r="A27" i="5"/>
  <c r="BP26" i="5"/>
  <c r="BL26" i="5"/>
  <c r="BK26" i="5"/>
  <c r="BJ26" i="5"/>
  <c r="BI26" i="5" s="1"/>
  <c r="BN26" i="5" s="1"/>
  <c r="AZ26" i="5"/>
  <c r="A26" i="5"/>
  <c r="BP25" i="5"/>
  <c r="BL25" i="5"/>
  <c r="BK25" i="5"/>
  <c r="BJ25" i="5"/>
  <c r="BI25" i="5" s="1"/>
  <c r="BQ25" i="5" s="1"/>
  <c r="AZ25" i="5"/>
  <c r="A25" i="5"/>
  <c r="BP24" i="5"/>
  <c r="BL24" i="5"/>
  <c r="BK24" i="5"/>
  <c r="BJ24" i="5"/>
  <c r="BI24" i="5" s="1"/>
  <c r="AZ24" i="5"/>
  <c r="A24" i="5"/>
  <c r="BP23" i="5"/>
  <c r="BL23" i="5"/>
  <c r="BK23" i="5"/>
  <c r="BJ23" i="5"/>
  <c r="BI23" i="5" s="1"/>
  <c r="BS23" i="5" s="1"/>
  <c r="AZ23" i="5"/>
  <c r="A23" i="5"/>
  <c r="BP22" i="5"/>
  <c r="BL22" i="5"/>
  <c r="BK22" i="5"/>
  <c r="BJ22" i="5"/>
  <c r="BI22" i="5" s="1"/>
  <c r="BS22" i="5" s="1"/>
  <c r="AZ22" i="5"/>
  <c r="A22" i="5"/>
  <c r="BP21" i="5"/>
  <c r="BL21" i="5"/>
  <c r="BK21" i="5"/>
  <c r="BJ21" i="5"/>
  <c r="BI21" i="5" s="1"/>
  <c r="BQ21" i="5" s="1"/>
  <c r="AZ21" i="5"/>
  <c r="A21" i="5"/>
  <c r="BP20" i="5"/>
  <c r="BL20" i="5"/>
  <c r="BK20" i="5"/>
  <c r="BJ20" i="5"/>
  <c r="BI20" i="5" s="1"/>
  <c r="AZ20" i="5"/>
  <c r="A20" i="5"/>
  <c r="BP19" i="5"/>
  <c r="BL19" i="5"/>
  <c r="BK19" i="5"/>
  <c r="BJ19" i="5"/>
  <c r="BI19" i="5" s="1"/>
  <c r="AZ19" i="5"/>
  <c r="A19" i="5"/>
  <c r="BP18" i="5"/>
  <c r="BL18" i="5"/>
  <c r="BK18" i="5"/>
  <c r="BJ18" i="5"/>
  <c r="BI18" i="5" s="1"/>
  <c r="AZ18" i="5"/>
  <c r="A18" i="5"/>
  <c r="BP17" i="5"/>
  <c r="BL17" i="5"/>
  <c r="BK17" i="5"/>
  <c r="BJ17" i="5"/>
  <c r="BI17" i="5" s="1"/>
  <c r="BQ17" i="5" s="1"/>
  <c r="AZ17" i="5"/>
  <c r="A17" i="5"/>
  <c r="BL16" i="5"/>
  <c r="BK16" i="5"/>
  <c r="BJ16" i="5"/>
  <c r="BI16" i="5" s="1"/>
  <c r="BN16" i="5" s="1"/>
  <c r="AZ16" i="5"/>
  <c r="A16" i="5"/>
  <c r="CB15" i="5"/>
  <c r="AZ15" i="5"/>
  <c r="A15" i="5"/>
  <c r="BY14" i="5"/>
  <c r="BX14" i="5"/>
  <c r="BW14" i="5"/>
  <c r="CB14" i="5" s="1"/>
  <c r="AZ14" i="5"/>
  <c r="Z14" i="5"/>
  <c r="A14" i="5"/>
  <c r="CD13" i="5"/>
  <c r="CC13" i="5"/>
  <c r="CB13" i="5"/>
  <c r="BY13" i="5"/>
  <c r="BX13" i="5"/>
  <c r="BW13" i="5"/>
  <c r="AZ13" i="5"/>
  <c r="Z13" i="5"/>
  <c r="A13" i="5"/>
  <c r="BY12" i="5"/>
  <c r="BX12" i="5"/>
  <c r="BW12" i="5"/>
  <c r="CB12" i="5" s="1"/>
  <c r="AZ12" i="5"/>
  <c r="CC12" i="5" s="1"/>
  <c r="CD12" i="5" s="1"/>
  <c r="Z12" i="5"/>
  <c r="A12" i="5"/>
  <c r="BY11" i="5"/>
  <c r="BX11" i="5"/>
  <c r="BW11" i="5"/>
  <c r="CB11" i="5" s="1"/>
  <c r="AZ11" i="5"/>
  <c r="CC11" i="5" s="1"/>
  <c r="CD11" i="5" s="1"/>
  <c r="Z11" i="5"/>
  <c r="A11" i="5"/>
  <c r="BY10" i="5"/>
  <c r="BX10" i="5"/>
  <c r="BW10" i="5"/>
  <c r="CB10" i="5" s="1"/>
  <c r="AZ10" i="5"/>
  <c r="Z10" i="5"/>
  <c r="A10" i="5"/>
  <c r="BY9" i="5"/>
  <c r="BX9" i="5"/>
  <c r="BW9" i="5"/>
  <c r="CB9" i="5" s="1"/>
  <c r="AZ9" i="5"/>
  <c r="A9" i="5"/>
  <c r="CB8" i="5"/>
  <c r="BY8" i="5"/>
  <c r="BX8" i="5"/>
  <c r="BW8" i="5"/>
  <c r="AZ8" i="5"/>
  <c r="A8" i="5"/>
  <c r="BY7" i="5"/>
  <c r="BX7" i="5"/>
  <c r="BW7" i="5"/>
  <c r="CB7" i="5" s="1"/>
  <c r="AZ7" i="5"/>
  <c r="CC7" i="5" s="1"/>
  <c r="CD7" i="5" s="1"/>
  <c r="A7" i="5"/>
  <c r="BY6" i="5"/>
  <c r="BX6" i="5"/>
  <c r="BW6" i="5"/>
  <c r="CB6" i="5" s="1"/>
  <c r="CC6" i="5" s="1"/>
  <c r="CD6" i="5" s="1"/>
  <c r="AZ6" i="5"/>
  <c r="A6" i="5"/>
  <c r="BY5" i="5"/>
  <c r="BX5" i="5"/>
  <c r="BW5" i="5"/>
  <c r="CB5" i="5" s="1"/>
  <c r="AZ5" i="5"/>
  <c r="CC5" i="5" s="1"/>
  <c r="CD5" i="5" s="1"/>
  <c r="A5" i="5"/>
  <c r="CB4" i="5"/>
  <c r="BY4" i="5"/>
  <c r="BX4" i="5"/>
  <c r="BW4" i="5"/>
  <c r="AZ4" i="5"/>
  <c r="CC4" i="5" s="1"/>
  <c r="CD4" i="5" s="1"/>
  <c r="BY3" i="5"/>
  <c r="BX3" i="5"/>
  <c r="BW3" i="5"/>
  <c r="CB3" i="5" s="1"/>
  <c r="AZ3" i="5"/>
  <c r="CC3" i="5" s="1"/>
  <c r="CD3" i="5" s="1"/>
  <c r="A1" i="5"/>
  <c r="Z134" i="5" s="1"/>
  <c r="BQ156" i="5" l="1"/>
  <c r="BS156" i="5"/>
  <c r="BP184" i="5"/>
  <c r="BN37" i="5"/>
  <c r="BM187" i="5"/>
  <c r="BM73" i="5"/>
  <c r="BM79" i="5"/>
  <c r="BS190" i="5"/>
  <c r="BM144" i="5"/>
  <c r="BS53" i="5"/>
  <c r="BN144" i="5"/>
  <c r="BM80" i="5"/>
  <c r="BP144" i="5"/>
  <c r="BN214" i="5"/>
  <c r="BS84" i="5"/>
  <c r="BN51" i="5"/>
  <c r="BN39" i="5"/>
  <c r="BN127" i="5"/>
  <c r="BG195" i="5"/>
  <c r="BM196" i="5"/>
  <c r="BP46" i="5"/>
  <c r="BQ46" i="5"/>
  <c r="BS46" i="5"/>
  <c r="BS30" i="5"/>
  <c r="BN30" i="5"/>
  <c r="BP80" i="5"/>
  <c r="BP212" i="5"/>
  <c r="BM61" i="5"/>
  <c r="BS63" i="5"/>
  <c r="BN69" i="5"/>
  <c r="BQ80" i="5"/>
  <c r="BN154" i="5"/>
  <c r="BS199" i="5"/>
  <c r="BQ212" i="5"/>
  <c r="BS127" i="5"/>
  <c r="BM53" i="5"/>
  <c r="BG53" i="5" s="1"/>
  <c r="BS80" i="5"/>
  <c r="BS100" i="5"/>
  <c r="BN53" i="5"/>
  <c r="BQ119" i="5"/>
  <c r="BM84" i="5"/>
  <c r="BN63" i="5"/>
  <c r="BN80" i="5"/>
  <c r="BN212" i="5"/>
  <c r="BG212" i="5" s="1"/>
  <c r="BQ98" i="5"/>
  <c r="BM62" i="5"/>
  <c r="BS98" i="5"/>
  <c r="BM57" i="5"/>
  <c r="BM132" i="5"/>
  <c r="BM68" i="5"/>
  <c r="BN132" i="5"/>
  <c r="BM150" i="5"/>
  <c r="BQ33" i="5"/>
  <c r="BS33" i="5"/>
  <c r="BN218" i="5"/>
  <c r="BS218" i="5"/>
  <c r="BQ218" i="5"/>
  <c r="BS47" i="5"/>
  <c r="BQ47" i="5"/>
  <c r="BM142" i="5"/>
  <c r="BN142" i="5"/>
  <c r="BS142" i="5"/>
  <c r="BQ142" i="5"/>
  <c r="BS77" i="5"/>
  <c r="BQ77" i="5"/>
  <c r="BN77" i="5"/>
  <c r="BS124" i="5"/>
  <c r="BQ124" i="5"/>
  <c r="BQ83" i="5"/>
  <c r="BS83" i="5"/>
  <c r="BN83" i="5"/>
  <c r="BM83" i="5"/>
  <c r="BG83" i="5" s="1"/>
  <c r="BN169" i="5"/>
  <c r="BQ169" i="5"/>
  <c r="BN96" i="5"/>
  <c r="BS96" i="5"/>
  <c r="BN41" i="5"/>
  <c r="BM41" i="5"/>
  <c r="BG41" i="5" s="1"/>
  <c r="BF41" i="5" s="1"/>
  <c r="BW41" i="5" s="1"/>
  <c r="BS125" i="5"/>
  <c r="BM125" i="5"/>
  <c r="BQ125" i="5"/>
  <c r="BP125" i="5"/>
  <c r="BQ107" i="5"/>
  <c r="BP107" i="5"/>
  <c r="BS107" i="5"/>
  <c r="BS143" i="5"/>
  <c r="BQ143" i="5"/>
  <c r="BN143" i="5"/>
  <c r="BM143" i="5"/>
  <c r="BG143" i="5" s="1"/>
  <c r="BM29" i="5"/>
  <c r="BG29" i="5" s="1"/>
  <c r="BN29" i="5"/>
  <c r="BQ192" i="5"/>
  <c r="BP192" i="5"/>
  <c r="BQ145" i="5"/>
  <c r="BP145" i="5"/>
  <c r="BP137" i="5"/>
  <c r="BM137" i="5"/>
  <c r="BG137" i="5" s="1"/>
  <c r="BS137" i="5"/>
  <c r="BQ137" i="5"/>
  <c r="BS158" i="5"/>
  <c r="BQ158" i="5"/>
  <c r="BP158" i="5"/>
  <c r="BM158" i="5"/>
  <c r="BM18" i="5"/>
  <c r="BQ18" i="5"/>
  <c r="BS18" i="5"/>
  <c r="BS120" i="5"/>
  <c r="BQ120" i="5"/>
  <c r="BM120" i="5"/>
  <c r="BN206" i="5"/>
  <c r="BM206" i="5"/>
  <c r="BQ206" i="5"/>
  <c r="BS206" i="5"/>
  <c r="BM167" i="5"/>
  <c r="BQ167" i="5"/>
  <c r="BP167" i="5"/>
  <c r="BM65" i="5"/>
  <c r="BN65" i="5"/>
  <c r="BG65" i="5" s="1"/>
  <c r="BS65" i="5"/>
  <c r="BQ65" i="5"/>
  <c r="AA189" i="5"/>
  <c r="Z26" i="5"/>
  <c r="AA28" i="5"/>
  <c r="BM38" i="5"/>
  <c r="Z49" i="5"/>
  <c r="BN59" i="5"/>
  <c r="Z68" i="5"/>
  <c r="BQ89" i="5"/>
  <c r="BM103" i="5"/>
  <c r="BM170" i="5"/>
  <c r="AA207" i="5"/>
  <c r="AA4" i="5"/>
  <c r="BN17" i="5"/>
  <c r="Z24" i="5"/>
  <c r="AA26" i="5"/>
  <c r="AA68" i="5"/>
  <c r="BM72" i="5"/>
  <c r="BN170" i="5"/>
  <c r="BG170" i="5" s="1"/>
  <c r="BM17" i="5"/>
  <c r="BN19" i="5"/>
  <c r="AA24" i="5"/>
  <c r="BN38" i="5"/>
  <c r="BN57" i="5"/>
  <c r="Z64" i="5"/>
  <c r="AA77" i="5"/>
  <c r="BM97" i="5"/>
  <c r="BQ103" i="5"/>
  <c r="BN149" i="5"/>
  <c r="BQ159" i="5"/>
  <c r="BP170" i="5"/>
  <c r="BN189" i="5"/>
  <c r="AA7" i="5"/>
  <c r="BQ36" i="5"/>
  <c r="BM51" i="5"/>
  <c r="AA60" i="5"/>
  <c r="AA64" i="5"/>
  <c r="BN72" i="5"/>
  <c r="Z75" i="5"/>
  <c r="Z90" i="5"/>
  <c r="BN97" i="5"/>
  <c r="BM116" i="5"/>
  <c r="BM133" i="5"/>
  <c r="BQ170" i="5"/>
  <c r="AA17" i="5"/>
  <c r="BN137" i="5"/>
  <c r="AA12" i="5"/>
  <c r="Z28" i="5"/>
  <c r="BM59" i="5"/>
  <c r="Z83" i="5"/>
  <c r="BQ38" i="5"/>
  <c r="AA75" i="5"/>
  <c r="BN116" i="5"/>
  <c r="BM124" i="5"/>
  <c r="BG124" i="5" s="1"/>
  <c r="BN147" i="5"/>
  <c r="BG147" i="5" s="1"/>
  <c r="BS17" i="5"/>
  <c r="AA43" i="5"/>
  <c r="BS57" i="5"/>
  <c r="BN62" i="5"/>
  <c r="BG62" i="5" s="1"/>
  <c r="BS72" i="5"/>
  <c r="Z112" i="5"/>
  <c r="BP116" i="5"/>
  <c r="BN124" i="5"/>
  <c r="BM182" i="5"/>
  <c r="BN194" i="5"/>
  <c r="BN205" i="5"/>
  <c r="Z16" i="5"/>
  <c r="BQ30" i="5"/>
  <c r="Z33" i="5"/>
  <c r="Z35" i="5"/>
  <c r="AA37" i="5"/>
  <c r="BQ51" i="5"/>
  <c r="BQ116" i="5"/>
  <c r="Z169" i="5"/>
  <c r="AA16" i="5"/>
  <c r="AA18" i="5"/>
  <c r="Z20" i="5"/>
  <c r="Z29" i="5"/>
  <c r="AA33" i="5"/>
  <c r="AA35" i="5"/>
  <c r="Z39" i="5"/>
  <c r="BS51" i="5"/>
  <c r="Z58" i="5"/>
  <c r="BQ62" i="5"/>
  <c r="BQ68" i="5"/>
  <c r="BM77" i="5"/>
  <c r="Z86" i="5"/>
  <c r="Z96" i="5"/>
  <c r="BN136" i="5"/>
  <c r="BG136" i="5" s="1"/>
  <c r="BT136" i="5" s="1"/>
  <c r="AA169" i="5"/>
  <c r="BQ194" i="5"/>
  <c r="BM203" i="5"/>
  <c r="BM219" i="5"/>
  <c r="Z36" i="5"/>
  <c r="Z51" i="5"/>
  <c r="Z59" i="5"/>
  <c r="AA74" i="5"/>
  <c r="Z5" i="5"/>
  <c r="AA86" i="5"/>
  <c r="AA115" i="5"/>
  <c r="Z148" i="5"/>
  <c r="BN192" i="5"/>
  <c r="BN211" i="5"/>
  <c r="Z17" i="5"/>
  <c r="Z32" i="5"/>
  <c r="BM218" i="5"/>
  <c r="BG218" i="5" s="1"/>
  <c r="Z53" i="5"/>
  <c r="BN125" i="5"/>
  <c r="AA5" i="5"/>
  <c r="AA8" i="5"/>
  <c r="BM22" i="5"/>
  <c r="Z25" i="5"/>
  <c r="AA27" i="5"/>
  <c r="AA46" i="5"/>
  <c r="Z52" i="5"/>
  <c r="AA54" i="5"/>
  <c r="BM56" i="5"/>
  <c r="AA63" i="5"/>
  <c r="BQ136" i="5"/>
  <c r="BM171" i="5"/>
  <c r="BP208" i="5"/>
  <c r="BP211" i="5"/>
  <c r="AA10" i="5"/>
  <c r="AA25" i="5"/>
  <c r="AA48" i="5"/>
  <c r="BN56" i="5"/>
  <c r="BM71" i="5"/>
  <c r="BM100" i="5"/>
  <c r="BP104" i="5"/>
  <c r="BM107" i="5"/>
  <c r="BN122" i="5"/>
  <c r="Z125" i="5"/>
  <c r="BS136" i="5"/>
  <c r="BN156" i="5"/>
  <c r="BM190" i="5"/>
  <c r="BM199" i="5"/>
  <c r="BS208" i="5"/>
  <c r="Z66" i="5"/>
  <c r="BM33" i="5"/>
  <c r="BG33" i="5" s="1"/>
  <c r="AA65" i="5"/>
  <c r="BN71" i="5"/>
  <c r="Z94" i="5"/>
  <c r="BM98" i="5"/>
  <c r="BN100" i="5"/>
  <c r="BN107" i="5"/>
  <c r="AA125" i="5"/>
  <c r="BM156" i="5"/>
  <c r="BN190" i="5"/>
  <c r="BN197" i="5"/>
  <c r="BN199" i="5"/>
  <c r="Z78" i="5"/>
  <c r="Z135" i="5"/>
  <c r="AA14" i="5"/>
  <c r="Z38" i="5"/>
  <c r="BM94" i="5"/>
  <c r="AA53" i="5"/>
  <c r="Z22" i="5"/>
  <c r="Z43" i="5"/>
  <c r="BQ57" i="5"/>
  <c r="BN33" i="5"/>
  <c r="Z44" i="5"/>
  <c r="BQ56" i="5"/>
  <c r="Z76" i="5"/>
  <c r="AA89" i="5"/>
  <c r="BN98" i="5"/>
  <c r="BP100" i="5"/>
  <c r="BP199" i="5"/>
  <c r="CC199" i="5" s="1"/>
  <c r="CD199" i="5" s="1"/>
  <c r="AA6" i="5"/>
  <c r="AA32" i="5"/>
  <c r="AA108" i="5"/>
  <c r="AA55" i="5"/>
  <c r="BN103" i="5"/>
  <c r="BN18" i="5"/>
  <c r="Z42" i="5"/>
  <c r="AA44" i="5"/>
  <c r="BN120" i="5"/>
  <c r="BG120" i="5" s="1"/>
  <c r="BQ197" i="5"/>
  <c r="BS28" i="5"/>
  <c r="BQ28" i="5"/>
  <c r="BM28" i="5"/>
  <c r="BN28" i="5"/>
  <c r="BQ24" i="5"/>
  <c r="BS24" i="5"/>
  <c r="BN24" i="5"/>
  <c r="BM24" i="5"/>
  <c r="CC10" i="5"/>
  <c r="CD10" i="5" s="1"/>
  <c r="BS43" i="5"/>
  <c r="BM43" i="5"/>
  <c r="BN43" i="5"/>
  <c r="BQ43" i="5"/>
  <c r="BQ139" i="5"/>
  <c r="BN139" i="5"/>
  <c r="BS139" i="5"/>
  <c r="BM139" i="5"/>
  <c r="BP139" i="5"/>
  <c r="BN31" i="5"/>
  <c r="BM31" i="5"/>
  <c r="BG31" i="5" s="1"/>
  <c r="BQ31" i="5"/>
  <c r="BS31" i="5"/>
  <c r="BQ91" i="5"/>
  <c r="BN91" i="5"/>
  <c r="BP91" i="5"/>
  <c r="BM91" i="5"/>
  <c r="BS91" i="5"/>
  <c r="BS178" i="5"/>
  <c r="BP178" i="5"/>
  <c r="BN178" i="5"/>
  <c r="BM178" i="5"/>
  <c r="BG178" i="5" s="1"/>
  <c r="BQ178" i="5"/>
  <c r="BN153" i="5"/>
  <c r="BM153" i="5"/>
  <c r="BS153" i="5"/>
  <c r="BP153" i="5"/>
  <c r="BQ153" i="5"/>
  <c r="BS223" i="5"/>
  <c r="BQ223" i="5"/>
  <c r="BP223" i="5"/>
  <c r="BN223" i="5"/>
  <c r="BM223" i="5"/>
  <c r="BS164" i="5"/>
  <c r="BQ164" i="5"/>
  <c r="BP164" i="5"/>
  <c r="BN164" i="5"/>
  <c r="BM164" i="5"/>
  <c r="BG164" i="5" s="1"/>
  <c r="BN40" i="5"/>
  <c r="BM40" i="5"/>
  <c r="BQ40" i="5"/>
  <c r="BM66" i="5"/>
  <c r="BS66" i="5"/>
  <c r="BQ66" i="5"/>
  <c r="BQ76" i="5"/>
  <c r="BN76" i="5"/>
  <c r="BS76" i="5"/>
  <c r="BM76" i="5"/>
  <c r="BM23" i="5"/>
  <c r="BG23" i="5" s="1"/>
  <c r="BQ177" i="5"/>
  <c r="BS177" i="5"/>
  <c r="BP177" i="5"/>
  <c r="BN177" i="5"/>
  <c r="BM177" i="5"/>
  <c r="BS102" i="5"/>
  <c r="BQ102" i="5"/>
  <c r="BP102" i="5"/>
  <c r="BN102" i="5"/>
  <c r="BM102" i="5"/>
  <c r="BS85" i="5"/>
  <c r="BQ85" i="5"/>
  <c r="BN85" i="5"/>
  <c r="BM85" i="5"/>
  <c r="BN23" i="5"/>
  <c r="BQ49" i="5"/>
  <c r="BN49" i="5"/>
  <c r="BM49" i="5"/>
  <c r="BS49" i="5"/>
  <c r="BS87" i="5"/>
  <c r="BQ87" i="5"/>
  <c r="BN87" i="5"/>
  <c r="BM146" i="5"/>
  <c r="BQ146" i="5"/>
  <c r="BN146" i="5"/>
  <c r="BS20" i="5"/>
  <c r="BQ20" i="5"/>
  <c r="BN22" i="5"/>
  <c r="BQ23" i="5"/>
  <c r="BS40" i="5"/>
  <c r="BQ108" i="5"/>
  <c r="BP108" i="5"/>
  <c r="BN108" i="5"/>
  <c r="BS108" i="5"/>
  <c r="BM108" i="5"/>
  <c r="BG108" i="5" s="1"/>
  <c r="BM112" i="5"/>
  <c r="BS112" i="5"/>
  <c r="BQ112" i="5"/>
  <c r="BN112" i="5"/>
  <c r="BM129" i="5"/>
  <c r="BS129" i="5"/>
  <c r="BQ129" i="5"/>
  <c r="BM157" i="5"/>
  <c r="BQ157" i="5"/>
  <c r="BS157" i="5"/>
  <c r="BP157" i="5"/>
  <c r="BN157" i="5"/>
  <c r="BM78" i="5"/>
  <c r="BS90" i="5"/>
  <c r="BS101" i="5"/>
  <c r="BQ101" i="5"/>
  <c r="BN101" i="5"/>
  <c r="BM101" i="5"/>
  <c r="BQ148" i="5"/>
  <c r="BN148" i="5"/>
  <c r="BM148" i="5"/>
  <c r="BG148" i="5" s="1"/>
  <c r="BS148" i="5"/>
  <c r="BP148" i="5"/>
  <c r="CC14" i="5"/>
  <c r="CD14" i="5" s="1"/>
  <c r="BQ22" i="5"/>
  <c r="BM35" i="5"/>
  <c r="BN35" i="5"/>
  <c r="BM48" i="5"/>
  <c r="BQ48" i="5"/>
  <c r="BN48" i="5"/>
  <c r="BN78" i="5"/>
  <c r="BQ135" i="5"/>
  <c r="BP135" i="5"/>
  <c r="BM135" i="5"/>
  <c r="BS135" i="5"/>
  <c r="BN135" i="5"/>
  <c r="BT155" i="5"/>
  <c r="BF155" i="5"/>
  <c r="BS187" i="5"/>
  <c r="BQ187" i="5"/>
  <c r="BQ50" i="5"/>
  <c r="BN50" i="5"/>
  <c r="BM50" i="5"/>
  <c r="BG50" i="5" s="1"/>
  <c r="BS50" i="5"/>
  <c r="BQ74" i="5"/>
  <c r="BN74" i="5"/>
  <c r="BS74" i="5"/>
  <c r="BM74" i="5"/>
  <c r="BS70" i="5"/>
  <c r="BQ70" i="5"/>
  <c r="BN70" i="5"/>
  <c r="BM70" i="5"/>
  <c r="BM16" i="5"/>
  <c r="BG16" i="5" s="1"/>
  <c r="BN32" i="5"/>
  <c r="BQ32" i="5"/>
  <c r="BM32" i="5"/>
  <c r="BS34" i="5"/>
  <c r="BN34" i="5"/>
  <c r="BM34" i="5"/>
  <c r="BS52" i="5"/>
  <c r="BM52" i="5"/>
  <c r="BQ52" i="5"/>
  <c r="BM87" i="5"/>
  <c r="BS146" i="5"/>
  <c r="BQ55" i="5"/>
  <c r="BP55" i="5"/>
  <c r="BN55" i="5"/>
  <c r="BM55" i="5"/>
  <c r="BS55" i="5"/>
  <c r="BM39" i="5"/>
  <c r="BS39" i="5"/>
  <c r="BM90" i="5"/>
  <c r="BQ118" i="5"/>
  <c r="BP118" i="5"/>
  <c r="BM118" i="5"/>
  <c r="BS118" i="5"/>
  <c r="BN118" i="5"/>
  <c r="BM19" i="5"/>
  <c r="BM20" i="5"/>
  <c r="BG37" i="5"/>
  <c r="BQ39" i="5"/>
  <c r="BP58" i="5"/>
  <c r="BN58" i="5"/>
  <c r="BM58" i="5"/>
  <c r="BM75" i="5"/>
  <c r="BQ75" i="5"/>
  <c r="BS75" i="5"/>
  <c r="BN75" i="5"/>
  <c r="BN129" i="5"/>
  <c r="BM162" i="5"/>
  <c r="BP162" i="5"/>
  <c r="BN162" i="5"/>
  <c r="BQ162" i="5"/>
  <c r="BS162" i="5"/>
  <c r="BM185" i="5"/>
  <c r="BS185" i="5"/>
  <c r="BQ185" i="5"/>
  <c r="BN185" i="5"/>
  <c r="AA176" i="5"/>
  <c r="BF195" i="5"/>
  <c r="BN67" i="5"/>
  <c r="BQ67" i="5"/>
  <c r="BS67" i="5"/>
  <c r="BM67" i="5"/>
  <c r="Z82" i="5"/>
  <c r="Z88" i="5"/>
  <c r="BM93" i="5"/>
  <c r="BQ93" i="5"/>
  <c r="BN93" i="5"/>
  <c r="BS93" i="5"/>
  <c r="AA113" i="5"/>
  <c r="AA145" i="5"/>
  <c r="BN187" i="5"/>
  <c r="BN201" i="5"/>
  <c r="BS201" i="5"/>
  <c r="BQ201" i="5"/>
  <c r="BM201" i="5"/>
  <c r="BN45" i="5"/>
  <c r="BM45" i="5"/>
  <c r="BS45" i="5"/>
  <c r="BS16" i="5"/>
  <c r="BQ16" i="5"/>
  <c r="BM21" i="5"/>
  <c r="BN21" i="5"/>
  <c r="BS44" i="5"/>
  <c r="BQ44" i="5"/>
  <c r="BN44" i="5"/>
  <c r="BG44" i="5" s="1"/>
  <c r="BS131" i="5"/>
  <c r="BQ131" i="5"/>
  <c r="BN131" i="5"/>
  <c r="BM131" i="5"/>
  <c r="BP131" i="5"/>
  <c r="CC8" i="5"/>
  <c r="CD8" i="5" s="1"/>
  <c r="BS48" i="5"/>
  <c r="BS69" i="5"/>
  <c r="BQ69" i="5"/>
  <c r="BM69" i="5"/>
  <c r="BM109" i="5"/>
  <c r="BS109" i="5"/>
  <c r="BQ109" i="5"/>
  <c r="BN109" i="5"/>
  <c r="BP109" i="5"/>
  <c r="BS126" i="5"/>
  <c r="BN126" i="5"/>
  <c r="BM126" i="5"/>
  <c r="BQ126" i="5"/>
  <c r="BP182" i="5"/>
  <c r="BN182" i="5"/>
  <c r="BQ182" i="5"/>
  <c r="BS182" i="5"/>
  <c r="BS54" i="5"/>
  <c r="BQ54" i="5"/>
  <c r="BN54" i="5"/>
  <c r="BM54" i="5"/>
  <c r="BN66" i="5"/>
  <c r="BS180" i="5"/>
  <c r="BQ180" i="5"/>
  <c r="BN180" i="5"/>
  <c r="BM180" i="5"/>
  <c r="BN20" i="5"/>
  <c r="BS42" i="5"/>
  <c r="BN42" i="5"/>
  <c r="BS26" i="5"/>
  <c r="BQ26" i="5"/>
  <c r="AA219" i="5"/>
  <c r="Z212" i="5"/>
  <c r="Z209" i="5"/>
  <c r="Z206" i="5"/>
  <c r="AA199" i="5"/>
  <c r="Z219" i="5"/>
  <c r="Z223" i="5"/>
  <c r="AA201" i="5"/>
  <c r="Z192" i="5"/>
  <c r="Z183" i="5"/>
  <c r="Z174" i="5"/>
  <c r="AA167" i="5"/>
  <c r="Z162" i="5"/>
  <c r="Z154" i="5"/>
  <c r="AA229" i="5"/>
  <c r="Z214" i="5"/>
  <c r="AA211" i="5"/>
  <c r="AA208" i="5"/>
  <c r="AA203" i="5"/>
  <c r="Z216" i="5"/>
  <c r="Z218" i="5"/>
  <c r="Z220" i="5"/>
  <c r="AA224" i="5"/>
  <c r="AA213" i="5"/>
  <c r="Z210" i="5"/>
  <c r="Z207" i="5"/>
  <c r="Z200" i="5"/>
  <c r="AA193" i="5"/>
  <c r="AA184" i="5"/>
  <c r="AA175" i="5"/>
  <c r="AA163" i="5"/>
  <c r="AA158" i="5"/>
  <c r="AA155" i="5"/>
  <c r="Z224" i="5"/>
  <c r="AA215" i="5"/>
  <c r="Z202" i="5"/>
  <c r="AA195" i="5"/>
  <c r="AA186" i="5"/>
  <c r="AA177" i="5"/>
  <c r="AA168" i="5"/>
  <c r="AA160" i="5"/>
  <c r="Z215" i="5"/>
  <c r="AA217" i="5"/>
  <c r="Z217" i="5"/>
  <c r="AA218" i="5"/>
  <c r="AA202" i="5"/>
  <c r="Z201" i="5"/>
  <c r="AA171" i="5"/>
  <c r="Z161" i="5"/>
  <c r="Z157" i="5"/>
  <c r="AA137" i="5"/>
  <c r="Z213" i="5"/>
  <c r="Z195" i="5"/>
  <c r="Z186" i="5"/>
  <c r="Z171" i="5"/>
  <c r="AA166" i="5"/>
  <c r="AA146" i="5"/>
  <c r="AA216" i="5"/>
  <c r="Z191" i="5"/>
  <c r="Z177" i="5"/>
  <c r="Z170" i="5"/>
  <c r="AA153" i="5"/>
  <c r="AA144" i="5"/>
  <c r="Z141" i="5"/>
  <c r="Z138" i="5"/>
  <c r="Z130" i="5"/>
  <c r="AA123" i="5"/>
  <c r="AA205" i="5"/>
  <c r="Z194" i="5"/>
  <c r="Z173" i="5"/>
  <c r="AA122" i="5"/>
  <c r="Z117" i="5"/>
  <c r="Z110" i="5"/>
  <c r="Z103" i="5"/>
  <c r="AA94" i="5"/>
  <c r="AA85" i="5"/>
  <c r="AA76" i="5"/>
  <c r="AA67" i="5"/>
  <c r="AA58" i="5"/>
  <c r="AA49" i="5"/>
  <c r="AA40" i="5"/>
  <c r="AA209" i="5"/>
  <c r="Z205" i="5"/>
  <c r="Z193" i="5"/>
  <c r="AA192" i="5"/>
  <c r="AA183" i="5"/>
  <c r="AA172" i="5"/>
  <c r="AA157" i="5"/>
  <c r="AA136" i="5"/>
  <c r="AA130" i="5"/>
  <c r="Z122" i="5"/>
  <c r="AA112" i="5"/>
  <c r="AA105" i="5"/>
  <c r="Z144" i="5"/>
  <c r="Z129" i="5"/>
  <c r="Z121" i="5"/>
  <c r="Z104" i="5"/>
  <c r="AA101" i="5"/>
  <c r="AA95" i="5"/>
  <c r="AA90" i="5"/>
  <c r="Z77" i="5"/>
  <c r="Z69" i="5"/>
  <c r="AA61" i="5"/>
  <c r="Z48" i="5"/>
  <c r="AA31" i="5"/>
  <c r="AA22" i="5"/>
  <c r="Z8" i="5"/>
  <c r="AA133" i="5"/>
  <c r="AA110" i="5"/>
  <c r="Z101" i="5"/>
  <c r="AA204" i="5"/>
  <c r="Z204" i="5"/>
  <c r="AA191" i="5"/>
  <c r="AA190" i="5"/>
  <c r="Z197" i="5"/>
  <c r="Z196" i="5"/>
  <c r="Z180" i="5"/>
  <c r="Z151" i="5"/>
  <c r="Z140" i="5"/>
  <c r="AA135" i="5"/>
  <c r="AA126" i="5"/>
  <c r="Z115" i="5"/>
  <c r="AA182" i="5"/>
  <c r="Z181" i="5"/>
  <c r="AA149" i="5"/>
  <c r="AA143" i="5"/>
  <c r="AA129" i="5"/>
  <c r="AA120" i="5"/>
  <c r="AA119" i="5"/>
  <c r="AA111" i="5"/>
  <c r="AA106" i="5"/>
  <c r="Z102" i="5"/>
  <c r="AA84" i="5"/>
  <c r="Z72" i="5"/>
  <c r="Z63" i="5"/>
  <c r="Z54" i="5"/>
  <c r="AA23" i="5"/>
  <c r="Z18" i="5"/>
  <c r="Z4" i="5"/>
  <c r="Z208" i="5"/>
  <c r="Z182" i="5"/>
  <c r="AA165" i="5"/>
  <c r="AA161" i="5"/>
  <c r="Z149" i="5"/>
  <c r="Z143" i="5"/>
  <c r="AA141" i="5"/>
  <c r="AA139" i="5"/>
  <c r="AA128" i="5"/>
  <c r="Z120" i="5"/>
  <c r="Z119" i="5"/>
  <c r="AA118" i="5"/>
  <c r="Z111" i="5"/>
  <c r="Z106" i="5"/>
  <c r="AA87" i="5"/>
  <c r="Z84" i="5"/>
  <c r="AA81" i="5"/>
  <c r="AA36" i="5"/>
  <c r="Z23" i="5"/>
  <c r="AA15" i="5"/>
  <c r="Z81" i="5"/>
  <c r="AA206" i="5"/>
  <c r="Z165" i="5"/>
  <c r="AA140" i="5"/>
  <c r="Z139" i="5"/>
  <c r="Z128" i="5"/>
  <c r="AA127" i="5"/>
  <c r="Z118" i="5"/>
  <c r="Z87" i="5"/>
  <c r="AA214" i="5"/>
  <c r="AA210" i="5"/>
  <c r="Z211" i="5"/>
  <c r="Z188" i="5"/>
  <c r="AA179" i="5"/>
  <c r="Z155" i="5"/>
  <c r="Z153" i="5"/>
  <c r="Z114" i="5"/>
  <c r="Z108" i="5"/>
  <c r="AA223" i="5"/>
  <c r="Z203" i="5"/>
  <c r="AA178" i="5"/>
  <c r="AA174" i="5"/>
  <c r="Z92" i="5"/>
  <c r="AA73" i="5"/>
  <c r="Z67" i="5"/>
  <c r="AA47" i="5"/>
  <c r="AA34" i="5"/>
  <c r="Z27" i="5"/>
  <c r="Z6" i="5"/>
  <c r="AA102" i="5"/>
  <c r="Z85" i="5"/>
  <c r="AA79" i="5"/>
  <c r="Z73" i="5"/>
  <c r="AA62" i="5"/>
  <c r="AA57" i="5"/>
  <c r="Z47" i="5"/>
  <c r="Z34" i="5"/>
  <c r="AA19" i="5"/>
  <c r="Z57" i="5"/>
  <c r="AA42" i="5"/>
  <c r="AA30" i="5"/>
  <c r="Z131" i="5"/>
  <c r="AA91" i="5"/>
  <c r="Z178" i="5"/>
  <c r="AA66" i="5"/>
  <c r="AA56" i="5"/>
  <c r="AA187" i="5"/>
  <c r="AA162" i="5"/>
  <c r="AA142" i="5"/>
  <c r="AA131" i="5"/>
  <c r="Z79" i="5"/>
  <c r="Z62" i="5"/>
  <c r="Z19" i="5"/>
  <c r="AA198" i="5"/>
  <c r="Z187" i="5"/>
  <c r="AA150" i="5"/>
  <c r="Z142" i="5"/>
  <c r="AA121" i="5"/>
  <c r="AA78" i="5"/>
  <c r="AA72" i="5"/>
  <c r="AA52" i="5"/>
  <c r="Z198" i="5"/>
  <c r="Z166" i="5"/>
  <c r="Z150" i="5"/>
  <c r="AA220" i="5"/>
  <c r="Z175" i="5"/>
  <c r="AA200" i="5"/>
  <c r="AA188" i="5"/>
  <c r="Z163" i="5"/>
  <c r="AA159" i="5"/>
  <c r="AA154" i="5"/>
  <c r="Z133" i="5"/>
  <c r="Z132" i="5"/>
  <c r="Z100" i="5"/>
  <c r="AA99" i="5"/>
  <c r="Z98" i="5"/>
  <c r="Z97" i="5"/>
  <c r="AA96" i="5"/>
  <c r="AA83" i="5"/>
  <c r="AA71" i="5"/>
  <c r="Z65" i="5"/>
  <c r="Z199" i="5"/>
  <c r="Z172" i="5"/>
  <c r="Z137" i="5"/>
  <c r="AA134" i="5"/>
  <c r="AA124" i="5"/>
  <c r="Z89" i="5"/>
  <c r="Z152" i="5"/>
  <c r="Z127" i="5"/>
  <c r="AA212" i="5"/>
  <c r="Z189" i="5"/>
  <c r="AA180" i="5"/>
  <c r="Z176" i="5"/>
  <c r="AA164" i="5"/>
  <c r="Z113" i="5"/>
  <c r="Z41" i="5"/>
  <c r="Z31" i="5"/>
  <c r="Z7" i="5"/>
  <c r="AA109" i="5"/>
  <c r="AA69" i="5"/>
  <c r="AA21" i="5"/>
  <c r="AA197" i="5"/>
  <c r="AA185" i="5"/>
  <c r="Z164" i="5"/>
  <c r="AA151" i="5"/>
  <c r="AA103" i="5"/>
  <c r="AA98" i="5"/>
  <c r="Z91" i="5"/>
  <c r="Z30" i="5"/>
  <c r="AA9" i="5"/>
  <c r="Z185" i="5"/>
  <c r="Z146" i="5"/>
  <c r="Z136" i="5"/>
  <c r="AA132" i="5"/>
  <c r="AA116" i="5"/>
  <c r="Z109" i="5"/>
  <c r="Z105" i="5"/>
  <c r="AA104" i="5"/>
  <c r="AA70" i="5"/>
  <c r="Z40" i="5"/>
  <c r="Z21" i="5"/>
  <c r="AA20" i="5"/>
  <c r="AA11" i="5"/>
  <c r="Z9" i="5"/>
  <c r="AA39" i="5"/>
  <c r="Z116" i="5"/>
  <c r="Z99" i="5"/>
  <c r="Z71" i="5"/>
  <c r="Z70" i="5"/>
  <c r="AA38" i="5"/>
  <c r="Z190" i="5"/>
  <c r="AA170" i="5"/>
  <c r="AA92" i="5"/>
  <c r="AA80" i="5"/>
  <c r="Z123" i="5"/>
  <c r="AA117" i="5"/>
  <c r="Z80" i="5"/>
  <c r="Z37" i="5"/>
  <c r="AA29" i="5"/>
  <c r="AA114" i="5"/>
  <c r="AA82" i="5"/>
  <c r="AA152" i="5"/>
  <c r="AA147" i="5"/>
  <c r="AA156" i="5"/>
  <c r="Z147" i="5"/>
  <c r="AA100" i="5"/>
  <c r="AA93" i="5"/>
  <c r="Z179" i="5"/>
  <c r="Z156" i="5"/>
  <c r="AA138" i="5"/>
  <c r="Z124" i="5"/>
  <c r="Z93" i="5"/>
  <c r="Z61" i="5"/>
  <c r="AA59" i="5"/>
  <c r="AA181" i="5"/>
  <c r="Z159" i="5"/>
  <c r="AA196" i="5"/>
  <c r="Z184" i="5"/>
  <c r="AA173" i="5"/>
  <c r="AA148" i="5"/>
  <c r="Z126" i="5"/>
  <c r="Z95" i="5"/>
  <c r="AA51" i="5"/>
  <c r="Z50" i="5"/>
  <c r="Z46" i="5"/>
  <c r="AA45" i="5"/>
  <c r="BS19" i="5"/>
  <c r="Z3" i="5"/>
  <c r="BS32" i="5"/>
  <c r="BQ34" i="5"/>
  <c r="Z45" i="5"/>
  <c r="AA50" i="5"/>
  <c r="Z56" i="5"/>
  <c r="BQ58" i="5"/>
  <c r="BQ113" i="5"/>
  <c r="BP113" i="5"/>
  <c r="BN113" i="5"/>
  <c r="BS113" i="5"/>
  <c r="BM113" i="5"/>
  <c r="BS115" i="5"/>
  <c r="BP115" i="5"/>
  <c r="BN115" i="5"/>
  <c r="BQ115" i="5"/>
  <c r="BM115" i="5"/>
  <c r="BP78" i="5"/>
  <c r="BS78" i="5"/>
  <c r="BN90" i="5"/>
  <c r="BP16" i="5"/>
  <c r="BS21" i="5"/>
  <c r="BQ19" i="5"/>
  <c r="BN27" i="5"/>
  <c r="BM27" i="5"/>
  <c r="BQ27" i="5"/>
  <c r="BQ35" i="5"/>
  <c r="BN47" i="5"/>
  <c r="BM47" i="5"/>
  <c r="BN52" i="5"/>
  <c r="BS35" i="5"/>
  <c r="AA41" i="5"/>
  <c r="BS79" i="5"/>
  <c r="BQ79" i="5"/>
  <c r="BN79" i="5"/>
  <c r="AA88" i="5"/>
  <c r="AA3" i="5"/>
  <c r="AA13" i="5"/>
  <c r="BS25" i="5"/>
  <c r="BM25" i="5"/>
  <c r="BN25" i="5"/>
  <c r="BM26" i="5"/>
  <c r="BG26" i="5" s="1"/>
  <c r="BS41" i="5"/>
  <c r="BQ41" i="5"/>
  <c r="BM42" i="5"/>
  <c r="Z55" i="5"/>
  <c r="BS58" i="5"/>
  <c r="Z60" i="5"/>
  <c r="Z74" i="5"/>
  <c r="AA97" i="5"/>
  <c r="BS121" i="5"/>
  <c r="BQ121" i="5"/>
  <c r="BN121" i="5"/>
  <c r="BM121" i="5"/>
  <c r="Z160" i="5"/>
  <c r="AA194" i="5"/>
  <c r="BP68" i="5"/>
  <c r="BN68" i="5"/>
  <c r="BS88" i="5"/>
  <c r="BN88" i="5"/>
  <c r="BM88" i="5"/>
  <c r="BQ96" i="5"/>
  <c r="BP96" i="5"/>
  <c r="BM96" i="5"/>
  <c r="BG96" i="5" s="1"/>
  <c r="BS141" i="5"/>
  <c r="BN141" i="5"/>
  <c r="BM141" i="5"/>
  <c r="BQ141" i="5"/>
  <c r="BQ160" i="5"/>
  <c r="BS160" i="5"/>
  <c r="BN160" i="5"/>
  <c r="BM160" i="5"/>
  <c r="BN86" i="5"/>
  <c r="BM86" i="5"/>
  <c r="BS86" i="5"/>
  <c r="BN95" i="5"/>
  <c r="BP95" i="5"/>
  <c r="BM95" i="5"/>
  <c r="BS95" i="5"/>
  <c r="BQ95" i="5"/>
  <c r="BM173" i="5"/>
  <c r="BS173" i="5"/>
  <c r="BN173" i="5"/>
  <c r="BQ173" i="5"/>
  <c r="BM198" i="5"/>
  <c r="BS198" i="5"/>
  <c r="BN198" i="5"/>
  <c r="BQ198" i="5"/>
  <c r="BS94" i="5"/>
  <c r="BQ94" i="5"/>
  <c r="BN128" i="5"/>
  <c r="BS128" i="5"/>
  <c r="BS165" i="5"/>
  <c r="BQ165" i="5"/>
  <c r="BN165" i="5"/>
  <c r="BN111" i="5"/>
  <c r="BM111" i="5"/>
  <c r="BS111" i="5"/>
  <c r="BQ111" i="5"/>
  <c r="BQ186" i="5"/>
  <c r="BS186" i="5"/>
  <c r="BN186" i="5"/>
  <c r="BM186" i="5"/>
  <c r="BP138" i="5"/>
  <c r="BM138" i="5"/>
  <c r="BS138" i="5"/>
  <c r="BQ138" i="5"/>
  <c r="BN138" i="5"/>
  <c r="BN60" i="5"/>
  <c r="BM60" i="5"/>
  <c r="BN64" i="5"/>
  <c r="BS64" i="5"/>
  <c r="BQ64" i="5"/>
  <c r="BM64" i="5"/>
  <c r="BG64" i="5" s="1"/>
  <c r="BQ59" i="5"/>
  <c r="BS59" i="5"/>
  <c r="BM63" i="5"/>
  <c r="BG63" i="5" s="1"/>
  <c r="BM165" i="5"/>
  <c r="BQ168" i="5"/>
  <c r="BS168" i="5"/>
  <c r="BN168" i="5"/>
  <c r="BM168" i="5"/>
  <c r="BQ86" i="5"/>
  <c r="BS114" i="5"/>
  <c r="BQ114" i="5"/>
  <c r="BM114" i="5"/>
  <c r="BM128" i="5"/>
  <c r="BP152" i="5"/>
  <c r="BN152" i="5"/>
  <c r="BS152" i="5"/>
  <c r="BQ152" i="5"/>
  <c r="BM152" i="5"/>
  <c r="BS209" i="5"/>
  <c r="BQ209" i="5"/>
  <c r="BM209" i="5"/>
  <c r="BG209" i="5" s="1"/>
  <c r="BN36" i="5"/>
  <c r="BM36" i="5"/>
  <c r="BN73" i="5"/>
  <c r="BG73" i="5" s="1"/>
  <c r="BS73" i="5"/>
  <c r="BQ73" i="5"/>
  <c r="BP73" i="5"/>
  <c r="BS82" i="5"/>
  <c r="BQ82" i="5"/>
  <c r="BN82" i="5"/>
  <c r="BM82" i="5"/>
  <c r="BN94" i="5"/>
  <c r="BS117" i="5"/>
  <c r="BP117" i="5"/>
  <c r="BN117" i="5"/>
  <c r="BS130" i="5"/>
  <c r="BQ130" i="5"/>
  <c r="BS37" i="5"/>
  <c r="BQ37" i="5"/>
  <c r="BQ128" i="5"/>
  <c r="BM174" i="5"/>
  <c r="BP174" i="5"/>
  <c r="BQ174" i="5"/>
  <c r="BN174" i="5"/>
  <c r="BS174" i="5"/>
  <c r="BQ195" i="5"/>
  <c r="BS195" i="5"/>
  <c r="BT195" i="5" s="1"/>
  <c r="BS202" i="5"/>
  <c r="BM202" i="5"/>
  <c r="BQ202" i="5"/>
  <c r="BN202" i="5"/>
  <c r="BQ60" i="5"/>
  <c r="BM81" i="5"/>
  <c r="BG81" i="5" s="1"/>
  <c r="BQ81" i="5"/>
  <c r="BS81" i="5"/>
  <c r="BS99" i="5"/>
  <c r="BQ99" i="5"/>
  <c r="BP99" i="5"/>
  <c r="BN99" i="5"/>
  <c r="BG99" i="5" s="1"/>
  <c r="BP119" i="5"/>
  <c r="BN119" i="5"/>
  <c r="BM119" i="5"/>
  <c r="BS149" i="5"/>
  <c r="BP149" i="5"/>
  <c r="BM149" i="5"/>
  <c r="BG149" i="5" s="1"/>
  <c r="BQ161" i="5"/>
  <c r="BN161" i="5"/>
  <c r="BS161" i="5"/>
  <c r="BY15" i="5"/>
  <c r="CC15" i="5"/>
  <c r="CD15" i="5" s="1"/>
  <c r="BS29" i="5"/>
  <c r="BQ29" i="5"/>
  <c r="BN84" i="5"/>
  <c r="BG84" i="5" s="1"/>
  <c r="BN92" i="5"/>
  <c r="BM92" i="5"/>
  <c r="BS92" i="5"/>
  <c r="BM110" i="5"/>
  <c r="BP110" i="5"/>
  <c r="BS110" i="5"/>
  <c r="BQ110" i="5"/>
  <c r="BN110" i="5"/>
  <c r="CC9" i="5"/>
  <c r="CD9" i="5" s="1"/>
  <c r="BS60" i="5"/>
  <c r="BS105" i="5"/>
  <c r="BQ105" i="5"/>
  <c r="BN105" i="5"/>
  <c r="BM105" i="5"/>
  <c r="BN114" i="5"/>
  <c r="BM117" i="5"/>
  <c r="BM127" i="5"/>
  <c r="BQ127" i="5"/>
  <c r="BM130" i="5"/>
  <c r="BG130" i="5" s="1"/>
  <c r="BM161" i="5"/>
  <c r="BG161" i="5" s="1"/>
  <c r="BS140" i="5"/>
  <c r="BQ140" i="5"/>
  <c r="BN140" i="5"/>
  <c r="BM140" i="5"/>
  <c r="BS207" i="5"/>
  <c r="BM207" i="5"/>
  <c r="BG207" i="5" s="1"/>
  <c r="BQ207" i="5"/>
  <c r="BN104" i="5"/>
  <c r="BM104" i="5"/>
  <c r="BQ147" i="5"/>
  <c r="BS147" i="5"/>
  <c r="BQ215" i="5"/>
  <c r="BP215" i="5"/>
  <c r="BN215" i="5"/>
  <c r="BM215" i="5"/>
  <c r="BG215" i="5" s="1"/>
  <c r="BS224" i="5"/>
  <c r="BQ224" i="5"/>
  <c r="BP224" i="5"/>
  <c r="BN224" i="5"/>
  <c r="BM224" i="5"/>
  <c r="BQ106" i="5"/>
  <c r="BP106" i="5"/>
  <c r="BS151" i="5"/>
  <c r="BQ151" i="5"/>
  <c r="BN151" i="5"/>
  <c r="BM151" i="5"/>
  <c r="BS196" i="5"/>
  <c r="BN196" i="5"/>
  <c r="BS213" i="5"/>
  <c r="BQ213" i="5"/>
  <c r="BN213" i="5"/>
  <c r="BP213" i="5"/>
  <c r="BM213" i="5"/>
  <c r="BS204" i="5"/>
  <c r="BM204" i="5"/>
  <c r="BN204" i="5"/>
  <c r="BQ204" i="5"/>
  <c r="BN134" i="5"/>
  <c r="BQ134" i="5"/>
  <c r="BM134" i="5"/>
  <c r="BG134" i="5" s="1"/>
  <c r="BP172" i="5"/>
  <c r="BN172" i="5"/>
  <c r="BM179" i="5"/>
  <c r="BS179" i="5"/>
  <c r="BQ179" i="5"/>
  <c r="BN179" i="5"/>
  <c r="BS188" i="5"/>
  <c r="BQ188" i="5"/>
  <c r="BN188" i="5"/>
  <c r="BP188" i="5"/>
  <c r="BQ200" i="5"/>
  <c r="BP200" i="5"/>
  <c r="BM200" i="5"/>
  <c r="BS200" i="5"/>
  <c r="BN200" i="5"/>
  <c r="BS215" i="5"/>
  <c r="BN145" i="5"/>
  <c r="BM145" i="5"/>
  <c r="BS145" i="5"/>
  <c r="BM159" i="5"/>
  <c r="BN159" i="5"/>
  <c r="BN175" i="5"/>
  <c r="BM175" i="5"/>
  <c r="BQ175" i="5"/>
  <c r="BG196" i="5"/>
  <c r="BS61" i="5"/>
  <c r="BN61" i="5"/>
  <c r="BG61" i="5" s="1"/>
  <c r="BQ97" i="5"/>
  <c r="BP97" i="5"/>
  <c r="BS104" i="5"/>
  <c r="BM106" i="5"/>
  <c r="BM166" i="5"/>
  <c r="BN166" i="5"/>
  <c r="BQ166" i="5"/>
  <c r="BN133" i="5"/>
  <c r="BG133" i="5" s="1"/>
  <c r="BS133" i="5"/>
  <c r="BQ133" i="5"/>
  <c r="BM163" i="5"/>
  <c r="BG163" i="5" s="1"/>
  <c r="BM172" i="5"/>
  <c r="BP179" i="5"/>
  <c r="BM188" i="5"/>
  <c r="BQ196" i="5"/>
  <c r="BN89" i="5"/>
  <c r="BM89" i="5"/>
  <c r="BS123" i="5"/>
  <c r="BQ123" i="5"/>
  <c r="BM123" i="5"/>
  <c r="BP123" i="5"/>
  <c r="BN123" i="5"/>
  <c r="BN46" i="5"/>
  <c r="BM46" i="5"/>
  <c r="BG46" i="5" s="1"/>
  <c r="BN106" i="5"/>
  <c r="BM122" i="5"/>
  <c r="BS122" i="5"/>
  <c r="BQ122" i="5"/>
  <c r="BS106" i="5"/>
  <c r="BN163" i="5"/>
  <c r="BS171" i="5"/>
  <c r="BN171" i="5"/>
  <c r="BQ171" i="5"/>
  <c r="BQ172" i="5"/>
  <c r="BP191" i="5"/>
  <c r="BS191" i="5"/>
  <c r="BN191" i="5"/>
  <c r="BM191" i="5"/>
  <c r="BG206" i="5"/>
  <c r="BN158" i="5"/>
  <c r="BM30" i="5"/>
  <c r="BN167" i="5"/>
  <c r="BS167" i="5"/>
  <c r="BM176" i="5"/>
  <c r="BS176" i="5"/>
  <c r="BQ176" i="5"/>
  <c r="BN176" i="5"/>
  <c r="BN184" i="5"/>
  <c r="BG184" i="5" s="1"/>
  <c r="BS184" i="5"/>
  <c r="BQ184" i="5"/>
  <c r="BS210" i="5"/>
  <c r="BM210" i="5"/>
  <c r="BN210" i="5"/>
  <c r="BS150" i="5"/>
  <c r="BQ150" i="5"/>
  <c r="BP150" i="5"/>
  <c r="BN150" i="5"/>
  <c r="BM183" i="5"/>
  <c r="BN183" i="5"/>
  <c r="BS216" i="5"/>
  <c r="BN216" i="5"/>
  <c r="BM216" i="5"/>
  <c r="BQ216" i="5"/>
  <c r="BN220" i="5"/>
  <c r="BS220" i="5"/>
  <c r="BQ220" i="5"/>
  <c r="BS189" i="5"/>
  <c r="BM189" i="5"/>
  <c r="BG189" i="5" s="1"/>
  <c r="BM220" i="5"/>
  <c r="BM192" i="5"/>
  <c r="BG192" i="5" s="1"/>
  <c r="BS192" i="5"/>
  <c r="BS193" i="5"/>
  <c r="BN193" i="5"/>
  <c r="BM193" i="5"/>
  <c r="BM208" i="5"/>
  <c r="BM197" i="5"/>
  <c r="BM205" i="5"/>
  <c r="BN208" i="5"/>
  <c r="BM211" i="5"/>
  <c r="BM154" i="5"/>
  <c r="BQ154" i="5"/>
  <c r="BP154" i="5"/>
  <c r="BS169" i="5"/>
  <c r="BP169" i="5"/>
  <c r="BM169" i="5"/>
  <c r="BG169" i="5" s="1"/>
  <c r="BS217" i="5"/>
  <c r="BQ217" i="5"/>
  <c r="BN217" i="5"/>
  <c r="BM217" i="5"/>
  <c r="BN181" i="5"/>
  <c r="BM181" i="5"/>
  <c r="BQ181" i="5"/>
  <c r="BP214" i="5"/>
  <c r="BM214" i="5"/>
  <c r="BS214" i="5"/>
  <c r="BQ214" i="5"/>
  <c r="BQ203" i="5"/>
  <c r="BN203" i="5"/>
  <c r="BS229" i="5"/>
  <c r="BQ229" i="5"/>
  <c r="BN229" i="5"/>
  <c r="BM229" i="5"/>
  <c r="BG229" i="5" s="1"/>
  <c r="BQ219" i="5"/>
  <c r="BP219" i="5"/>
  <c r="BN219" i="5"/>
  <c r="BG219" i="5" s="1"/>
  <c r="BM194" i="5"/>
  <c r="BF53" i="5" l="1"/>
  <c r="BT53" i="5"/>
  <c r="BG127" i="5"/>
  <c r="BG132" i="5"/>
  <c r="BG51" i="5"/>
  <c r="BF51" i="5" s="1"/>
  <c r="BG203" i="5"/>
  <c r="BG154" i="5"/>
  <c r="BG144" i="5"/>
  <c r="BG68" i="5"/>
  <c r="BG66" i="5"/>
  <c r="BF66" i="5" s="1"/>
  <c r="BG39" i="5"/>
  <c r="BT39" i="5" s="1"/>
  <c r="BG122" i="5"/>
  <c r="BT122" i="5" s="1"/>
  <c r="BG59" i="5"/>
  <c r="BF59" i="5" s="1"/>
  <c r="BW59" i="5" s="1"/>
  <c r="BG171" i="5"/>
  <c r="BG142" i="5"/>
  <c r="BF142" i="5" s="1"/>
  <c r="BG80" i="5"/>
  <c r="BT80" i="5" s="1"/>
  <c r="BG30" i="5"/>
  <c r="BF30" i="5" s="1"/>
  <c r="BG72" i="5"/>
  <c r="BT72" i="5" s="1"/>
  <c r="BG43" i="5"/>
  <c r="BG69" i="5"/>
  <c r="BG197" i="5"/>
  <c r="BG79" i="5"/>
  <c r="BG188" i="5"/>
  <c r="BG98" i="5"/>
  <c r="BF98" i="5" s="1"/>
  <c r="BW98" i="5" s="1"/>
  <c r="BG22" i="5"/>
  <c r="BF22" i="5" s="1"/>
  <c r="BG214" i="5"/>
  <c r="BG181" i="5"/>
  <c r="BG150" i="5"/>
  <c r="BT150" i="5" s="1"/>
  <c r="BG187" i="5"/>
  <c r="BS212" i="5"/>
  <c r="BF212" i="5"/>
  <c r="BZ212" i="5" s="1"/>
  <c r="BT212" i="5"/>
  <c r="BG152" i="5"/>
  <c r="BF152" i="5" s="1"/>
  <c r="BX41" i="5"/>
  <c r="BG57" i="5"/>
  <c r="CB41" i="5"/>
  <c r="BG107" i="5"/>
  <c r="BF107" i="5" s="1"/>
  <c r="BG38" i="5"/>
  <c r="BG48" i="5"/>
  <c r="BT48" i="5" s="1"/>
  <c r="BG100" i="5"/>
  <c r="BG18" i="5"/>
  <c r="BT18" i="5" s="1"/>
  <c r="BG106" i="5"/>
  <c r="BF106" i="5" s="1"/>
  <c r="BG153" i="5"/>
  <c r="BF153" i="5" s="1"/>
  <c r="BT107" i="5"/>
  <c r="BZ107" i="5" s="1"/>
  <c r="BG75" i="5"/>
  <c r="BT75" i="5" s="1"/>
  <c r="BG71" i="5"/>
  <c r="BF71" i="5" s="1"/>
  <c r="BG67" i="5"/>
  <c r="BT67" i="5" s="1"/>
  <c r="BT51" i="5"/>
  <c r="BG86" i="5"/>
  <c r="BT86" i="5" s="1"/>
  <c r="BG77" i="5"/>
  <c r="BF77" i="5" s="1"/>
  <c r="BG36" i="5"/>
  <c r="BT36" i="5" s="1"/>
  <c r="BG201" i="5"/>
  <c r="BF201" i="5" s="1"/>
  <c r="BG91" i="5"/>
  <c r="BG167" i="5"/>
  <c r="BG165" i="5"/>
  <c r="BF165" i="5" s="1"/>
  <c r="BG199" i="5"/>
  <c r="BT199" i="5" s="1"/>
  <c r="BZ199" i="5" s="1"/>
  <c r="BG190" i="5"/>
  <c r="BF190" i="5" s="1"/>
  <c r="CB190" i="5" s="1"/>
  <c r="BG56" i="5"/>
  <c r="BG97" i="5"/>
  <c r="BF97" i="5" s="1"/>
  <c r="BX97" i="5" s="1"/>
  <c r="BG19" i="5"/>
  <c r="BT19" i="5" s="1"/>
  <c r="BU41" i="5"/>
  <c r="BV41" i="5"/>
  <c r="BG194" i="5"/>
  <c r="BT194" i="5" s="1"/>
  <c r="BG158" i="5"/>
  <c r="BG151" i="5"/>
  <c r="BG168" i="5"/>
  <c r="BF168" i="5" s="1"/>
  <c r="BG223" i="5"/>
  <c r="BT223" i="5" s="1"/>
  <c r="BG125" i="5"/>
  <c r="BT77" i="5"/>
  <c r="BG140" i="5"/>
  <c r="BF140" i="5" s="1"/>
  <c r="BG160" i="5"/>
  <c r="BF160" i="5" s="1"/>
  <c r="BG93" i="5"/>
  <c r="BG102" i="5"/>
  <c r="BT102" i="5" s="1"/>
  <c r="BG21" i="5"/>
  <c r="BT21" i="5" s="1"/>
  <c r="BG146" i="5"/>
  <c r="BT146" i="5" s="1"/>
  <c r="BG17" i="5"/>
  <c r="BF136" i="5"/>
  <c r="BV136" i="5" s="1"/>
  <c r="BG138" i="5"/>
  <c r="BF138" i="5" s="1"/>
  <c r="BG89" i="5"/>
  <c r="BT89" i="5" s="1"/>
  <c r="BG204" i="5"/>
  <c r="BG112" i="5"/>
  <c r="BT112" i="5" s="1"/>
  <c r="BG156" i="5"/>
  <c r="BG211" i="5"/>
  <c r="BF211" i="5" s="1"/>
  <c r="BG216" i="5"/>
  <c r="BF216" i="5" s="1"/>
  <c r="BG186" i="5"/>
  <c r="BT186" i="5" s="1"/>
  <c r="BG141" i="5"/>
  <c r="BT141" i="5" s="1"/>
  <c r="BG109" i="5"/>
  <c r="BG70" i="5"/>
  <c r="BT70" i="5" s="1"/>
  <c r="BG177" i="5"/>
  <c r="BF177" i="5" s="1"/>
  <c r="BG94" i="5"/>
  <c r="BT94" i="5" s="1"/>
  <c r="BG205" i="5"/>
  <c r="BT205" i="5" s="1"/>
  <c r="BG47" i="5"/>
  <c r="BG118" i="5"/>
  <c r="BT118" i="5" s="1"/>
  <c r="BG139" i="5"/>
  <c r="BF139" i="5" s="1"/>
  <c r="BG117" i="5"/>
  <c r="BF117" i="5" s="1"/>
  <c r="BG128" i="5"/>
  <c r="BT128" i="5" s="1"/>
  <c r="BG116" i="5"/>
  <c r="BG103" i="5"/>
  <c r="BG123" i="5"/>
  <c r="BT59" i="5"/>
  <c r="BZ59" i="5" s="1"/>
  <c r="BG208" i="5"/>
  <c r="BF208" i="5" s="1"/>
  <c r="BG183" i="5"/>
  <c r="BF183" i="5" s="1"/>
  <c r="BG114" i="5"/>
  <c r="BF114" i="5" s="1"/>
  <c r="BT98" i="5"/>
  <c r="BZ98" i="5" s="1"/>
  <c r="BG179" i="5"/>
  <c r="BT179" i="5" s="1"/>
  <c r="BG119" i="5"/>
  <c r="BT119" i="5" s="1"/>
  <c r="BG111" i="5"/>
  <c r="BF111" i="5" s="1"/>
  <c r="BG88" i="5"/>
  <c r="BT88" i="5" s="1"/>
  <c r="BG27" i="5"/>
  <c r="BF27" i="5" s="1"/>
  <c r="BG182" i="5"/>
  <c r="BF182" i="5" s="1"/>
  <c r="BF18" i="5"/>
  <c r="CB18" i="5" s="1"/>
  <c r="BG217" i="5"/>
  <c r="BG180" i="5"/>
  <c r="BF180" i="5" s="1"/>
  <c r="BG131" i="5"/>
  <c r="BF131" i="5" s="1"/>
  <c r="BG52" i="5"/>
  <c r="BT52" i="5" s="1"/>
  <c r="BG76" i="5"/>
  <c r="BT68" i="5"/>
  <c r="BF68" i="5"/>
  <c r="BT79" i="5"/>
  <c r="BF79" i="5"/>
  <c r="BT167" i="5"/>
  <c r="BF167" i="5"/>
  <c r="BT99" i="5"/>
  <c r="BF99" i="5"/>
  <c r="BF44" i="5"/>
  <c r="BT44" i="5"/>
  <c r="BF73" i="5"/>
  <c r="BT73" i="5"/>
  <c r="BF84" i="5"/>
  <c r="BT84" i="5"/>
  <c r="BT184" i="5"/>
  <c r="BF184" i="5"/>
  <c r="BF203" i="5"/>
  <c r="BT203" i="5"/>
  <c r="BT187" i="5"/>
  <c r="BF187" i="5"/>
  <c r="BT158" i="5"/>
  <c r="BF158" i="5"/>
  <c r="BF133" i="5"/>
  <c r="BT133" i="5"/>
  <c r="BF147" i="5"/>
  <c r="BT147" i="5"/>
  <c r="BT215" i="5"/>
  <c r="BF215" i="5"/>
  <c r="BF33" i="5"/>
  <c r="BT33" i="5"/>
  <c r="BV51" i="5"/>
  <c r="BX51" i="5"/>
  <c r="BW51" i="5"/>
  <c r="CB51" i="5"/>
  <c r="BZ51" i="5"/>
  <c r="BU51" i="5"/>
  <c r="CA51" i="5" s="1"/>
  <c r="BF50" i="5"/>
  <c r="BT50" i="5"/>
  <c r="CB97" i="5"/>
  <c r="BG193" i="5"/>
  <c r="BT219" i="5"/>
  <c r="BF219" i="5"/>
  <c r="BT81" i="5"/>
  <c r="BF81" i="5"/>
  <c r="BG60" i="5"/>
  <c r="BG121" i="5"/>
  <c r="BG25" i="5"/>
  <c r="BG45" i="5"/>
  <c r="BG20" i="5"/>
  <c r="BG34" i="5"/>
  <c r="BG24" i="5"/>
  <c r="BG200" i="5"/>
  <c r="BT151" i="5"/>
  <c r="BF151" i="5"/>
  <c r="BF130" i="5"/>
  <c r="BT130" i="5"/>
  <c r="BU195" i="5"/>
  <c r="BX195" i="5"/>
  <c r="BV195" i="5"/>
  <c r="CB195" i="5"/>
  <c r="BZ195" i="5"/>
  <c r="BW195" i="5"/>
  <c r="BG32" i="5"/>
  <c r="BG35" i="5"/>
  <c r="BU59" i="5"/>
  <c r="BV59" i="5"/>
  <c r="CB59" i="5"/>
  <c r="BX59" i="5"/>
  <c r="BF192" i="5"/>
  <c r="BT192" i="5"/>
  <c r="BT206" i="5"/>
  <c r="BF206" i="5"/>
  <c r="BG172" i="5"/>
  <c r="BF124" i="5"/>
  <c r="BT124" i="5"/>
  <c r="BG202" i="5"/>
  <c r="BG198" i="5"/>
  <c r="BF171" i="5"/>
  <c r="BT171" i="5"/>
  <c r="CB155" i="5"/>
  <c r="BZ155" i="5"/>
  <c r="BX155" i="5"/>
  <c r="BW155" i="5"/>
  <c r="BV155" i="5"/>
  <c r="BU155" i="5"/>
  <c r="BF134" i="5"/>
  <c r="BT134" i="5"/>
  <c r="BF169" i="5"/>
  <c r="BT169" i="5"/>
  <c r="BG191" i="5"/>
  <c r="BT196" i="5"/>
  <c r="BF196" i="5"/>
  <c r="BF127" i="5"/>
  <c r="BT127" i="5"/>
  <c r="BT149" i="5"/>
  <c r="BF149" i="5"/>
  <c r="BT209" i="5"/>
  <c r="BF209" i="5"/>
  <c r="BT165" i="5"/>
  <c r="BG126" i="5"/>
  <c r="BG49" i="5"/>
  <c r="BG40" i="5"/>
  <c r="BF83" i="5"/>
  <c r="BT83" i="5"/>
  <c r="BT109" i="5"/>
  <c r="BF109" i="5"/>
  <c r="BT76" i="5"/>
  <c r="BF76" i="5"/>
  <c r="BG162" i="5"/>
  <c r="BF37" i="5"/>
  <c r="BT37" i="5"/>
  <c r="BF62" i="5"/>
  <c r="BT62" i="5"/>
  <c r="BG176" i="5"/>
  <c r="BF120" i="5"/>
  <c r="BT120" i="5"/>
  <c r="BT41" i="5"/>
  <c r="BZ41" i="5" s="1"/>
  <c r="BG87" i="5"/>
  <c r="BT16" i="5"/>
  <c r="BF16" i="5"/>
  <c r="BF214" i="5"/>
  <c r="BT214" i="5"/>
  <c r="BG175" i="5"/>
  <c r="BG104" i="5"/>
  <c r="CB98" i="5"/>
  <c r="BX98" i="5"/>
  <c r="BV98" i="5"/>
  <c r="BU98" i="5"/>
  <c r="BF70" i="5"/>
  <c r="BF91" i="5"/>
  <c r="BT91" i="5"/>
  <c r="BT63" i="5"/>
  <c r="BF63" i="5"/>
  <c r="BG173" i="5"/>
  <c r="BF96" i="5"/>
  <c r="BT96" i="5"/>
  <c r="BG115" i="5"/>
  <c r="BG135" i="5"/>
  <c r="BG157" i="5"/>
  <c r="BF143" i="5"/>
  <c r="BT143" i="5"/>
  <c r="BF154" i="5"/>
  <c r="BT154" i="5"/>
  <c r="BG90" i="5"/>
  <c r="BG85" i="5"/>
  <c r="BX190" i="5"/>
  <c r="BW190" i="5"/>
  <c r="BU190" i="5"/>
  <c r="BT43" i="5"/>
  <c r="BF43" i="5"/>
  <c r="BX53" i="5"/>
  <c r="BW53" i="5"/>
  <c r="BV53" i="5"/>
  <c r="BZ53" i="5"/>
  <c r="BU53" i="5"/>
  <c r="CA53" i="5" s="1"/>
  <c r="CB53" i="5"/>
  <c r="BT217" i="5"/>
  <c r="BF217" i="5"/>
  <c r="BT142" i="5"/>
  <c r="BT31" i="5"/>
  <c r="BF31" i="5"/>
  <c r="BG78" i="5"/>
  <c r="BT188" i="5"/>
  <c r="BF188" i="5"/>
  <c r="BG220" i="5"/>
  <c r="BT163" i="5"/>
  <c r="BF163" i="5"/>
  <c r="BG110" i="5"/>
  <c r="BT189" i="5"/>
  <c r="BF189" i="5"/>
  <c r="BG159" i="5"/>
  <c r="BT207" i="5"/>
  <c r="BF207" i="5"/>
  <c r="BF29" i="5"/>
  <c r="BT29" i="5"/>
  <c r="BF148" i="5"/>
  <c r="BT148" i="5"/>
  <c r="BT64" i="5"/>
  <c r="BF64" i="5"/>
  <c r="BF26" i="5"/>
  <c r="BT26" i="5"/>
  <c r="BF69" i="5"/>
  <c r="BT69" i="5"/>
  <c r="BT108" i="5"/>
  <c r="BF108" i="5"/>
  <c r="BF229" i="5"/>
  <c r="BT229" i="5"/>
  <c r="BT46" i="5"/>
  <c r="BF46" i="5"/>
  <c r="BT181" i="5"/>
  <c r="BF181" i="5"/>
  <c r="BT218" i="5"/>
  <c r="BF218" i="5"/>
  <c r="BG95" i="5"/>
  <c r="BF47" i="5"/>
  <c r="BT47" i="5"/>
  <c r="BG185" i="5"/>
  <c r="BG74" i="5"/>
  <c r="BG129" i="5"/>
  <c r="BF164" i="5"/>
  <c r="BT164" i="5"/>
  <c r="BG28" i="5"/>
  <c r="BT197" i="5"/>
  <c r="BF197" i="5"/>
  <c r="BG210" i="5"/>
  <c r="BG166" i="5"/>
  <c r="BF65" i="5"/>
  <c r="BT65" i="5"/>
  <c r="BF61" i="5"/>
  <c r="BT61" i="5"/>
  <c r="BT137" i="5"/>
  <c r="BF137" i="5"/>
  <c r="BF48" i="5"/>
  <c r="BF161" i="5"/>
  <c r="BT161" i="5"/>
  <c r="BF178" i="5"/>
  <c r="BT178" i="5"/>
  <c r="BF204" i="5"/>
  <c r="BT204" i="5"/>
  <c r="BG224" i="5"/>
  <c r="BG92" i="5"/>
  <c r="BG174" i="5"/>
  <c r="BG82" i="5"/>
  <c r="BV107" i="5"/>
  <c r="BU107" i="5"/>
  <c r="BX107" i="5"/>
  <c r="BW107" i="5"/>
  <c r="CB107" i="5"/>
  <c r="BG58" i="5"/>
  <c r="CB212" i="5"/>
  <c r="BT123" i="5"/>
  <c r="BF123" i="5"/>
  <c r="BG145" i="5"/>
  <c r="BG213" i="5"/>
  <c r="BT170" i="5"/>
  <c r="BF170" i="5"/>
  <c r="BG105" i="5"/>
  <c r="BG42" i="5"/>
  <c r="BG113" i="5"/>
  <c r="BG54" i="5"/>
  <c r="BF93" i="5"/>
  <c r="BT93" i="5"/>
  <c r="BG55" i="5"/>
  <c r="BG101" i="5"/>
  <c r="BX136" i="5"/>
  <c r="BF23" i="5"/>
  <c r="BT23" i="5"/>
  <c r="BF72" i="5" l="1"/>
  <c r="BU212" i="5"/>
  <c r="BT201" i="5"/>
  <c r="BF80" i="5"/>
  <c r="BZ80" i="5" s="1"/>
  <c r="BF86" i="5"/>
  <c r="BX86" i="5" s="1"/>
  <c r="BF122" i="5"/>
  <c r="BW212" i="5"/>
  <c r="BS211" i="5"/>
  <c r="BT211" i="5" s="1"/>
  <c r="BV212" i="5"/>
  <c r="CA212" i="5" s="1"/>
  <c r="BX212" i="5"/>
  <c r="BF223" i="5"/>
  <c r="BW223" i="5" s="1"/>
  <c r="BT168" i="5"/>
  <c r="BZ168" i="5" s="1"/>
  <c r="BF67" i="5"/>
  <c r="BX67" i="5" s="1"/>
  <c r="BT71" i="5"/>
  <c r="BZ71" i="5" s="1"/>
  <c r="BV190" i="5"/>
  <c r="CA190" i="5" s="1"/>
  <c r="BT66" i="5"/>
  <c r="BZ66" i="5" s="1"/>
  <c r="BF36" i="5"/>
  <c r="BF52" i="5"/>
  <c r="BT132" i="5"/>
  <c r="BF132" i="5"/>
  <c r="BF39" i="5"/>
  <c r="BW39" i="5" s="1"/>
  <c r="BF150" i="5"/>
  <c r="BZ150" i="5" s="1"/>
  <c r="CA41" i="5"/>
  <c r="BF144" i="5"/>
  <c r="BT144" i="5"/>
  <c r="BZ144" i="5" s="1"/>
  <c r="BF19" i="5"/>
  <c r="BZ19" i="5" s="1"/>
  <c r="BT152" i="5"/>
  <c r="BT208" i="5"/>
  <c r="BT22" i="5"/>
  <c r="BZ22" i="5" s="1"/>
  <c r="BF89" i="5"/>
  <c r="CB89" i="5" s="1"/>
  <c r="BT153" i="5"/>
  <c r="BZ153" i="5" s="1"/>
  <c r="BF112" i="5"/>
  <c r="BX112" i="5" s="1"/>
  <c r="BT30" i="5"/>
  <c r="BZ30" i="5" s="1"/>
  <c r="BF56" i="5"/>
  <c r="BT56" i="5"/>
  <c r="BF100" i="5"/>
  <c r="BT100" i="5"/>
  <c r="BZ100" i="5" s="1"/>
  <c r="BX18" i="5"/>
  <c r="BT38" i="5"/>
  <c r="BF38" i="5"/>
  <c r="BW18" i="5"/>
  <c r="BU18" i="5"/>
  <c r="BF102" i="5"/>
  <c r="BY41" i="5"/>
  <c r="CC41" i="5"/>
  <c r="CD41" i="5" s="1"/>
  <c r="BF194" i="5"/>
  <c r="BV194" i="5" s="1"/>
  <c r="BF75" i="5"/>
  <c r="BW75" i="5" s="1"/>
  <c r="BF118" i="5"/>
  <c r="BV118" i="5" s="1"/>
  <c r="BF57" i="5"/>
  <c r="BT57" i="5"/>
  <c r="BF119" i="5"/>
  <c r="BU119" i="5" s="1"/>
  <c r="BU97" i="5"/>
  <c r="BV97" i="5"/>
  <c r="BT106" i="5"/>
  <c r="BT182" i="5"/>
  <c r="BT190" i="5"/>
  <c r="BZ190" i="5" s="1"/>
  <c r="BT139" i="5"/>
  <c r="BZ139" i="5" s="1"/>
  <c r="BW97" i="5"/>
  <c r="BT117" i="5"/>
  <c r="BT97" i="5"/>
  <c r="BZ97" i="5" s="1"/>
  <c r="CB80" i="5"/>
  <c r="BV80" i="5"/>
  <c r="BX80" i="5"/>
  <c r="BU80" i="5"/>
  <c r="BW80" i="5"/>
  <c r="BW136" i="5"/>
  <c r="BT180" i="5"/>
  <c r="BZ180" i="5" s="1"/>
  <c r="BT17" i="5"/>
  <c r="BF17" i="5"/>
  <c r="BU136" i="5"/>
  <c r="CB136" i="5"/>
  <c r="CC136" i="5" s="1"/>
  <c r="CD136" i="5" s="1"/>
  <c r="BT177" i="5"/>
  <c r="BZ177" i="5" s="1"/>
  <c r="BF116" i="5"/>
  <c r="BT116" i="5"/>
  <c r="BF21" i="5"/>
  <c r="BU21" i="5" s="1"/>
  <c r="BT131" i="5"/>
  <c r="BZ131" i="5" s="1"/>
  <c r="BT216" i="5"/>
  <c r="BT111" i="5"/>
  <c r="BT27" i="5"/>
  <c r="BF94" i="5"/>
  <c r="BU94" i="5" s="1"/>
  <c r="BT156" i="5"/>
  <c r="BF156" i="5"/>
  <c r="BF128" i="5"/>
  <c r="BU128" i="5" s="1"/>
  <c r="BF146" i="5"/>
  <c r="BV146" i="5" s="1"/>
  <c r="BX72" i="5"/>
  <c r="BT138" i="5"/>
  <c r="BZ138" i="5" s="1"/>
  <c r="BT140" i="5"/>
  <c r="BZ140" i="5" s="1"/>
  <c r="BF186" i="5"/>
  <c r="BU186" i="5" s="1"/>
  <c r="BX77" i="5"/>
  <c r="CB77" i="5"/>
  <c r="BZ77" i="5"/>
  <c r="BW77" i="5"/>
  <c r="BV77" i="5"/>
  <c r="BU77" i="5"/>
  <c r="BF205" i="5"/>
  <c r="BX205" i="5" s="1"/>
  <c r="BT114" i="5"/>
  <c r="BZ114" i="5" s="1"/>
  <c r="BV18" i="5"/>
  <c r="CA18" i="5" s="1"/>
  <c r="BF88" i="5"/>
  <c r="BU88" i="5" s="1"/>
  <c r="BT183" i="5"/>
  <c r="BZ183" i="5" s="1"/>
  <c r="BF179" i="5"/>
  <c r="BX179" i="5" s="1"/>
  <c r="BT160" i="5"/>
  <c r="BZ160" i="5" s="1"/>
  <c r="BT103" i="5"/>
  <c r="BF103" i="5"/>
  <c r="BZ18" i="5"/>
  <c r="BF141" i="5"/>
  <c r="BW141" i="5" s="1"/>
  <c r="BZ136" i="5"/>
  <c r="BF125" i="5"/>
  <c r="BT125" i="5"/>
  <c r="BT126" i="5"/>
  <c r="BF126" i="5"/>
  <c r="BY212" i="5"/>
  <c r="CC212" i="5"/>
  <c r="CD212" i="5" s="1"/>
  <c r="BZ16" i="5"/>
  <c r="BX16" i="5"/>
  <c r="CB16" i="5"/>
  <c r="BU16" i="5"/>
  <c r="BW16" i="5"/>
  <c r="BV16" i="5"/>
  <c r="CB208" i="5"/>
  <c r="BZ208" i="5"/>
  <c r="BX208" i="5"/>
  <c r="BW208" i="5"/>
  <c r="BV208" i="5"/>
  <c r="BU208" i="5"/>
  <c r="CB124" i="5"/>
  <c r="BV124" i="5"/>
  <c r="BZ124" i="5"/>
  <c r="BU124" i="5"/>
  <c r="BW124" i="5"/>
  <c r="BX124" i="5"/>
  <c r="BF60" i="5"/>
  <c r="BT60" i="5"/>
  <c r="CB52" i="5"/>
  <c r="BV52" i="5"/>
  <c r="BU52" i="5"/>
  <c r="BX52" i="5"/>
  <c r="BW52" i="5"/>
  <c r="BZ52" i="5"/>
  <c r="CA59" i="5"/>
  <c r="CB229" i="5"/>
  <c r="BZ229" i="5"/>
  <c r="BX229" i="5"/>
  <c r="BW229" i="5"/>
  <c r="BV229" i="5"/>
  <c r="BU229" i="5"/>
  <c r="BT55" i="5"/>
  <c r="BF55" i="5"/>
  <c r="BY195" i="5"/>
  <c r="CC195" i="5"/>
  <c r="CD195" i="5" s="1"/>
  <c r="BW158" i="5"/>
  <c r="BU158" i="5"/>
  <c r="BX158" i="5"/>
  <c r="CB158" i="5"/>
  <c r="BV158" i="5"/>
  <c r="BZ158" i="5"/>
  <c r="CB73" i="5"/>
  <c r="BZ73" i="5"/>
  <c r="BW73" i="5"/>
  <c r="BU73" i="5"/>
  <c r="BV73" i="5"/>
  <c r="BX73" i="5"/>
  <c r="BT35" i="5"/>
  <c r="BF35" i="5"/>
  <c r="BU81" i="5"/>
  <c r="CB81" i="5"/>
  <c r="BZ81" i="5"/>
  <c r="BV81" i="5"/>
  <c r="BX81" i="5"/>
  <c r="BW81" i="5"/>
  <c r="BZ206" i="5"/>
  <c r="BW206" i="5"/>
  <c r="BU206" i="5"/>
  <c r="BX206" i="5"/>
  <c r="BV206" i="5"/>
  <c r="CB206" i="5"/>
  <c r="BX150" i="5"/>
  <c r="BU150" i="5"/>
  <c r="CB147" i="5"/>
  <c r="BZ147" i="5"/>
  <c r="BX147" i="5"/>
  <c r="BU147" i="5"/>
  <c r="BW147" i="5"/>
  <c r="BV147" i="5"/>
  <c r="BZ102" i="5"/>
  <c r="BX102" i="5"/>
  <c r="CB102" i="5"/>
  <c r="BV102" i="5"/>
  <c r="BW102" i="5"/>
  <c r="BU102" i="5"/>
  <c r="CA102" i="5" s="1"/>
  <c r="BT104" i="5"/>
  <c r="BF104" i="5"/>
  <c r="BF200" i="5"/>
  <c r="BT200" i="5"/>
  <c r="CB50" i="5"/>
  <c r="BX50" i="5"/>
  <c r="BW50" i="5"/>
  <c r="BV50" i="5"/>
  <c r="BU50" i="5"/>
  <c r="BZ50" i="5"/>
  <c r="BY107" i="5"/>
  <c r="CC107" i="5"/>
  <c r="CD107" i="5" s="1"/>
  <c r="BU180" i="5"/>
  <c r="BV180" i="5"/>
  <c r="CB180" i="5"/>
  <c r="BX180" i="5"/>
  <c r="BW180" i="5"/>
  <c r="BT121" i="5"/>
  <c r="BF121" i="5"/>
  <c r="BX118" i="5"/>
  <c r="BX43" i="5"/>
  <c r="BZ43" i="5"/>
  <c r="BW43" i="5"/>
  <c r="BV43" i="5"/>
  <c r="BU43" i="5"/>
  <c r="CB43" i="5"/>
  <c r="BF220" i="5"/>
  <c r="BT220" i="5"/>
  <c r="BF40" i="5"/>
  <c r="BT40" i="5"/>
  <c r="BF20" i="5"/>
  <c r="BT20" i="5"/>
  <c r="BT145" i="5"/>
  <c r="BF145" i="5"/>
  <c r="BZ112" i="5"/>
  <c r="BV112" i="5"/>
  <c r="CB112" i="5"/>
  <c r="CB218" i="5"/>
  <c r="BZ218" i="5"/>
  <c r="BX218" i="5"/>
  <c r="BU218" i="5"/>
  <c r="BW218" i="5"/>
  <c r="BV218" i="5"/>
  <c r="BF90" i="5"/>
  <c r="BT90" i="5"/>
  <c r="BF175" i="5"/>
  <c r="BT175" i="5"/>
  <c r="BT198" i="5"/>
  <c r="BF198" i="5"/>
  <c r="BX123" i="5"/>
  <c r="CB123" i="5"/>
  <c r="BV123" i="5"/>
  <c r="BU123" i="5"/>
  <c r="BZ123" i="5"/>
  <c r="BW123" i="5"/>
  <c r="BV134" i="5"/>
  <c r="BU134" i="5"/>
  <c r="BZ134" i="5"/>
  <c r="CB134" i="5"/>
  <c r="BX134" i="5"/>
  <c r="BW134" i="5"/>
  <c r="BW182" i="5"/>
  <c r="BU182" i="5"/>
  <c r="BZ182" i="5"/>
  <c r="CB182" i="5"/>
  <c r="BV182" i="5"/>
  <c r="BX182" i="5"/>
  <c r="BW197" i="5"/>
  <c r="BU197" i="5"/>
  <c r="CB197" i="5"/>
  <c r="BZ197" i="5"/>
  <c r="BX197" i="5"/>
  <c r="BV197" i="5"/>
  <c r="BX154" i="5"/>
  <c r="BZ154" i="5"/>
  <c r="BW154" i="5"/>
  <c r="BV154" i="5"/>
  <c r="BU154" i="5"/>
  <c r="CB154" i="5"/>
  <c r="BZ61" i="5"/>
  <c r="CB61" i="5"/>
  <c r="BX61" i="5"/>
  <c r="BU61" i="5"/>
  <c r="BW61" i="5"/>
  <c r="BV61" i="5"/>
  <c r="BV108" i="5"/>
  <c r="BU108" i="5"/>
  <c r="BW108" i="5"/>
  <c r="CB108" i="5"/>
  <c r="BX108" i="5"/>
  <c r="BZ108" i="5"/>
  <c r="BY53" i="5"/>
  <c r="CC53" i="5"/>
  <c r="CD53" i="5" s="1"/>
  <c r="BV37" i="5"/>
  <c r="BU37" i="5"/>
  <c r="BZ37" i="5"/>
  <c r="BX37" i="5"/>
  <c r="BW37" i="5"/>
  <c r="CB37" i="5"/>
  <c r="BT162" i="5"/>
  <c r="BF162" i="5"/>
  <c r="CB44" i="5"/>
  <c r="BX44" i="5"/>
  <c r="BW44" i="5"/>
  <c r="BV44" i="5"/>
  <c r="BU44" i="5"/>
  <c r="BZ44" i="5"/>
  <c r="BF101" i="5"/>
  <c r="BT101" i="5"/>
  <c r="CB178" i="5"/>
  <c r="BU178" i="5"/>
  <c r="BX178" i="5"/>
  <c r="BW178" i="5"/>
  <c r="BV178" i="5"/>
  <c r="BZ178" i="5"/>
  <c r="BT157" i="5"/>
  <c r="BF157" i="5"/>
  <c r="BF87" i="5"/>
  <c r="BT87" i="5"/>
  <c r="BZ209" i="5"/>
  <c r="BW209" i="5"/>
  <c r="BU209" i="5"/>
  <c r="CB209" i="5"/>
  <c r="BX209" i="5"/>
  <c r="BV209" i="5"/>
  <c r="BT166" i="5"/>
  <c r="BF166" i="5"/>
  <c r="BX69" i="5"/>
  <c r="BW69" i="5"/>
  <c r="BV69" i="5"/>
  <c r="BZ69" i="5"/>
  <c r="CB69" i="5"/>
  <c r="BU69" i="5"/>
  <c r="BW91" i="5"/>
  <c r="BV91" i="5"/>
  <c r="BU91" i="5"/>
  <c r="BZ91" i="5"/>
  <c r="BX91" i="5"/>
  <c r="CB91" i="5"/>
  <c r="BT129" i="5"/>
  <c r="BF129" i="5"/>
  <c r="BT82" i="5"/>
  <c r="BF82" i="5"/>
  <c r="BF74" i="5"/>
  <c r="BT74" i="5"/>
  <c r="BW26" i="5"/>
  <c r="BV26" i="5"/>
  <c r="BZ26" i="5"/>
  <c r="CB26" i="5"/>
  <c r="BU26" i="5"/>
  <c r="BX26" i="5"/>
  <c r="CB187" i="5"/>
  <c r="BX187" i="5"/>
  <c r="BW187" i="5"/>
  <c r="BZ187" i="5"/>
  <c r="BV187" i="5"/>
  <c r="BU187" i="5"/>
  <c r="BF174" i="5"/>
  <c r="BT174" i="5"/>
  <c r="BX31" i="5"/>
  <c r="BW31" i="5"/>
  <c r="BV31" i="5"/>
  <c r="BU31" i="5"/>
  <c r="BZ31" i="5"/>
  <c r="CB31" i="5"/>
  <c r="BF24" i="5"/>
  <c r="BT24" i="5"/>
  <c r="BF113" i="5"/>
  <c r="BT113" i="5"/>
  <c r="CB127" i="5"/>
  <c r="BV127" i="5"/>
  <c r="BX127" i="5"/>
  <c r="BU127" i="5"/>
  <c r="BW127" i="5"/>
  <c r="BZ127" i="5"/>
  <c r="BX192" i="5"/>
  <c r="CB192" i="5"/>
  <c r="BV192" i="5"/>
  <c r="BU192" i="5"/>
  <c r="BZ192" i="5"/>
  <c r="BW192" i="5"/>
  <c r="BZ94" i="5"/>
  <c r="BU27" i="5"/>
  <c r="BZ27" i="5"/>
  <c r="BW27" i="5"/>
  <c r="BV27" i="5"/>
  <c r="CB27" i="5"/>
  <c r="BX27" i="5"/>
  <c r="CB114" i="5"/>
  <c r="BW114" i="5"/>
  <c r="BV114" i="5"/>
  <c r="BX114" i="5"/>
  <c r="BU114" i="5"/>
  <c r="BW66" i="5"/>
  <c r="BV66" i="5"/>
  <c r="BU66" i="5"/>
  <c r="CB66" i="5"/>
  <c r="BX66" i="5"/>
  <c r="BV204" i="5"/>
  <c r="BU204" i="5"/>
  <c r="CB204" i="5"/>
  <c r="BZ204" i="5"/>
  <c r="BX204" i="5"/>
  <c r="BW204" i="5"/>
  <c r="BU46" i="5"/>
  <c r="BV46" i="5"/>
  <c r="CB46" i="5"/>
  <c r="BZ46" i="5"/>
  <c r="BX46" i="5"/>
  <c r="BW46" i="5"/>
  <c r="BU63" i="5"/>
  <c r="BX63" i="5"/>
  <c r="BZ63" i="5"/>
  <c r="BW63" i="5"/>
  <c r="BV63" i="5"/>
  <c r="CB63" i="5"/>
  <c r="BF105" i="5"/>
  <c r="BT105" i="5"/>
  <c r="CB67" i="5"/>
  <c r="CB148" i="5"/>
  <c r="BW148" i="5"/>
  <c r="BZ148" i="5"/>
  <c r="BX148" i="5"/>
  <c r="BV148" i="5"/>
  <c r="BU148" i="5"/>
  <c r="BF110" i="5"/>
  <c r="BT110" i="5"/>
  <c r="BV138" i="5"/>
  <c r="BU138" i="5"/>
  <c r="CB138" i="5"/>
  <c r="BX138" i="5"/>
  <c r="BW138" i="5"/>
  <c r="BY98" i="5"/>
  <c r="CC98" i="5"/>
  <c r="CD98" i="5" s="1"/>
  <c r="BV120" i="5"/>
  <c r="BU120" i="5"/>
  <c r="CB120" i="5"/>
  <c r="BZ120" i="5"/>
  <c r="BX120" i="5"/>
  <c r="BW120" i="5"/>
  <c r="BX140" i="5"/>
  <c r="CB140" i="5"/>
  <c r="BW140" i="5"/>
  <c r="BU140" i="5"/>
  <c r="BV140" i="5"/>
  <c r="BU215" i="5"/>
  <c r="BX215" i="5"/>
  <c r="BW215" i="5"/>
  <c r="BV215" i="5"/>
  <c r="CB215" i="5"/>
  <c r="BZ215" i="5"/>
  <c r="BF213" i="5"/>
  <c r="BT213" i="5"/>
  <c r="BT85" i="5"/>
  <c r="BF85" i="5"/>
  <c r="BT45" i="5"/>
  <c r="BF45" i="5"/>
  <c r="BW217" i="5"/>
  <c r="BV217" i="5"/>
  <c r="BZ217" i="5"/>
  <c r="BX217" i="5"/>
  <c r="CB217" i="5"/>
  <c r="BU217" i="5"/>
  <c r="BZ106" i="5"/>
  <c r="BV106" i="5"/>
  <c r="BU106" i="5"/>
  <c r="CB106" i="5"/>
  <c r="BX106" i="5"/>
  <c r="BW106" i="5"/>
  <c r="BT32" i="5"/>
  <c r="BF32" i="5"/>
  <c r="CB211" i="5"/>
  <c r="BX211" i="5"/>
  <c r="BW211" i="5"/>
  <c r="BV211" i="5"/>
  <c r="BU211" i="5"/>
  <c r="CC51" i="5"/>
  <c r="CD51" i="5" s="1"/>
  <c r="BY51" i="5"/>
  <c r="CA107" i="5"/>
  <c r="BV181" i="5"/>
  <c r="CB181" i="5"/>
  <c r="BZ181" i="5"/>
  <c r="BX181" i="5"/>
  <c r="BU181" i="5"/>
  <c r="BW181" i="5"/>
  <c r="BZ122" i="5"/>
  <c r="BU122" i="5"/>
  <c r="CB122" i="5"/>
  <c r="BX122" i="5"/>
  <c r="BW122" i="5"/>
  <c r="BV122" i="5"/>
  <c r="BU99" i="5"/>
  <c r="BV99" i="5"/>
  <c r="BZ99" i="5"/>
  <c r="BX99" i="5"/>
  <c r="CB99" i="5"/>
  <c r="BW99" i="5"/>
  <c r="BW29" i="5"/>
  <c r="CB29" i="5"/>
  <c r="BZ29" i="5"/>
  <c r="BU29" i="5"/>
  <c r="BV29" i="5"/>
  <c r="BX29" i="5"/>
  <c r="BT135" i="5"/>
  <c r="BF135" i="5"/>
  <c r="CB201" i="5"/>
  <c r="BW201" i="5"/>
  <c r="BZ201" i="5"/>
  <c r="BX201" i="5"/>
  <c r="BV201" i="5"/>
  <c r="BU201" i="5"/>
  <c r="BZ194" i="5"/>
  <c r="BU194" i="5"/>
  <c r="CB194" i="5"/>
  <c r="BZ207" i="5"/>
  <c r="BX207" i="5"/>
  <c r="CB207" i="5"/>
  <c r="BW207" i="5"/>
  <c r="BU207" i="5"/>
  <c r="BV207" i="5"/>
  <c r="BV109" i="5"/>
  <c r="BU109" i="5"/>
  <c r="CB109" i="5"/>
  <c r="BZ109" i="5"/>
  <c r="BX109" i="5"/>
  <c r="BW109" i="5"/>
  <c r="CB177" i="5"/>
  <c r="BX177" i="5"/>
  <c r="BW177" i="5"/>
  <c r="BV177" i="5"/>
  <c r="BU177" i="5"/>
  <c r="BV93" i="5"/>
  <c r="CB93" i="5"/>
  <c r="BX93" i="5"/>
  <c r="BU93" i="5"/>
  <c r="BW93" i="5"/>
  <c r="BZ93" i="5"/>
  <c r="CB71" i="5"/>
  <c r="BX71" i="5"/>
  <c r="BV71" i="5"/>
  <c r="BW71" i="5"/>
  <c r="BU71" i="5"/>
  <c r="CA195" i="5"/>
  <c r="BW167" i="5"/>
  <c r="BV167" i="5"/>
  <c r="BU167" i="5"/>
  <c r="BZ167" i="5"/>
  <c r="CB167" i="5"/>
  <c r="BX167" i="5"/>
  <c r="BW205" i="5"/>
  <c r="BV205" i="5"/>
  <c r="BZ205" i="5"/>
  <c r="BU205" i="5"/>
  <c r="CB205" i="5"/>
  <c r="BF42" i="5"/>
  <c r="BT42" i="5"/>
  <c r="CB216" i="5"/>
  <c r="BZ216" i="5"/>
  <c r="BX216" i="5"/>
  <c r="BV216" i="5"/>
  <c r="BW216" i="5"/>
  <c r="BU216" i="5"/>
  <c r="BW64" i="5"/>
  <c r="BU64" i="5"/>
  <c r="CB64" i="5"/>
  <c r="BZ64" i="5"/>
  <c r="BX64" i="5"/>
  <c r="BV64" i="5"/>
  <c r="CA98" i="5"/>
  <c r="CB196" i="5"/>
  <c r="BX196" i="5"/>
  <c r="BW196" i="5"/>
  <c r="BU196" i="5"/>
  <c r="BV196" i="5"/>
  <c r="BZ196" i="5"/>
  <c r="CB22" i="5"/>
  <c r="BX22" i="5"/>
  <c r="BU22" i="5"/>
  <c r="BW22" i="5"/>
  <c r="BV22" i="5"/>
  <c r="BF193" i="5"/>
  <c r="BT193" i="5"/>
  <c r="CB203" i="5"/>
  <c r="BZ203" i="5"/>
  <c r="BX203" i="5"/>
  <c r="BW203" i="5"/>
  <c r="BV203" i="5"/>
  <c r="BU203" i="5"/>
  <c r="BX128" i="5"/>
  <c r="BW128" i="5"/>
  <c r="BV48" i="5"/>
  <c r="BU48" i="5"/>
  <c r="BZ48" i="5"/>
  <c r="BX48" i="5"/>
  <c r="BW48" i="5"/>
  <c r="CB48" i="5"/>
  <c r="BV111" i="5"/>
  <c r="BU111" i="5"/>
  <c r="CB111" i="5"/>
  <c r="BX111" i="5"/>
  <c r="BW111" i="5"/>
  <c r="BZ111" i="5"/>
  <c r="BF191" i="5"/>
  <c r="BT191" i="5"/>
  <c r="BZ170" i="5"/>
  <c r="CB170" i="5"/>
  <c r="BX170" i="5"/>
  <c r="BW170" i="5"/>
  <c r="BV170" i="5"/>
  <c r="BU170" i="5"/>
  <c r="CA170" i="5" s="1"/>
  <c r="BX75" i="5"/>
  <c r="BX163" i="5"/>
  <c r="BW163" i="5"/>
  <c r="BV163" i="5"/>
  <c r="BU163" i="5"/>
  <c r="CA163" i="5" s="1"/>
  <c r="CB163" i="5"/>
  <c r="BZ163" i="5"/>
  <c r="BY190" i="5"/>
  <c r="CC190" i="5"/>
  <c r="CD190" i="5" s="1"/>
  <c r="BF176" i="5"/>
  <c r="BT176" i="5"/>
  <c r="CB169" i="5"/>
  <c r="BZ169" i="5"/>
  <c r="BX169" i="5"/>
  <c r="BW169" i="5"/>
  <c r="BV169" i="5"/>
  <c r="BU169" i="5"/>
  <c r="BU171" i="5"/>
  <c r="BZ171" i="5"/>
  <c r="CB171" i="5"/>
  <c r="BV171" i="5"/>
  <c r="BW171" i="5"/>
  <c r="BX171" i="5"/>
  <c r="CB130" i="5"/>
  <c r="BZ130" i="5"/>
  <c r="BX130" i="5"/>
  <c r="BW130" i="5"/>
  <c r="BV130" i="5"/>
  <c r="BU130" i="5"/>
  <c r="BZ84" i="5"/>
  <c r="BW84" i="5"/>
  <c r="BU84" i="5"/>
  <c r="CB84" i="5"/>
  <c r="BX84" i="5"/>
  <c r="BV84" i="5"/>
  <c r="CB68" i="5"/>
  <c r="BW68" i="5"/>
  <c r="BV68" i="5"/>
  <c r="BU68" i="5"/>
  <c r="BZ68" i="5"/>
  <c r="BX68" i="5"/>
  <c r="BU142" i="5"/>
  <c r="BV142" i="5"/>
  <c r="BX142" i="5"/>
  <c r="CB142" i="5"/>
  <c r="BZ142" i="5"/>
  <c r="BW142" i="5"/>
  <c r="BV139" i="5"/>
  <c r="BU139" i="5"/>
  <c r="BX139" i="5"/>
  <c r="BW139" i="5"/>
  <c r="CB139" i="5"/>
  <c r="BU168" i="5"/>
  <c r="BX168" i="5"/>
  <c r="BW168" i="5"/>
  <c r="BV168" i="5"/>
  <c r="CB168" i="5"/>
  <c r="BT49" i="5"/>
  <c r="BF49" i="5"/>
  <c r="BF58" i="5"/>
  <c r="BT58" i="5"/>
  <c r="CB62" i="5"/>
  <c r="BZ62" i="5"/>
  <c r="BW62" i="5"/>
  <c r="BX62" i="5"/>
  <c r="BU62" i="5"/>
  <c r="BV62" i="5"/>
  <c r="BT202" i="5"/>
  <c r="BF202" i="5"/>
  <c r="BT25" i="5"/>
  <c r="BF25" i="5"/>
  <c r="BU188" i="5"/>
  <c r="CB188" i="5"/>
  <c r="BZ188" i="5"/>
  <c r="BV188" i="5"/>
  <c r="BX188" i="5"/>
  <c r="BW188" i="5"/>
  <c r="CB214" i="5"/>
  <c r="BZ214" i="5"/>
  <c r="BX214" i="5"/>
  <c r="BU214" i="5"/>
  <c r="BV214" i="5"/>
  <c r="BW214" i="5"/>
  <c r="BX117" i="5"/>
  <c r="BZ117" i="5"/>
  <c r="CB117" i="5"/>
  <c r="BW117" i="5"/>
  <c r="BV117" i="5"/>
  <c r="BU117" i="5"/>
  <c r="BV165" i="5"/>
  <c r="BX165" i="5"/>
  <c r="CB165" i="5"/>
  <c r="BZ165" i="5"/>
  <c r="BW165" i="5"/>
  <c r="BU165" i="5"/>
  <c r="BF28" i="5"/>
  <c r="BT28" i="5"/>
  <c r="BF78" i="5"/>
  <c r="BT78" i="5"/>
  <c r="CB143" i="5"/>
  <c r="BZ143" i="5"/>
  <c r="BX143" i="5"/>
  <c r="BV143" i="5"/>
  <c r="BW143" i="5"/>
  <c r="BU143" i="5"/>
  <c r="BW153" i="5"/>
  <c r="BU153" i="5"/>
  <c r="BX153" i="5"/>
  <c r="BV153" i="5"/>
  <c r="CB153" i="5"/>
  <c r="BT172" i="5"/>
  <c r="BF172" i="5"/>
  <c r="BW65" i="5"/>
  <c r="CB65" i="5"/>
  <c r="BZ65" i="5"/>
  <c r="BX65" i="5"/>
  <c r="BV65" i="5"/>
  <c r="BU65" i="5"/>
  <c r="CA65" i="5" s="1"/>
  <c r="CB76" i="5"/>
  <c r="BZ76" i="5"/>
  <c r="BX76" i="5"/>
  <c r="BW76" i="5"/>
  <c r="BU76" i="5"/>
  <c r="BV76" i="5"/>
  <c r="BU133" i="5"/>
  <c r="BX133" i="5"/>
  <c r="CB133" i="5"/>
  <c r="BZ133" i="5"/>
  <c r="BV133" i="5"/>
  <c r="BW133" i="5"/>
  <c r="BU164" i="5"/>
  <c r="BZ164" i="5"/>
  <c r="BX164" i="5"/>
  <c r="BW164" i="5"/>
  <c r="CB164" i="5"/>
  <c r="BV164" i="5"/>
  <c r="BT210" i="5"/>
  <c r="BF210" i="5"/>
  <c r="BU70" i="5"/>
  <c r="BW70" i="5"/>
  <c r="CB70" i="5"/>
  <c r="BZ70" i="5"/>
  <c r="BX70" i="5"/>
  <c r="BV70" i="5"/>
  <c r="CB149" i="5"/>
  <c r="BX149" i="5"/>
  <c r="BW149" i="5"/>
  <c r="BZ149" i="5"/>
  <c r="BV149" i="5"/>
  <c r="BU149" i="5"/>
  <c r="BT54" i="5"/>
  <c r="BF54" i="5"/>
  <c r="BW161" i="5"/>
  <c r="BU161" i="5"/>
  <c r="BZ161" i="5"/>
  <c r="BV161" i="5"/>
  <c r="CB161" i="5"/>
  <c r="BX161" i="5"/>
  <c r="BV39" i="5"/>
  <c r="BU39" i="5"/>
  <c r="BZ39" i="5"/>
  <c r="CB39" i="5"/>
  <c r="BX39" i="5"/>
  <c r="BF159" i="5"/>
  <c r="BT159" i="5"/>
  <c r="BT115" i="5"/>
  <c r="BF115" i="5"/>
  <c r="BW131" i="5"/>
  <c r="BV131" i="5"/>
  <c r="CB131" i="5"/>
  <c r="BX131" i="5"/>
  <c r="BU131" i="5"/>
  <c r="CB86" i="5"/>
  <c r="BX219" i="5"/>
  <c r="BV219" i="5"/>
  <c r="BU219" i="5"/>
  <c r="CB219" i="5"/>
  <c r="BZ219" i="5"/>
  <c r="BW219" i="5"/>
  <c r="CB33" i="5"/>
  <c r="BW33" i="5"/>
  <c r="BV33" i="5"/>
  <c r="BX33" i="5"/>
  <c r="BU33" i="5"/>
  <c r="BZ33" i="5"/>
  <c r="BF92" i="5"/>
  <c r="BT92" i="5"/>
  <c r="BF224" i="5"/>
  <c r="BT224" i="5"/>
  <c r="BT185" i="5"/>
  <c r="BF185" i="5"/>
  <c r="CB30" i="5"/>
  <c r="BW30" i="5"/>
  <c r="BX30" i="5"/>
  <c r="BV30" i="5"/>
  <c r="BU30" i="5"/>
  <c r="BZ96" i="5"/>
  <c r="CB96" i="5"/>
  <c r="BX96" i="5"/>
  <c r="BW96" i="5"/>
  <c r="BV96" i="5"/>
  <c r="BU96" i="5"/>
  <c r="BW160" i="5"/>
  <c r="BV160" i="5"/>
  <c r="BX160" i="5"/>
  <c r="CB160" i="5"/>
  <c r="BU160" i="5"/>
  <c r="CA160" i="5" s="1"/>
  <c r="BU189" i="5"/>
  <c r="BX189" i="5"/>
  <c r="BV189" i="5"/>
  <c r="CB189" i="5"/>
  <c r="BZ189" i="5"/>
  <c r="BW189" i="5"/>
  <c r="BT173" i="5"/>
  <c r="BF173" i="5"/>
  <c r="BW184" i="5"/>
  <c r="CB184" i="5"/>
  <c r="BZ184" i="5"/>
  <c r="BV184" i="5"/>
  <c r="BX184" i="5"/>
  <c r="BU184" i="5"/>
  <c r="BW47" i="5"/>
  <c r="CB47" i="5"/>
  <c r="BZ47" i="5"/>
  <c r="BX47" i="5"/>
  <c r="BV47" i="5"/>
  <c r="BU47" i="5"/>
  <c r="BY155" i="5"/>
  <c r="CC155" i="5"/>
  <c r="CD155" i="5" s="1"/>
  <c r="BU36" i="5"/>
  <c r="BZ36" i="5"/>
  <c r="BV36" i="5"/>
  <c r="CB36" i="5"/>
  <c r="BX36" i="5"/>
  <c r="BW36" i="5"/>
  <c r="CB79" i="5"/>
  <c r="BX79" i="5"/>
  <c r="BV79" i="5"/>
  <c r="BZ79" i="5"/>
  <c r="BU79" i="5"/>
  <c r="BW79" i="5"/>
  <c r="BX23" i="5"/>
  <c r="BZ23" i="5"/>
  <c r="BW23" i="5"/>
  <c r="BV23" i="5"/>
  <c r="CB23" i="5"/>
  <c r="BU23" i="5"/>
  <c r="BU137" i="5"/>
  <c r="BV137" i="5"/>
  <c r="CB137" i="5"/>
  <c r="BZ137" i="5"/>
  <c r="BX137" i="5"/>
  <c r="BW137" i="5"/>
  <c r="BY18" i="5"/>
  <c r="CC18" i="5"/>
  <c r="CD18" i="5" s="1"/>
  <c r="BT95" i="5"/>
  <c r="BF95" i="5"/>
  <c r="BX183" i="5"/>
  <c r="BW183" i="5"/>
  <c r="BV183" i="5"/>
  <c r="BU183" i="5"/>
  <c r="CB183" i="5"/>
  <c r="BV152" i="5"/>
  <c r="CB152" i="5"/>
  <c r="BU152" i="5"/>
  <c r="BZ152" i="5"/>
  <c r="BX152" i="5"/>
  <c r="BW152" i="5"/>
  <c r="BW83" i="5"/>
  <c r="CB83" i="5"/>
  <c r="BV83" i="5"/>
  <c r="BZ83" i="5"/>
  <c r="BX83" i="5"/>
  <c r="BU83" i="5"/>
  <c r="BY59" i="5"/>
  <c r="CC59" i="5"/>
  <c r="CD59" i="5" s="1"/>
  <c r="BU151" i="5"/>
  <c r="CB151" i="5"/>
  <c r="BZ151" i="5"/>
  <c r="BW151" i="5"/>
  <c r="BV151" i="5"/>
  <c r="BX151" i="5"/>
  <c r="BT34" i="5"/>
  <c r="BF34" i="5"/>
  <c r="BY97" i="5"/>
  <c r="CC97" i="5"/>
  <c r="CD97" i="5" s="1"/>
  <c r="BV89" i="5" l="1"/>
  <c r="BW89" i="5"/>
  <c r="BU223" i="5"/>
  <c r="BV179" i="5"/>
  <c r="BX89" i="5"/>
  <c r="CB223" i="5"/>
  <c r="CC223" i="5" s="1"/>
  <c r="CD223" i="5" s="1"/>
  <c r="BV144" i="5"/>
  <c r="BX144" i="5"/>
  <c r="BW144" i="5"/>
  <c r="BU144" i="5"/>
  <c r="CB144" i="5"/>
  <c r="CB179" i="5"/>
  <c r="BU141" i="5"/>
  <c r="CA141" i="5" s="1"/>
  <c r="BZ179" i="5"/>
  <c r="CB19" i="5"/>
  <c r="CC19" i="5" s="1"/>
  <c r="CD19" i="5" s="1"/>
  <c r="BZ89" i="5"/>
  <c r="BV223" i="5"/>
  <c r="CA223" i="5" s="1"/>
  <c r="CB119" i="5"/>
  <c r="BW119" i="5"/>
  <c r="BU179" i="5"/>
  <c r="BX223" i="5"/>
  <c r="BX19" i="5"/>
  <c r="CA19" i="5" s="1"/>
  <c r="BW67" i="5"/>
  <c r="BZ223" i="5"/>
  <c r="BV150" i="5"/>
  <c r="BU132" i="5"/>
  <c r="BZ132" i="5"/>
  <c r="BV132" i="5"/>
  <c r="CB132" i="5"/>
  <c r="BX132" i="5"/>
  <c r="BW132" i="5"/>
  <c r="BZ141" i="5"/>
  <c r="BU67" i="5"/>
  <c r="CA67" i="5" s="1"/>
  <c r="BU112" i="5"/>
  <c r="CA112" i="5" s="1"/>
  <c r="BW150" i="5"/>
  <c r="CA150" i="5" s="1"/>
  <c r="BV119" i="5"/>
  <c r="BV141" i="5"/>
  <c r="BW19" i="5"/>
  <c r="BV19" i="5"/>
  <c r="BV67" i="5"/>
  <c r="BW86" i="5"/>
  <c r="BW194" i="5"/>
  <c r="BU19" i="5"/>
  <c r="CB141" i="5"/>
  <c r="CC141" i="5" s="1"/>
  <c r="CD141" i="5" s="1"/>
  <c r="BV86" i="5"/>
  <c r="CA86" i="5" s="1"/>
  <c r="CA169" i="5"/>
  <c r="CA177" i="5"/>
  <c r="BX194" i="5"/>
  <c r="CA194" i="5" s="1"/>
  <c r="BZ67" i="5"/>
  <c r="BW112" i="5"/>
  <c r="CB150" i="5"/>
  <c r="CC150" i="5" s="1"/>
  <c r="CD150" i="5" s="1"/>
  <c r="BU72" i="5"/>
  <c r="CA72" i="5" s="1"/>
  <c r="BZ72" i="5"/>
  <c r="CB72" i="5"/>
  <c r="BV72" i="5"/>
  <c r="BW72" i="5"/>
  <c r="BZ119" i="5"/>
  <c r="BU89" i="5"/>
  <c r="CA89" i="5" s="1"/>
  <c r="BZ211" i="5"/>
  <c r="BX141" i="5"/>
  <c r="BU86" i="5"/>
  <c r="BZ86" i="5"/>
  <c r="BW118" i="5"/>
  <c r="BZ56" i="5"/>
  <c r="CA165" i="5"/>
  <c r="BX57" i="5"/>
  <c r="CB57" i="5"/>
  <c r="BW57" i="5"/>
  <c r="BU57" i="5"/>
  <c r="BV57" i="5"/>
  <c r="BZ57" i="5"/>
  <c r="CA80" i="5"/>
  <c r="BY80" i="5"/>
  <c r="CC80" i="5"/>
  <c r="CD80" i="5" s="1"/>
  <c r="CA143" i="5"/>
  <c r="BX119" i="5"/>
  <c r="CA138" i="5"/>
  <c r="BW146" i="5"/>
  <c r="CA76" i="5"/>
  <c r="BX146" i="5"/>
  <c r="CA147" i="5"/>
  <c r="CA83" i="5"/>
  <c r="CB94" i="5"/>
  <c r="CC94" i="5" s="1"/>
  <c r="CD94" i="5" s="1"/>
  <c r="BZ75" i="5"/>
  <c r="CA111" i="5"/>
  <c r="CA148" i="5"/>
  <c r="BV94" i="5"/>
  <c r="CA94" i="5" s="1"/>
  <c r="BZ118" i="5"/>
  <c r="BW94" i="5"/>
  <c r="CB75" i="5"/>
  <c r="CA216" i="5"/>
  <c r="BX94" i="5"/>
  <c r="CB118" i="5"/>
  <c r="BW38" i="5"/>
  <c r="BZ38" i="5"/>
  <c r="BX38" i="5"/>
  <c r="BV38" i="5"/>
  <c r="BU38" i="5"/>
  <c r="CB38" i="5"/>
  <c r="BU75" i="5"/>
  <c r="BU118" i="5"/>
  <c r="CA118" i="5" s="1"/>
  <c r="CB100" i="5"/>
  <c r="BV100" i="5"/>
  <c r="BX100" i="5"/>
  <c r="BW100" i="5"/>
  <c r="BU100" i="5"/>
  <c r="CA100" i="5" s="1"/>
  <c r="BV75" i="5"/>
  <c r="CA208" i="5"/>
  <c r="CA136" i="5"/>
  <c r="CA97" i="5"/>
  <c r="BU56" i="5"/>
  <c r="BW56" i="5"/>
  <c r="BX56" i="5"/>
  <c r="CB56" i="5"/>
  <c r="BV56" i="5"/>
  <c r="CA189" i="5"/>
  <c r="CB116" i="5"/>
  <c r="BZ116" i="5"/>
  <c r="BX116" i="5"/>
  <c r="BW116" i="5"/>
  <c r="BU116" i="5"/>
  <c r="BV116" i="5"/>
  <c r="BW186" i="5"/>
  <c r="CB146" i="5"/>
  <c r="CC146" i="5" s="1"/>
  <c r="CD146" i="5" s="1"/>
  <c r="BZ128" i="5"/>
  <c r="BU146" i="5"/>
  <c r="BZ17" i="5"/>
  <c r="BX17" i="5"/>
  <c r="BV17" i="5"/>
  <c r="BU17" i="5"/>
  <c r="BW17" i="5"/>
  <c r="CB17" i="5"/>
  <c r="BY136" i="5"/>
  <c r="CB156" i="5"/>
  <c r="BU156" i="5"/>
  <c r="BX156" i="5"/>
  <c r="BW156" i="5"/>
  <c r="BV156" i="5"/>
  <c r="BZ156" i="5"/>
  <c r="BV128" i="5"/>
  <c r="CA128" i="5" s="1"/>
  <c r="CA196" i="5"/>
  <c r="BZ88" i="5"/>
  <c r="CA63" i="5"/>
  <c r="BZ146" i="5"/>
  <c r="CA209" i="5"/>
  <c r="CA206" i="5"/>
  <c r="CA171" i="5"/>
  <c r="CA204" i="5"/>
  <c r="CA134" i="5"/>
  <c r="BV21" i="5"/>
  <c r="BZ186" i="5"/>
  <c r="BZ21" i="5"/>
  <c r="CB186" i="5"/>
  <c r="BY186" i="5" s="1"/>
  <c r="BX186" i="5"/>
  <c r="CA167" i="5"/>
  <c r="CA66" i="5"/>
  <c r="CB128" i="5"/>
  <c r="CC128" i="5" s="1"/>
  <c r="CD128" i="5" s="1"/>
  <c r="BX88" i="5"/>
  <c r="CA96" i="5"/>
  <c r="CA131" i="5"/>
  <c r="CB88" i="5"/>
  <c r="BY88" i="5" s="1"/>
  <c r="CA114" i="5"/>
  <c r="CA62" i="5"/>
  <c r="CA122" i="5"/>
  <c r="BV88" i="5"/>
  <c r="BY77" i="5"/>
  <c r="CC77" i="5"/>
  <c r="CD77" i="5" s="1"/>
  <c r="BV103" i="5"/>
  <c r="CB103" i="5"/>
  <c r="BX103" i="5"/>
  <c r="BZ103" i="5"/>
  <c r="BW103" i="5"/>
  <c r="BU103" i="5"/>
  <c r="CA219" i="5"/>
  <c r="CA168" i="5"/>
  <c r="BW21" i="5"/>
  <c r="BX21" i="5"/>
  <c r="BV186" i="5"/>
  <c r="CB21" i="5"/>
  <c r="CA39" i="5"/>
  <c r="BW179" i="5"/>
  <c r="CA179" i="5" s="1"/>
  <c r="BW88" i="5"/>
  <c r="CA77" i="5"/>
  <c r="BX125" i="5"/>
  <c r="CB125" i="5"/>
  <c r="BZ125" i="5"/>
  <c r="BU125" i="5"/>
  <c r="BW125" i="5"/>
  <c r="BV125" i="5"/>
  <c r="BU54" i="5"/>
  <c r="BZ54" i="5"/>
  <c r="BV54" i="5"/>
  <c r="BW54" i="5"/>
  <c r="CB54" i="5"/>
  <c r="BX54" i="5"/>
  <c r="CA178" i="5"/>
  <c r="BY124" i="5"/>
  <c r="CC124" i="5"/>
  <c r="CD124" i="5" s="1"/>
  <c r="CC47" i="5"/>
  <c r="CD47" i="5" s="1"/>
  <c r="BY47" i="5"/>
  <c r="CC30" i="5"/>
  <c r="CD30" i="5" s="1"/>
  <c r="BY30" i="5"/>
  <c r="CA214" i="5"/>
  <c r="CA22" i="5"/>
  <c r="BX174" i="5"/>
  <c r="BZ174" i="5"/>
  <c r="CB174" i="5"/>
  <c r="BW174" i="5"/>
  <c r="BU174" i="5"/>
  <c r="BV174" i="5"/>
  <c r="BY178" i="5"/>
  <c r="CC178" i="5"/>
  <c r="CD178" i="5" s="1"/>
  <c r="BU90" i="5"/>
  <c r="BZ90" i="5"/>
  <c r="CB90" i="5"/>
  <c r="BX90" i="5"/>
  <c r="BW90" i="5"/>
  <c r="BV90" i="5"/>
  <c r="BZ40" i="5"/>
  <c r="BV40" i="5"/>
  <c r="CB40" i="5"/>
  <c r="BX40" i="5"/>
  <c r="BW40" i="5"/>
  <c r="BU40" i="5"/>
  <c r="CA79" i="5"/>
  <c r="BY160" i="5"/>
  <c r="CC160" i="5"/>
  <c r="CD160" i="5" s="1"/>
  <c r="BZ185" i="5"/>
  <c r="BX185" i="5"/>
  <c r="BV185" i="5"/>
  <c r="BU185" i="5"/>
  <c r="BW185" i="5"/>
  <c r="CB185" i="5"/>
  <c r="BY86" i="5"/>
  <c r="CC86" i="5"/>
  <c r="CD86" i="5" s="1"/>
  <c r="CA149" i="5"/>
  <c r="BX78" i="5"/>
  <c r="BW78" i="5"/>
  <c r="CB78" i="5"/>
  <c r="BV78" i="5"/>
  <c r="BZ78" i="5"/>
  <c r="BU78" i="5"/>
  <c r="BY84" i="5"/>
  <c r="CC84" i="5"/>
  <c r="CD84" i="5" s="1"/>
  <c r="BY207" i="5"/>
  <c r="CC207" i="5"/>
  <c r="CD207" i="5" s="1"/>
  <c r="BU45" i="5"/>
  <c r="BW45" i="5"/>
  <c r="BV45" i="5"/>
  <c r="BX45" i="5"/>
  <c r="CB45" i="5"/>
  <c r="BZ45" i="5"/>
  <c r="BY63" i="5"/>
  <c r="CC63" i="5"/>
  <c r="CD63" i="5" s="1"/>
  <c r="CA187" i="5"/>
  <c r="BW166" i="5"/>
  <c r="BU166" i="5"/>
  <c r="CB166" i="5"/>
  <c r="BV166" i="5"/>
  <c r="BZ166" i="5"/>
  <c r="BX166" i="5"/>
  <c r="CA73" i="5"/>
  <c r="BV34" i="5"/>
  <c r="BU34" i="5"/>
  <c r="CB34" i="5"/>
  <c r="BZ34" i="5"/>
  <c r="BW34" i="5"/>
  <c r="BX34" i="5"/>
  <c r="CA164" i="5"/>
  <c r="BY65" i="5"/>
  <c r="CC65" i="5"/>
  <c r="CD65" i="5" s="1"/>
  <c r="BY62" i="5"/>
  <c r="CC62" i="5"/>
  <c r="CD62" i="5" s="1"/>
  <c r="CA139" i="5"/>
  <c r="CA84" i="5"/>
  <c r="BY167" i="5"/>
  <c r="CC167" i="5"/>
  <c r="CD167" i="5" s="1"/>
  <c r="BY93" i="5"/>
  <c r="CC93" i="5"/>
  <c r="CD93" i="5" s="1"/>
  <c r="CA29" i="5"/>
  <c r="BY211" i="5"/>
  <c r="CC211" i="5"/>
  <c r="CD211" i="5" s="1"/>
  <c r="BV101" i="5"/>
  <c r="BU101" i="5"/>
  <c r="BZ101" i="5"/>
  <c r="CB101" i="5"/>
  <c r="BX101" i="5"/>
  <c r="BW101" i="5"/>
  <c r="BY223" i="5"/>
  <c r="CB220" i="5"/>
  <c r="BZ220" i="5"/>
  <c r="BX220" i="5"/>
  <c r="BW220" i="5"/>
  <c r="BU220" i="5"/>
  <c r="BV220" i="5"/>
  <c r="BY180" i="5"/>
  <c r="CC180" i="5"/>
  <c r="CD180" i="5" s="1"/>
  <c r="BY102" i="5"/>
  <c r="CC102" i="5"/>
  <c r="CD102" i="5" s="1"/>
  <c r="BY229" i="5"/>
  <c r="CC229" i="5"/>
  <c r="CD229" i="5" s="1"/>
  <c r="BZ95" i="5"/>
  <c r="CB95" i="5"/>
  <c r="BX95" i="5"/>
  <c r="BW95" i="5"/>
  <c r="BV95" i="5"/>
  <c r="BU95" i="5"/>
  <c r="CA95" i="5" s="1"/>
  <c r="CA48" i="5"/>
  <c r="CA93" i="5"/>
  <c r="BZ105" i="5"/>
  <c r="BU105" i="5"/>
  <c r="BX105" i="5"/>
  <c r="CB105" i="5"/>
  <c r="BW105" i="5"/>
  <c r="BV105" i="5"/>
  <c r="CA27" i="5"/>
  <c r="CA184" i="5"/>
  <c r="CC21" i="5"/>
  <c r="CD21" i="5" s="1"/>
  <c r="BY21" i="5"/>
  <c r="BZ28" i="5"/>
  <c r="BW28" i="5"/>
  <c r="BV28" i="5"/>
  <c r="BU28" i="5"/>
  <c r="CB28" i="5"/>
  <c r="BX28" i="5"/>
  <c r="CC214" i="5"/>
  <c r="CD214" i="5" s="1"/>
  <c r="BY214" i="5"/>
  <c r="BY22" i="5"/>
  <c r="CC22" i="5"/>
  <c r="CD22" i="5" s="1"/>
  <c r="BZ32" i="5"/>
  <c r="BX32" i="5"/>
  <c r="BU32" i="5"/>
  <c r="BW32" i="5"/>
  <c r="BV32" i="5"/>
  <c r="CB32" i="5"/>
  <c r="BW85" i="5"/>
  <c r="BU85" i="5"/>
  <c r="CB85" i="5"/>
  <c r="BX85" i="5"/>
  <c r="BV85" i="5"/>
  <c r="BZ85" i="5"/>
  <c r="CC66" i="5"/>
  <c r="CD66" i="5" s="1"/>
  <c r="BY66" i="5"/>
  <c r="CA127" i="5"/>
  <c r="BY108" i="5"/>
  <c r="CC108" i="5"/>
  <c r="CD108" i="5" s="1"/>
  <c r="CA218" i="5"/>
  <c r="BY43" i="5"/>
  <c r="CC43" i="5"/>
  <c r="CD43" i="5" s="1"/>
  <c r="BY206" i="5"/>
  <c r="CC206" i="5"/>
  <c r="CD206" i="5" s="1"/>
  <c r="BV172" i="5"/>
  <c r="BU172" i="5"/>
  <c r="CB172" i="5"/>
  <c r="BZ172" i="5"/>
  <c r="BX172" i="5"/>
  <c r="BW172" i="5"/>
  <c r="CC216" i="5"/>
  <c r="CD216" i="5" s="1"/>
  <c r="BY216" i="5"/>
  <c r="CC29" i="5"/>
  <c r="CD29" i="5" s="1"/>
  <c r="BY29" i="5"/>
  <c r="BY120" i="5"/>
  <c r="CC120" i="5"/>
  <c r="CD120" i="5" s="1"/>
  <c r="BY148" i="5"/>
  <c r="CC148" i="5"/>
  <c r="CD148" i="5" s="1"/>
  <c r="BY89" i="5"/>
  <c r="CC89" i="5"/>
  <c r="CD89" i="5" s="1"/>
  <c r="CA44" i="5"/>
  <c r="BY197" i="5"/>
  <c r="CC197" i="5"/>
  <c r="CD197" i="5" s="1"/>
  <c r="CA43" i="5"/>
  <c r="CA180" i="5"/>
  <c r="BY73" i="5"/>
  <c r="CC73" i="5"/>
  <c r="CD73" i="5" s="1"/>
  <c r="BY79" i="5"/>
  <c r="CC79" i="5"/>
  <c r="CD79" i="5" s="1"/>
  <c r="BZ58" i="5"/>
  <c r="BX58" i="5"/>
  <c r="BW58" i="5"/>
  <c r="BV58" i="5"/>
  <c r="CB58" i="5"/>
  <c r="BU58" i="5"/>
  <c r="CA130" i="5"/>
  <c r="CA75" i="5"/>
  <c r="BY128" i="5"/>
  <c r="CA120" i="5"/>
  <c r="BX129" i="5"/>
  <c r="CB129" i="5"/>
  <c r="BZ129" i="5"/>
  <c r="BW129" i="5"/>
  <c r="BV129" i="5"/>
  <c r="BU129" i="5"/>
  <c r="BY209" i="5"/>
  <c r="CC209" i="5"/>
  <c r="CD209" i="5" s="1"/>
  <c r="CA108" i="5"/>
  <c r="CA197" i="5"/>
  <c r="BY208" i="5"/>
  <c r="CC208" i="5"/>
  <c r="CD208" i="5" s="1"/>
  <c r="CC151" i="5"/>
  <c r="CD151" i="5" s="1"/>
  <c r="BY151" i="5"/>
  <c r="BY36" i="5"/>
  <c r="CC36" i="5"/>
  <c r="CD36" i="5" s="1"/>
  <c r="CA33" i="5"/>
  <c r="CA133" i="5"/>
  <c r="BY188" i="5"/>
  <c r="CC188" i="5"/>
  <c r="CD188" i="5" s="1"/>
  <c r="CA203" i="5"/>
  <c r="BY119" i="5"/>
  <c r="CC119" i="5"/>
  <c r="CD119" i="5" s="1"/>
  <c r="BY215" i="5"/>
  <c r="CC215" i="5"/>
  <c r="CD215" i="5" s="1"/>
  <c r="CB113" i="5"/>
  <c r="BX113" i="5"/>
  <c r="BW113" i="5"/>
  <c r="BV113" i="5"/>
  <c r="BU113" i="5"/>
  <c r="BZ113" i="5"/>
  <c r="CA26" i="5"/>
  <c r="BY44" i="5"/>
  <c r="CC44" i="5"/>
  <c r="CD44" i="5" s="1"/>
  <c r="CA50" i="5"/>
  <c r="CA16" i="5"/>
  <c r="BW175" i="5"/>
  <c r="BZ175" i="5"/>
  <c r="BX175" i="5"/>
  <c r="BV175" i="5"/>
  <c r="BU175" i="5"/>
  <c r="CB175" i="5"/>
  <c r="CA151" i="5"/>
  <c r="CA152" i="5"/>
  <c r="CA137" i="5"/>
  <c r="BW173" i="5"/>
  <c r="BU173" i="5"/>
  <c r="CB173" i="5"/>
  <c r="BZ173" i="5"/>
  <c r="BX173" i="5"/>
  <c r="BV173" i="5"/>
  <c r="CA188" i="5"/>
  <c r="BY196" i="5"/>
  <c r="CC196" i="5"/>
  <c r="CD196" i="5" s="1"/>
  <c r="BY177" i="5"/>
  <c r="CC177" i="5"/>
  <c r="CD177" i="5" s="1"/>
  <c r="BY106" i="5"/>
  <c r="CC106" i="5"/>
  <c r="CD106" i="5" s="1"/>
  <c r="BY26" i="5"/>
  <c r="CC26" i="5"/>
  <c r="CD26" i="5" s="1"/>
  <c r="BX162" i="5"/>
  <c r="BZ162" i="5"/>
  <c r="CB162" i="5"/>
  <c r="BU162" i="5"/>
  <c r="BW162" i="5"/>
  <c r="BV162" i="5"/>
  <c r="CA61" i="5"/>
  <c r="BY182" i="5"/>
  <c r="CC182" i="5"/>
  <c r="CD182" i="5" s="1"/>
  <c r="CA123" i="5"/>
  <c r="CA158" i="5"/>
  <c r="BY52" i="5"/>
  <c r="CC52" i="5"/>
  <c r="CD52" i="5" s="1"/>
  <c r="BY16" i="5"/>
  <c r="CC16" i="5"/>
  <c r="CD16" i="5" s="1"/>
  <c r="BY152" i="5"/>
  <c r="CC152" i="5"/>
  <c r="CD152" i="5" s="1"/>
  <c r="BY131" i="5"/>
  <c r="CC131" i="5"/>
  <c r="CD131" i="5" s="1"/>
  <c r="CC70" i="5"/>
  <c r="CD70" i="5" s="1"/>
  <c r="BY70" i="5"/>
  <c r="CA153" i="5"/>
  <c r="CA117" i="5"/>
  <c r="CA142" i="5"/>
  <c r="BY130" i="5"/>
  <c r="CC130" i="5"/>
  <c r="CD130" i="5" s="1"/>
  <c r="CA71" i="5"/>
  <c r="CA201" i="5"/>
  <c r="BY181" i="5"/>
  <c r="CC181" i="5"/>
  <c r="CD181" i="5" s="1"/>
  <c r="CA106" i="5"/>
  <c r="BY46" i="5"/>
  <c r="CC46" i="5"/>
  <c r="CD46" i="5" s="1"/>
  <c r="BX24" i="5"/>
  <c r="BW24" i="5"/>
  <c r="BU24" i="5"/>
  <c r="BV24" i="5"/>
  <c r="CB24" i="5"/>
  <c r="BZ24" i="5"/>
  <c r="CA91" i="5"/>
  <c r="CB87" i="5"/>
  <c r="BZ87" i="5"/>
  <c r="BX87" i="5"/>
  <c r="BW87" i="5"/>
  <c r="BV87" i="5"/>
  <c r="BU87" i="5"/>
  <c r="BY112" i="5"/>
  <c r="CC112" i="5"/>
  <c r="CD112" i="5" s="1"/>
  <c r="CA119" i="5"/>
  <c r="CA215" i="5"/>
  <c r="CA46" i="5"/>
  <c r="BY114" i="5"/>
  <c r="CC114" i="5"/>
  <c r="CD114" i="5" s="1"/>
  <c r="BY118" i="5"/>
  <c r="CC118" i="5"/>
  <c r="CD118" i="5" s="1"/>
  <c r="BY50" i="5"/>
  <c r="CC50" i="5"/>
  <c r="CD50" i="5" s="1"/>
  <c r="BZ159" i="5"/>
  <c r="BX159" i="5"/>
  <c r="BV159" i="5"/>
  <c r="CB159" i="5"/>
  <c r="BW159" i="5"/>
  <c r="BU159" i="5"/>
  <c r="CC192" i="5"/>
  <c r="CD192" i="5" s="1"/>
  <c r="BY192" i="5"/>
  <c r="BY75" i="5"/>
  <c r="CC75" i="5"/>
  <c r="CD75" i="5" s="1"/>
  <c r="BW92" i="5"/>
  <c r="CB92" i="5"/>
  <c r="BZ92" i="5"/>
  <c r="BU92" i="5"/>
  <c r="BV92" i="5"/>
  <c r="BX92" i="5"/>
  <c r="BY149" i="5"/>
  <c r="CC149" i="5"/>
  <c r="CD149" i="5" s="1"/>
  <c r="BV49" i="5"/>
  <c r="BU49" i="5"/>
  <c r="BZ49" i="5"/>
  <c r="BX49" i="5"/>
  <c r="BW49" i="5"/>
  <c r="CB49" i="5"/>
  <c r="BZ176" i="5"/>
  <c r="BV176" i="5"/>
  <c r="BU176" i="5"/>
  <c r="BX176" i="5"/>
  <c r="BW176" i="5"/>
  <c r="CB176" i="5"/>
  <c r="BW213" i="5"/>
  <c r="CB213" i="5"/>
  <c r="BZ213" i="5"/>
  <c r="BX213" i="5"/>
  <c r="BV213" i="5"/>
  <c r="BU213" i="5"/>
  <c r="BY127" i="5"/>
  <c r="CC127" i="5"/>
  <c r="CD127" i="5" s="1"/>
  <c r="BY137" i="5"/>
  <c r="CC137" i="5"/>
  <c r="CD137" i="5" s="1"/>
  <c r="BY153" i="5"/>
  <c r="CC153" i="5"/>
  <c r="CD153" i="5" s="1"/>
  <c r="CC194" i="5"/>
  <c r="CD194" i="5" s="1"/>
  <c r="BY194" i="5"/>
  <c r="CC91" i="5"/>
  <c r="CD91" i="5" s="1"/>
  <c r="BY91" i="5"/>
  <c r="BY158" i="5"/>
  <c r="CC158" i="5"/>
  <c r="CD158" i="5" s="1"/>
  <c r="BV25" i="5"/>
  <c r="BU25" i="5"/>
  <c r="BZ25" i="5"/>
  <c r="CB25" i="5"/>
  <c r="BX25" i="5"/>
  <c r="BW25" i="5"/>
  <c r="BY111" i="5"/>
  <c r="CC111" i="5"/>
  <c r="CD111" i="5" s="1"/>
  <c r="BY37" i="5"/>
  <c r="CC37" i="5"/>
  <c r="CD37" i="5" s="1"/>
  <c r="CA182" i="5"/>
  <c r="BW60" i="5"/>
  <c r="BV60" i="5"/>
  <c r="CB60" i="5"/>
  <c r="BZ60" i="5"/>
  <c r="BX60" i="5"/>
  <c r="BU60" i="5"/>
  <c r="BY33" i="5"/>
  <c r="CC33" i="5"/>
  <c r="CD33" i="5" s="1"/>
  <c r="BY161" i="5"/>
  <c r="CC161" i="5"/>
  <c r="CD161" i="5" s="1"/>
  <c r="BY179" i="5"/>
  <c r="CC179" i="5"/>
  <c r="CD179" i="5" s="1"/>
  <c r="BY183" i="5"/>
  <c r="CC183" i="5"/>
  <c r="CD183" i="5" s="1"/>
  <c r="BY23" i="5"/>
  <c r="CC23" i="5"/>
  <c r="CD23" i="5" s="1"/>
  <c r="BY189" i="5"/>
  <c r="CC189" i="5"/>
  <c r="CD189" i="5" s="1"/>
  <c r="CA30" i="5"/>
  <c r="BZ115" i="5"/>
  <c r="BU115" i="5"/>
  <c r="CB115" i="5"/>
  <c r="BW115" i="5"/>
  <c r="BX115" i="5"/>
  <c r="BV115" i="5"/>
  <c r="BZ210" i="5"/>
  <c r="BX210" i="5"/>
  <c r="CB210" i="5"/>
  <c r="BV210" i="5"/>
  <c r="BU210" i="5"/>
  <c r="BW210" i="5"/>
  <c r="BY117" i="5"/>
  <c r="CC117" i="5"/>
  <c r="CD117" i="5" s="1"/>
  <c r="BZ202" i="5"/>
  <c r="BX202" i="5"/>
  <c r="BV202" i="5"/>
  <c r="BU202" i="5"/>
  <c r="CB202" i="5"/>
  <c r="BW202" i="5"/>
  <c r="CA68" i="5"/>
  <c r="BY203" i="5"/>
  <c r="CC203" i="5"/>
  <c r="CD203" i="5" s="1"/>
  <c r="BY205" i="5"/>
  <c r="CC205" i="5"/>
  <c r="CD205" i="5" s="1"/>
  <c r="CC109" i="5"/>
  <c r="CD109" i="5" s="1"/>
  <c r="BY109" i="5"/>
  <c r="CA217" i="5"/>
  <c r="CA31" i="5"/>
  <c r="CA69" i="5"/>
  <c r="BY154" i="5"/>
  <c r="CC154" i="5"/>
  <c r="CD154" i="5" s="1"/>
  <c r="BU198" i="5"/>
  <c r="BX198" i="5"/>
  <c r="CB198" i="5"/>
  <c r="BZ198" i="5"/>
  <c r="BW198" i="5"/>
  <c r="BV198" i="5"/>
  <c r="BV145" i="5"/>
  <c r="CB145" i="5"/>
  <c r="BZ145" i="5"/>
  <c r="BX145" i="5"/>
  <c r="BW145" i="5"/>
  <c r="BU145" i="5"/>
  <c r="CC81" i="5"/>
  <c r="CD81" i="5" s="1"/>
  <c r="BY81" i="5"/>
  <c r="BU55" i="5"/>
  <c r="BV55" i="5"/>
  <c r="CB55" i="5"/>
  <c r="BZ55" i="5"/>
  <c r="BX55" i="5"/>
  <c r="BW55" i="5"/>
  <c r="BY164" i="5"/>
  <c r="CC164" i="5"/>
  <c r="CD164" i="5" s="1"/>
  <c r="BY68" i="5"/>
  <c r="CC68" i="5"/>
  <c r="CD68" i="5" s="1"/>
  <c r="BY163" i="5"/>
  <c r="CC163" i="5"/>
  <c r="CD163" i="5" s="1"/>
  <c r="BX110" i="5"/>
  <c r="BW110" i="5"/>
  <c r="CB110" i="5"/>
  <c r="BZ110" i="5"/>
  <c r="BV110" i="5"/>
  <c r="BU110" i="5"/>
  <c r="BY67" i="5"/>
  <c r="CC67" i="5"/>
  <c r="CD67" i="5" s="1"/>
  <c r="CC204" i="5"/>
  <c r="CD204" i="5" s="1"/>
  <c r="BY204" i="5"/>
  <c r="BW20" i="5"/>
  <c r="CB20" i="5"/>
  <c r="BX20" i="5"/>
  <c r="BV20" i="5"/>
  <c r="BU20" i="5"/>
  <c r="BZ20" i="5"/>
  <c r="BY139" i="5"/>
  <c r="CC139" i="5"/>
  <c r="CD139" i="5" s="1"/>
  <c r="BY83" i="5"/>
  <c r="CC83" i="5"/>
  <c r="CD83" i="5" s="1"/>
  <c r="BY169" i="5"/>
  <c r="CC169" i="5"/>
  <c r="CD169" i="5" s="1"/>
  <c r="CC187" i="5"/>
  <c r="CD187" i="5" s="1"/>
  <c r="BY187" i="5"/>
  <c r="BY218" i="5"/>
  <c r="CC218" i="5"/>
  <c r="CD218" i="5" s="1"/>
  <c r="BY184" i="5"/>
  <c r="CC184" i="5"/>
  <c r="CD184" i="5" s="1"/>
  <c r="CA181" i="5"/>
  <c r="CA36" i="5"/>
  <c r="BY168" i="5"/>
  <c r="CC168" i="5"/>
  <c r="CD168" i="5" s="1"/>
  <c r="CA99" i="5"/>
  <c r="BY138" i="5"/>
  <c r="CC138" i="5"/>
  <c r="CD138" i="5" s="1"/>
  <c r="BY31" i="5"/>
  <c r="CC31" i="5"/>
  <c r="CD31" i="5" s="1"/>
  <c r="BW157" i="5"/>
  <c r="BX157" i="5"/>
  <c r="BU157" i="5"/>
  <c r="BZ157" i="5"/>
  <c r="BV157" i="5"/>
  <c r="CB157" i="5"/>
  <c r="BY123" i="5"/>
  <c r="CC123" i="5"/>
  <c r="CD123" i="5" s="1"/>
  <c r="CA183" i="5"/>
  <c r="CA47" i="5"/>
  <c r="BY171" i="5"/>
  <c r="CC171" i="5"/>
  <c r="CD171" i="5" s="1"/>
  <c r="BY48" i="5"/>
  <c r="CC48" i="5"/>
  <c r="CD48" i="5" s="1"/>
  <c r="BY64" i="5"/>
  <c r="CC64" i="5"/>
  <c r="CD64" i="5" s="1"/>
  <c r="CA205" i="5"/>
  <c r="CA109" i="5"/>
  <c r="BY217" i="5"/>
  <c r="CC217" i="5"/>
  <c r="CD217" i="5" s="1"/>
  <c r="CA140" i="5"/>
  <c r="BY27" i="5"/>
  <c r="CC27" i="5"/>
  <c r="CD27" i="5" s="1"/>
  <c r="BW74" i="5"/>
  <c r="BX74" i="5"/>
  <c r="BV74" i="5"/>
  <c r="BU74" i="5"/>
  <c r="BZ74" i="5"/>
  <c r="CB74" i="5"/>
  <c r="BY69" i="5"/>
  <c r="CC69" i="5"/>
  <c r="CD69" i="5" s="1"/>
  <c r="CA154" i="5"/>
  <c r="BX200" i="5"/>
  <c r="BV200" i="5"/>
  <c r="BW200" i="5"/>
  <c r="CB200" i="5"/>
  <c r="BZ200" i="5"/>
  <c r="BU200" i="5"/>
  <c r="BY147" i="5"/>
  <c r="CC147" i="5"/>
  <c r="CD147" i="5" s="1"/>
  <c r="CA81" i="5"/>
  <c r="CA124" i="5"/>
  <c r="BU126" i="5"/>
  <c r="CB126" i="5"/>
  <c r="BV126" i="5"/>
  <c r="BX126" i="5"/>
  <c r="BW126" i="5"/>
  <c r="BZ126" i="5"/>
  <c r="BW135" i="5"/>
  <c r="BZ135" i="5"/>
  <c r="BX135" i="5"/>
  <c r="CB135" i="5"/>
  <c r="BV135" i="5"/>
  <c r="BU135" i="5"/>
  <c r="CC143" i="5"/>
  <c r="CD143" i="5" s="1"/>
  <c r="BY143" i="5"/>
  <c r="CA207" i="5"/>
  <c r="BY140" i="5"/>
  <c r="CC140" i="5"/>
  <c r="CD140" i="5" s="1"/>
  <c r="CB224" i="5"/>
  <c r="BZ224" i="5"/>
  <c r="BX224" i="5"/>
  <c r="BW224" i="5"/>
  <c r="BV224" i="5"/>
  <c r="BU224" i="5"/>
  <c r="BY39" i="5"/>
  <c r="CC39" i="5"/>
  <c r="CD39" i="5" s="1"/>
  <c r="BY133" i="5"/>
  <c r="CC133" i="5"/>
  <c r="CD133" i="5" s="1"/>
  <c r="BW191" i="5"/>
  <c r="BU191" i="5"/>
  <c r="BX191" i="5"/>
  <c r="BZ191" i="5"/>
  <c r="CB191" i="5"/>
  <c r="BV191" i="5"/>
  <c r="BV42" i="5"/>
  <c r="BU42" i="5"/>
  <c r="BZ42" i="5"/>
  <c r="BX42" i="5"/>
  <c r="BW42" i="5"/>
  <c r="CB42" i="5"/>
  <c r="BY165" i="5"/>
  <c r="CC165" i="5"/>
  <c r="CD165" i="5" s="1"/>
  <c r="CC142" i="5"/>
  <c r="CD142" i="5" s="1"/>
  <c r="BY142" i="5"/>
  <c r="CC99" i="5"/>
  <c r="CD99" i="5" s="1"/>
  <c r="BY99" i="5"/>
  <c r="CA52" i="5"/>
  <c r="CC96" i="5"/>
  <c r="CD96" i="5" s="1"/>
  <c r="BY96" i="5"/>
  <c r="CC61" i="5"/>
  <c r="CD61" i="5" s="1"/>
  <c r="BY61" i="5"/>
  <c r="CA23" i="5"/>
  <c r="CA70" i="5"/>
  <c r="BY219" i="5"/>
  <c r="CC219" i="5"/>
  <c r="CD219" i="5" s="1"/>
  <c r="CA161" i="5"/>
  <c r="BY76" i="5"/>
  <c r="CC76" i="5"/>
  <c r="CD76" i="5" s="1"/>
  <c r="BY170" i="5"/>
  <c r="CC170" i="5"/>
  <c r="CD170" i="5" s="1"/>
  <c r="BW193" i="5"/>
  <c r="BZ193" i="5"/>
  <c r="BV193" i="5"/>
  <c r="CB193" i="5"/>
  <c r="BX193" i="5"/>
  <c r="BU193" i="5"/>
  <c r="CA193" i="5" s="1"/>
  <c r="CA64" i="5"/>
  <c r="BY71" i="5"/>
  <c r="CC71" i="5"/>
  <c r="CD71" i="5" s="1"/>
  <c r="BY201" i="5"/>
  <c r="CC201" i="5"/>
  <c r="CD201" i="5" s="1"/>
  <c r="BY122" i="5"/>
  <c r="CC122" i="5"/>
  <c r="CD122" i="5" s="1"/>
  <c r="CA211" i="5"/>
  <c r="CA192" i="5"/>
  <c r="BZ82" i="5"/>
  <c r="BU82" i="5"/>
  <c r="CB82" i="5"/>
  <c r="BX82" i="5"/>
  <c r="BV82" i="5"/>
  <c r="BW82" i="5"/>
  <c r="CA37" i="5"/>
  <c r="BY134" i="5"/>
  <c r="CC134" i="5"/>
  <c r="CD134" i="5" s="1"/>
  <c r="BW121" i="5"/>
  <c r="BX121" i="5"/>
  <c r="BU121" i="5"/>
  <c r="CB121" i="5"/>
  <c r="BZ121" i="5"/>
  <c r="BV121" i="5"/>
  <c r="BZ104" i="5"/>
  <c r="BU104" i="5"/>
  <c r="CB104" i="5"/>
  <c r="BX104" i="5"/>
  <c r="BW104" i="5"/>
  <c r="BV104" i="5"/>
  <c r="BV35" i="5"/>
  <c r="BU35" i="5"/>
  <c r="BX35" i="5"/>
  <c r="BZ35" i="5"/>
  <c r="BW35" i="5"/>
  <c r="CB35" i="5"/>
  <c r="CA229" i="5"/>
  <c r="CA38" i="5" l="1"/>
  <c r="CA144" i="5"/>
  <c r="BY141" i="5"/>
  <c r="CA21" i="5"/>
  <c r="BY94" i="5"/>
  <c r="BY19" i="5"/>
  <c r="BY144" i="5"/>
  <c r="CC144" i="5"/>
  <c r="CD144" i="5" s="1"/>
  <c r="CA132" i="5"/>
  <c r="CA88" i="5"/>
  <c r="CA186" i="5"/>
  <c r="BY132" i="5"/>
  <c r="CC132" i="5"/>
  <c r="CD132" i="5" s="1"/>
  <c r="BY150" i="5"/>
  <c r="CC72" i="5"/>
  <c r="CD72" i="5" s="1"/>
  <c r="BY72" i="5"/>
  <c r="BY56" i="5"/>
  <c r="CC56" i="5"/>
  <c r="CD56" i="5" s="1"/>
  <c r="CA224" i="5"/>
  <c r="CA146" i="5"/>
  <c r="CA56" i="5"/>
  <c r="CA57" i="5"/>
  <c r="BY38" i="5"/>
  <c r="CC38" i="5"/>
  <c r="CD38" i="5" s="1"/>
  <c r="CA210" i="5"/>
  <c r="CA58" i="5"/>
  <c r="CA103" i="5"/>
  <c r="BY100" i="5"/>
  <c r="CC100" i="5"/>
  <c r="CD100" i="5" s="1"/>
  <c r="CC57" i="5"/>
  <c r="CD57" i="5" s="1"/>
  <c r="BY57" i="5"/>
  <c r="CA113" i="5"/>
  <c r="CA200" i="5"/>
  <c r="CA145" i="5"/>
  <c r="CC88" i="5"/>
  <c r="CD88" i="5" s="1"/>
  <c r="CA24" i="5"/>
  <c r="CC103" i="5"/>
  <c r="CD103" i="5" s="1"/>
  <c r="BY103" i="5"/>
  <c r="CA157" i="5"/>
  <c r="BY146" i="5"/>
  <c r="CC186" i="5"/>
  <c r="CD186" i="5" s="1"/>
  <c r="CA156" i="5"/>
  <c r="CA116" i="5"/>
  <c r="CA115" i="5"/>
  <c r="CA175" i="5"/>
  <c r="CA129" i="5"/>
  <c r="CC156" i="5"/>
  <c r="CD156" i="5" s="1"/>
  <c r="BY156" i="5"/>
  <c r="CA104" i="5"/>
  <c r="CA78" i="5"/>
  <c r="CA40" i="5"/>
  <c r="CA125" i="5"/>
  <c r="BY17" i="5"/>
  <c r="CC17" i="5"/>
  <c r="CD17" i="5" s="1"/>
  <c r="BY116" i="5"/>
  <c r="CC116" i="5"/>
  <c r="CD116" i="5" s="1"/>
  <c r="BY125" i="5"/>
  <c r="CC125" i="5"/>
  <c r="CD125" i="5" s="1"/>
  <c r="CA17" i="5"/>
  <c r="CA121" i="5"/>
  <c r="CA49" i="5"/>
  <c r="CA85" i="5"/>
  <c r="CA87" i="5"/>
  <c r="CC166" i="5"/>
  <c r="CD166" i="5" s="1"/>
  <c r="BY166" i="5"/>
  <c r="CC42" i="5"/>
  <c r="CD42" i="5" s="1"/>
  <c r="BY42" i="5"/>
  <c r="CA74" i="5"/>
  <c r="CA198" i="5"/>
  <c r="CA159" i="5"/>
  <c r="BY129" i="5"/>
  <c r="CC129" i="5"/>
  <c r="CD129" i="5" s="1"/>
  <c r="BY172" i="5"/>
  <c r="CC172" i="5"/>
  <c r="CD172" i="5" s="1"/>
  <c r="CA166" i="5"/>
  <c r="BY78" i="5"/>
  <c r="CC78" i="5"/>
  <c r="CD78" i="5" s="1"/>
  <c r="BY40" i="5"/>
  <c r="CC40" i="5"/>
  <c r="CD40" i="5" s="1"/>
  <c r="CC28" i="5"/>
  <c r="CD28" i="5" s="1"/>
  <c r="BY28" i="5"/>
  <c r="BY121" i="5"/>
  <c r="CC121" i="5"/>
  <c r="CD121" i="5" s="1"/>
  <c r="BY126" i="5"/>
  <c r="CC126" i="5"/>
  <c r="CD126" i="5" s="1"/>
  <c r="BY55" i="5"/>
  <c r="CC55" i="5"/>
  <c r="CD55" i="5" s="1"/>
  <c r="CA172" i="5"/>
  <c r="BY85" i="5"/>
  <c r="CC85" i="5"/>
  <c r="CD85" i="5" s="1"/>
  <c r="CC220" i="5"/>
  <c r="CD220" i="5" s="1"/>
  <c r="BY220" i="5"/>
  <c r="BY95" i="5"/>
  <c r="CC95" i="5"/>
  <c r="CD95" i="5" s="1"/>
  <c r="CC101" i="5"/>
  <c r="CD101" i="5" s="1"/>
  <c r="BY101" i="5"/>
  <c r="CC224" i="5"/>
  <c r="CD224" i="5" s="1"/>
  <c r="BY224" i="5"/>
  <c r="BY157" i="5"/>
  <c r="CC157" i="5"/>
  <c r="CD157" i="5" s="1"/>
  <c r="CA55" i="5"/>
  <c r="CA42" i="5"/>
  <c r="CA110" i="5"/>
  <c r="CA213" i="5"/>
  <c r="CC87" i="5"/>
  <c r="CD87" i="5" s="1"/>
  <c r="BY87" i="5"/>
  <c r="BY32" i="5"/>
  <c r="CC32" i="5"/>
  <c r="CD32" i="5" s="1"/>
  <c r="CA101" i="5"/>
  <c r="CC20" i="5"/>
  <c r="CD20" i="5" s="1"/>
  <c r="BY20" i="5"/>
  <c r="CA126" i="5"/>
  <c r="BY173" i="5"/>
  <c r="CC173" i="5"/>
  <c r="CD173" i="5" s="1"/>
  <c r="CA173" i="5"/>
  <c r="BY45" i="5"/>
  <c r="CC45" i="5"/>
  <c r="CD45" i="5" s="1"/>
  <c r="BY185" i="5"/>
  <c r="CC185" i="5"/>
  <c r="CD185" i="5" s="1"/>
  <c r="BY90" i="5"/>
  <c r="CC90" i="5"/>
  <c r="CD90" i="5" s="1"/>
  <c r="BY198" i="5"/>
  <c r="CC198" i="5"/>
  <c r="CD198" i="5" s="1"/>
  <c r="CA28" i="5"/>
  <c r="CA25" i="5"/>
  <c r="BY213" i="5"/>
  <c r="CC213" i="5"/>
  <c r="CD213" i="5" s="1"/>
  <c r="CA92" i="5"/>
  <c r="BY162" i="5"/>
  <c r="CC162" i="5"/>
  <c r="CD162" i="5" s="1"/>
  <c r="BY58" i="5"/>
  <c r="CC58" i="5"/>
  <c r="CD58" i="5" s="1"/>
  <c r="BY105" i="5"/>
  <c r="CC105" i="5"/>
  <c r="CD105" i="5" s="1"/>
  <c r="BY34" i="5"/>
  <c r="CC34" i="5"/>
  <c r="CD34" i="5" s="1"/>
  <c r="CA185" i="5"/>
  <c r="CA90" i="5"/>
  <c r="CC74" i="5"/>
  <c r="CD74" i="5" s="1"/>
  <c r="BY74" i="5"/>
  <c r="BY49" i="5"/>
  <c r="CC49" i="5"/>
  <c r="CD49" i="5" s="1"/>
  <c r="BY35" i="5"/>
  <c r="CC35" i="5"/>
  <c r="CD35" i="5" s="1"/>
  <c r="BY210" i="5"/>
  <c r="CC210" i="5"/>
  <c r="CD210" i="5" s="1"/>
  <c r="CA34" i="5"/>
  <c r="BY54" i="5"/>
  <c r="CC54" i="5"/>
  <c r="CD54" i="5" s="1"/>
  <c r="CA191" i="5"/>
  <c r="CC176" i="5"/>
  <c r="CD176" i="5" s="1"/>
  <c r="BY176" i="5"/>
  <c r="BY92" i="5"/>
  <c r="CC92" i="5"/>
  <c r="CD92" i="5" s="1"/>
  <c r="CA105" i="5"/>
  <c r="CA45" i="5"/>
  <c r="BY82" i="5"/>
  <c r="CC82" i="5"/>
  <c r="CD82" i="5" s="1"/>
  <c r="CC135" i="5"/>
  <c r="CD135" i="5" s="1"/>
  <c r="BY135" i="5"/>
  <c r="BY145" i="5"/>
  <c r="CC145" i="5"/>
  <c r="CD145" i="5" s="1"/>
  <c r="CA60" i="5"/>
  <c r="BY113" i="5"/>
  <c r="CC113" i="5"/>
  <c r="CD113" i="5" s="1"/>
  <c r="CA220" i="5"/>
  <c r="CA202" i="5"/>
  <c r="BY25" i="5"/>
  <c r="CC25" i="5"/>
  <c r="CD25" i="5" s="1"/>
  <c r="CA162" i="5"/>
  <c r="CA32" i="5"/>
  <c r="CA35" i="5"/>
  <c r="CC200" i="5"/>
  <c r="CD200" i="5" s="1"/>
  <c r="BY200" i="5"/>
  <c r="CA82" i="5"/>
  <c r="CA174" i="5"/>
  <c r="BY104" i="5"/>
  <c r="CC104" i="5"/>
  <c r="CD104" i="5" s="1"/>
  <c r="CC60" i="5"/>
  <c r="CD60" i="5" s="1"/>
  <c r="BY60" i="5"/>
  <c r="BY174" i="5"/>
  <c r="CC174" i="5"/>
  <c r="CD174" i="5" s="1"/>
  <c r="CC202" i="5"/>
  <c r="CD202" i="5" s="1"/>
  <c r="BY202" i="5"/>
  <c r="BY159" i="5"/>
  <c r="CC159" i="5"/>
  <c r="CD159" i="5" s="1"/>
  <c r="BY193" i="5"/>
  <c r="CC193" i="5"/>
  <c r="CD193" i="5" s="1"/>
  <c r="BY191" i="5"/>
  <c r="CC191" i="5"/>
  <c r="CD191" i="5" s="1"/>
  <c r="CC110" i="5"/>
  <c r="CD110" i="5" s="1"/>
  <c r="BY110" i="5"/>
  <c r="BY24" i="5"/>
  <c r="CC24" i="5"/>
  <c r="CD24" i="5" s="1"/>
  <c r="CA135" i="5"/>
  <c r="CA20" i="5"/>
  <c r="BY115" i="5"/>
  <c r="CC115" i="5"/>
  <c r="CD115" i="5" s="1"/>
  <c r="CA176" i="5"/>
  <c r="BY175" i="5"/>
  <c r="CC175" i="5"/>
  <c r="CD175" i="5" s="1"/>
  <c r="CA5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D78893EA-8D14-4435-A467-7A0CD5C6029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오늘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</text>
    </comment>
    <comment ref="B1" authorId="0" shapeId="0" xr:uid="{14231D0F-C650-4577-A151-E77C533D8E0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프리랜서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월보수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공제율</t>
        </r>
      </text>
    </comment>
    <comment ref="D1" authorId="0" shapeId="0" xr:uid="{FC529F50-DB10-44D0-A816-A31E33C1CCB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1. 2026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최저시급
</t>
        </r>
      </text>
    </comment>
    <comment ref="E1" authorId="0" shapeId="0" xr:uid="{FD68C2EA-5AE1-49F5-B1FA-9F6061A6A43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1. 2027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최저시급</t>
        </r>
        <r>
          <rPr>
            <sz val="9"/>
            <color indexed="81"/>
            <rFont val="Tahoma"/>
            <family val="2"/>
          </rPr>
          <t xml:space="preserve"> ?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W2" authorId="0" shapeId="0" xr:uid="{C0C3E985-D101-4C47-B346-29A4223EF659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기능사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자격증은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네트워크관리사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기사자격증
</t>
        </r>
        <r>
          <rPr>
            <sz val="9"/>
            <color indexed="81"/>
            <rFont val="Tahoma"/>
            <family val="2"/>
          </rPr>
          <t>CCNA, CCNP, MCSE, LPIC(</t>
        </r>
        <r>
          <rPr>
            <sz val="9"/>
            <color indexed="81"/>
            <rFont val="돋움"/>
            <family val="3"/>
            <charset val="129"/>
          </rPr>
          <t>리눅스같은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자격증임</t>
        </r>
        <r>
          <rPr>
            <sz val="9"/>
            <color indexed="81"/>
            <rFont val="Tahoma"/>
            <family val="2"/>
          </rPr>
          <t xml:space="preserve">
,</t>
        </r>
        <r>
          <rPr>
            <sz val="9"/>
            <color indexed="81"/>
            <rFont val="돋움"/>
            <family val="3"/>
            <charset val="129"/>
          </rPr>
          <t>사무자동화산업기사</t>
        </r>
        <r>
          <rPr>
            <sz val="9"/>
            <color indexed="81"/>
            <rFont val="Tahoma"/>
            <family val="2"/>
          </rPr>
          <t>(OA</t>
        </r>
        <r>
          <rPr>
            <sz val="9"/>
            <color indexed="81"/>
            <rFont val="돋움"/>
            <family val="3"/>
            <charset val="129"/>
          </rPr>
          <t>자격증의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상급과정임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적기</t>
        </r>
      </text>
    </comment>
    <comment ref="AB2" authorId="0" shapeId="0" xr:uid="{701C9496-84CB-4361-9C30-849EE67D7C3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예상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퇴사일이라도
퇴사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논의된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사람들은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F3" authorId="0" shapeId="0" xr:uid="{661A2953-688A-4F38-AFBC-031312ECD5C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김성준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부장이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수행함</t>
        </r>
      </text>
    </comment>
    <comment ref="K3" authorId="0" shapeId="0" xr:uid="{AE68A0A6-E423-40EB-A869-44D51AE59334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SK-NOBS  </t>
        </r>
        <r>
          <rPr>
            <sz val="9"/>
            <color indexed="81"/>
            <rFont val="돋움"/>
            <family val="3"/>
            <charset val="129"/>
          </rPr>
          <t>프로그램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유지보수</t>
        </r>
      </text>
    </comment>
    <comment ref="AY3" authorId="0" shapeId="0" xr:uid="{83190A14-859A-43A0-8E92-281D886AAB0C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600</t>
        </r>
        <r>
          <rPr>
            <sz val="9"/>
            <color indexed="81"/>
            <rFont val="돋움"/>
            <family val="3"/>
            <charset val="129"/>
          </rPr>
          <t xml:space="preserve">만원
</t>
        </r>
        <r>
          <rPr>
            <sz val="9"/>
            <color indexed="81"/>
            <rFont val="Tahoma"/>
            <family val="2"/>
          </rPr>
          <t>3MM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총금액</t>
        </r>
        <r>
          <rPr>
            <sz val="9"/>
            <color indexed="81"/>
            <rFont val="Tahoma"/>
            <family val="2"/>
          </rPr>
          <t xml:space="preserve"> 1800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계약됨</t>
        </r>
        <r>
          <rPr>
            <sz val="9"/>
            <color indexed="81"/>
            <rFont val="Tahoma"/>
            <family val="2"/>
          </rPr>
          <t>.</t>
        </r>
      </text>
    </comment>
    <comment ref="C4" authorId="0" shapeId="0" xr:uid="{043FD161-5DE5-4A7C-AC8E-EBDB8BD3CB5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프리랜서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외주에게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부여하되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규칙은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순번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뒷자리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자리의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숫자를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프리랜서는</t>
        </r>
        <r>
          <rPr>
            <sz val="9"/>
            <color indexed="81"/>
            <rFont val="Tahoma"/>
            <family val="2"/>
          </rPr>
          <t xml:space="preserve"> 501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시작하고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외주는</t>
        </r>
        <r>
          <rPr>
            <sz val="9"/>
            <color indexed="81"/>
            <rFont val="Tahoma"/>
            <family val="2"/>
          </rPr>
          <t xml:space="preserve"> 701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시작한다</t>
        </r>
        <r>
          <rPr>
            <sz val="9"/>
            <color indexed="81"/>
            <rFont val="Tahoma"/>
            <family val="2"/>
          </rPr>
          <t>.</t>
        </r>
      </text>
    </comment>
    <comment ref="G4" authorId="0" shapeId="0" xr:uid="{028C3262-B3C9-424F-B1B0-49C1BE40B19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16.07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>19.07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4" authorId="0" shapeId="0" xr:uid="{08C02FC5-8F50-450A-9972-9C775242104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부로
중급하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중급상</t>
        </r>
      </text>
    </comment>
    <comment ref="AQ4" authorId="0" shapeId="0" xr:uid="{A73AB022-9922-48B8-96C6-23D468505E06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조지호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인수인계</t>
        </r>
      </text>
    </comment>
    <comment ref="AW4" authorId="0" shapeId="0" xr:uid="{B92C7400-F107-47D3-A918-4ACD8D64DB75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A4" authorId="0" shapeId="0" xr:uid="{14147816-8057-441A-A8A8-DCA85C12D27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24.01.01~24.06.30</t>
        </r>
      </text>
    </comment>
    <comment ref="BB4" authorId="0" shapeId="0" xr:uid="{67C48280-1693-4FFB-BA96-068C313B8E69}">
      <text>
        <r>
          <rPr>
            <sz val="9"/>
            <color indexed="81"/>
            <rFont val="Tahoma"/>
            <family val="2"/>
          </rPr>
          <t xml:space="preserve">
25.07.01~25.12.31</t>
        </r>
      </text>
    </comment>
    <comment ref="C5" authorId="0" shapeId="0" xr:uid="{E818C6FE-ADF6-4F69-86FD-9E615F7DF1E4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프리랜서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외주에게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부여하되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규칙은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순번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뒷자리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자리의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숫자를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프리랜서는</t>
        </r>
        <r>
          <rPr>
            <sz val="9"/>
            <color indexed="81"/>
            <rFont val="Tahoma"/>
            <family val="2"/>
          </rPr>
          <t xml:space="preserve"> 501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시작하고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외주는</t>
        </r>
        <r>
          <rPr>
            <sz val="9"/>
            <color indexed="81"/>
            <rFont val="Tahoma"/>
            <family val="2"/>
          </rPr>
          <t xml:space="preserve"> 701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시작한다</t>
        </r>
        <r>
          <rPr>
            <sz val="9"/>
            <color indexed="81"/>
            <rFont val="Tahoma"/>
            <family val="2"/>
          </rPr>
          <t>.</t>
        </r>
      </text>
    </comment>
    <comment ref="G5" authorId="0" shapeId="0" xr:uid="{DB49C9B3-526B-4D11-86EF-9595C24C161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18.07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5" authorId="0" shapeId="0" xr:uid="{4DBCBD7E-6EC0-4CAA-BFA7-15C86E883F6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부로
중급하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 xml:space="preserve">중급상
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중급상으로
수정필요</t>
        </r>
      </text>
    </comment>
    <comment ref="AL5" authorId="0" shapeId="0" xr:uid="{3B0D50FB-4F83-4FDE-B303-46D072CC0FB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23.07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판교에서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이전</t>
        </r>
      </text>
    </comment>
    <comment ref="AW5" authorId="0" shapeId="0" xr:uid="{8927B7FD-2E50-432A-9789-3494D5EE42C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A5" authorId="0" shapeId="0" xr:uid="{7DDDE268-C369-4FFA-849B-F74C79F3D4F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24.07.01~26.06.30</t>
        </r>
      </text>
    </comment>
    <comment ref="BB5" authorId="0" shapeId="0" xr:uid="{89E2D49E-C34F-4F03-ABA2-FEEDA3F5C5C6}">
      <text>
        <r>
          <rPr>
            <sz val="9"/>
            <color indexed="81"/>
            <rFont val="Tahoma"/>
            <family val="2"/>
          </rPr>
          <t xml:space="preserve">
25.07.01~25.12.31</t>
        </r>
      </text>
    </comment>
    <comment ref="C6" authorId="0" shapeId="0" xr:uid="{F9DCCCEC-888B-4FD2-B028-0B78EBD3606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프리랜서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외주에게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부여하되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규칙은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순번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뒷자리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자리의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숫자를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프리랜서는</t>
        </r>
        <r>
          <rPr>
            <sz val="9"/>
            <color indexed="81"/>
            <rFont val="Tahoma"/>
            <family val="2"/>
          </rPr>
          <t xml:space="preserve"> 501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시작하고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외주는</t>
        </r>
        <r>
          <rPr>
            <sz val="9"/>
            <color indexed="81"/>
            <rFont val="Tahoma"/>
            <family val="2"/>
          </rPr>
          <t xml:space="preserve"> 701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시작한다</t>
        </r>
        <r>
          <rPr>
            <sz val="9"/>
            <color indexed="81"/>
            <rFont val="Tahoma"/>
            <family val="2"/>
          </rPr>
          <t>.</t>
        </r>
      </text>
    </comment>
    <comment ref="AW6" authorId="0" shapeId="0" xr:uid="{8B282C22-F2E1-44B7-9F0E-4386897D781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A6" authorId="0" shapeId="0" xr:uid="{60BF7D1F-0489-484E-B968-B9F6C69FEFA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24.01.01~24.06.30</t>
        </r>
      </text>
    </comment>
    <comment ref="BB6" authorId="0" shapeId="0" xr:uid="{FC63521B-F3D9-4EB6-9D22-089A4F8DCB29}">
      <text>
        <r>
          <rPr>
            <sz val="9"/>
            <color indexed="81"/>
            <rFont val="Tahoma"/>
            <family val="2"/>
          </rPr>
          <t xml:space="preserve">
25.07.01 ~ 25.12.31</t>
        </r>
      </text>
    </comment>
    <comment ref="C7" authorId="0" shapeId="0" xr:uid="{5EC25A4C-FFDE-4E58-8AC5-3AD7FE5BCC3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프리랜서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외주에게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부여하되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규칙은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순번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뒷자리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자리의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숫자를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프리랜서는</t>
        </r>
        <r>
          <rPr>
            <sz val="9"/>
            <color indexed="81"/>
            <rFont val="Tahoma"/>
            <family val="2"/>
          </rPr>
          <t xml:space="preserve"> 501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시작하고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외주는</t>
        </r>
        <r>
          <rPr>
            <sz val="9"/>
            <color indexed="81"/>
            <rFont val="Tahoma"/>
            <family val="2"/>
          </rPr>
          <t xml:space="preserve"> 701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시작한다</t>
        </r>
        <r>
          <rPr>
            <sz val="9"/>
            <color indexed="81"/>
            <rFont val="Tahoma"/>
            <family val="2"/>
          </rPr>
          <t>.</t>
        </r>
      </text>
    </comment>
    <comment ref="N7" authorId="0" shapeId="0" xr:uid="{35FAA385-CF84-47F6-8EEC-C6069E02DBD4}">
      <text>
        <r>
          <rPr>
            <b/>
            <sz val="11"/>
            <color indexed="81"/>
            <rFont val="Tahoma"/>
            <family val="2"/>
          </rPr>
          <t>만든 이:</t>
        </r>
        <r>
          <rPr>
            <sz val="11"/>
            <color indexed="81"/>
            <rFont val="Tahoma"/>
            <family val="2"/>
          </rPr>
          <t xml:space="preserve">
1. </t>
        </r>
        <r>
          <rPr>
            <sz val="11"/>
            <color indexed="81"/>
            <rFont val="돋움"/>
            <family val="3"/>
            <charset val="129"/>
          </rPr>
          <t>김교원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형님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연락처로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변경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필요합니다</t>
        </r>
        <r>
          <rPr>
            <sz val="11"/>
            <color indexed="81"/>
            <rFont val="Tahoma"/>
            <family val="2"/>
          </rPr>
          <t xml:space="preserve">.
   : </t>
        </r>
        <r>
          <rPr>
            <sz val="11"/>
            <color indexed="81"/>
            <rFont val="돋움"/>
            <family val="3"/>
            <charset val="129"/>
          </rPr>
          <t>형</t>
        </r>
        <r>
          <rPr>
            <sz val="11"/>
            <color indexed="81"/>
            <rFont val="Tahoma"/>
            <family val="2"/>
          </rPr>
          <t xml:space="preserve"> : </t>
        </r>
        <r>
          <rPr>
            <sz val="11"/>
            <color indexed="81"/>
            <rFont val="돋움"/>
            <family val="3"/>
            <charset val="129"/>
          </rPr>
          <t>김대성</t>
        </r>
        <r>
          <rPr>
            <sz val="11"/>
            <color indexed="81"/>
            <rFont val="Tahoma"/>
            <family val="2"/>
          </rPr>
          <t xml:space="preserve"> 01020188179</t>
        </r>
      </text>
    </comment>
    <comment ref="AX7" authorId="0" shapeId="0" xr:uid="{9DCD08E9-D314-4C16-9A46-9F22DD4411E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C8" authorId="0" shapeId="0" xr:uid="{757D8EB8-AD98-4DDC-B158-0FE1BE4EEEA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프리랜서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외주에게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부여하되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규칙은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순번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뒷자리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자리의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숫자를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프리랜서는</t>
        </r>
        <r>
          <rPr>
            <sz val="9"/>
            <color indexed="81"/>
            <rFont val="Tahoma"/>
            <family val="2"/>
          </rPr>
          <t xml:space="preserve"> 501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시작하고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외주는</t>
        </r>
        <r>
          <rPr>
            <sz val="9"/>
            <color indexed="81"/>
            <rFont val="Tahoma"/>
            <family val="2"/>
          </rPr>
          <t xml:space="preserve"> 701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시작한다</t>
        </r>
        <r>
          <rPr>
            <sz val="9"/>
            <color indexed="81"/>
            <rFont val="Tahoma"/>
            <family val="2"/>
          </rPr>
          <t>.</t>
        </r>
      </text>
    </comment>
    <comment ref="G8" authorId="0" shapeId="0" xr:uid="{5B2BE576-3B96-48FE-8A02-4E2D153C016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18.07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>22.08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8" authorId="0" shapeId="0" xr:uid="{54CEE361-7B3D-4EAE-A651-306B84E99E0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20.07.01</t>
        </r>
        <r>
          <rPr>
            <sz val="9"/>
            <color indexed="81"/>
            <rFont val="돋움"/>
            <family val="3"/>
            <charset val="129"/>
          </rPr>
          <t>부로
초급상→중급하</t>
        </r>
      </text>
    </comment>
    <comment ref="AW8" authorId="0" shapeId="0" xr:uid="{26000C35-4741-4ABF-8ABD-8AD4E6AE746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C9" authorId="0" shapeId="0" xr:uid="{AE3D86EA-DFA6-4B41-B565-B53FF437D85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프리랜서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외주에게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부여하되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규칙은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순번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뒷자리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자리의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숫자를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프리랜서는</t>
        </r>
        <r>
          <rPr>
            <sz val="9"/>
            <color indexed="81"/>
            <rFont val="Tahoma"/>
            <family val="2"/>
          </rPr>
          <t xml:space="preserve"> 501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시작하고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외주는</t>
        </r>
        <r>
          <rPr>
            <sz val="9"/>
            <color indexed="81"/>
            <rFont val="Tahoma"/>
            <family val="2"/>
          </rPr>
          <t xml:space="preserve"> 701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시작한다</t>
        </r>
        <r>
          <rPr>
            <sz val="9"/>
            <color indexed="81"/>
            <rFont val="Tahoma"/>
            <family val="2"/>
          </rPr>
          <t>.</t>
        </r>
      </text>
    </comment>
    <comment ref="C10" authorId="0" shapeId="0" xr:uid="{3ADAF29B-8EE0-424E-BFAC-EB5CCFBFEC7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프리랜서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외주에게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부여하되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규칙은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순번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뒷자리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자리의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숫자를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프리랜서는</t>
        </r>
        <r>
          <rPr>
            <sz val="9"/>
            <color indexed="81"/>
            <rFont val="Tahoma"/>
            <family val="2"/>
          </rPr>
          <t xml:space="preserve"> 501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시작하고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외주는</t>
        </r>
        <r>
          <rPr>
            <sz val="9"/>
            <color indexed="81"/>
            <rFont val="Tahoma"/>
            <family val="2"/>
          </rPr>
          <t xml:space="preserve"> 701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시작한다</t>
        </r>
        <r>
          <rPr>
            <sz val="9"/>
            <color indexed="81"/>
            <rFont val="Tahoma"/>
            <family val="2"/>
          </rPr>
          <t>.</t>
        </r>
      </text>
    </comment>
    <comment ref="C11" authorId="0" shapeId="0" xr:uid="{1362980C-E0F2-4F65-8C47-C344575B597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프리랜서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외주에게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부여하되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규칙은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순번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뒷자리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자리의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숫자를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프리랜서는</t>
        </r>
        <r>
          <rPr>
            <sz val="9"/>
            <color indexed="81"/>
            <rFont val="Tahoma"/>
            <family val="2"/>
          </rPr>
          <t xml:space="preserve"> 501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시작하고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외주는</t>
        </r>
        <r>
          <rPr>
            <sz val="9"/>
            <color indexed="81"/>
            <rFont val="Tahoma"/>
            <family val="2"/>
          </rPr>
          <t xml:space="preserve"> 701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시작한다</t>
        </r>
        <r>
          <rPr>
            <sz val="9"/>
            <color indexed="81"/>
            <rFont val="Tahoma"/>
            <family val="2"/>
          </rPr>
          <t>.</t>
        </r>
      </text>
    </comment>
    <comment ref="C12" authorId="0" shapeId="0" xr:uid="{1B0CE75E-81B0-49C8-A166-380310F348B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프리랜서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외주에게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부여하되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규칙은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순번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뒷자리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자리의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숫자를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프리랜서는</t>
        </r>
        <r>
          <rPr>
            <sz val="9"/>
            <color indexed="81"/>
            <rFont val="Tahoma"/>
            <family val="2"/>
          </rPr>
          <t xml:space="preserve"> 501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시작하고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외주는</t>
        </r>
        <r>
          <rPr>
            <sz val="9"/>
            <color indexed="81"/>
            <rFont val="Tahoma"/>
            <family val="2"/>
          </rPr>
          <t xml:space="preserve"> 701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시작한다</t>
        </r>
        <r>
          <rPr>
            <sz val="9"/>
            <color indexed="81"/>
            <rFont val="Tahoma"/>
            <family val="2"/>
          </rPr>
          <t>.</t>
        </r>
      </text>
    </comment>
    <comment ref="C13" authorId="0" shapeId="0" xr:uid="{AF71FF74-956A-4FFA-AD76-F9F08F9000D5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프리랜서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외주에게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부여하되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규칙은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순번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뒷자리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자리의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숫자를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프리랜서는</t>
        </r>
        <r>
          <rPr>
            <sz val="9"/>
            <color indexed="81"/>
            <rFont val="Tahoma"/>
            <family val="2"/>
          </rPr>
          <t xml:space="preserve"> 501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시작하고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외주는</t>
        </r>
        <r>
          <rPr>
            <sz val="9"/>
            <color indexed="81"/>
            <rFont val="Tahoma"/>
            <family val="2"/>
          </rPr>
          <t xml:space="preserve"> 701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시작한다</t>
        </r>
        <r>
          <rPr>
            <sz val="9"/>
            <color indexed="81"/>
            <rFont val="Tahoma"/>
            <family val="2"/>
          </rPr>
          <t>.</t>
        </r>
      </text>
    </comment>
    <comment ref="C14" authorId="0" shapeId="0" xr:uid="{523FE0AC-B30F-4A00-8095-67199DE8ED04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프리랜서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외주에게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부여하되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규칙은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순번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뒷자리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자리의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숫자를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프리랜서는</t>
        </r>
        <r>
          <rPr>
            <sz val="9"/>
            <color indexed="81"/>
            <rFont val="Tahoma"/>
            <family val="2"/>
          </rPr>
          <t xml:space="preserve"> 501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시작하고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외주는</t>
        </r>
        <r>
          <rPr>
            <sz val="9"/>
            <color indexed="81"/>
            <rFont val="Tahoma"/>
            <family val="2"/>
          </rPr>
          <t xml:space="preserve"> 701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시작한다</t>
        </r>
        <r>
          <rPr>
            <sz val="9"/>
            <color indexed="81"/>
            <rFont val="Tahoma"/>
            <family val="2"/>
          </rPr>
          <t>.</t>
        </r>
      </text>
    </comment>
    <comment ref="C15" authorId="0" shapeId="0" xr:uid="{B00CA637-9C33-45D0-90A4-9C78AAECB20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프리랜서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외주에게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부여하되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규칙은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순번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뒷자리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자리의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숫자를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프리랜서는</t>
        </r>
        <r>
          <rPr>
            <sz val="9"/>
            <color indexed="81"/>
            <rFont val="Tahoma"/>
            <family val="2"/>
          </rPr>
          <t xml:space="preserve"> 501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시작하고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외주는</t>
        </r>
        <r>
          <rPr>
            <sz val="9"/>
            <color indexed="81"/>
            <rFont val="Tahoma"/>
            <family val="2"/>
          </rPr>
          <t xml:space="preserve"> 701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시작한다</t>
        </r>
        <r>
          <rPr>
            <sz val="9"/>
            <color indexed="81"/>
            <rFont val="Tahoma"/>
            <family val="2"/>
          </rPr>
          <t>.</t>
        </r>
      </text>
    </comment>
    <comment ref="O15" authorId="0" shapeId="0" xr:uid="{5CE5E142-A805-4C97-8E1A-82D488A5336C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jwkim82@cnthoth.com</t>
        </r>
      </text>
    </comment>
    <comment ref="AW15" authorId="0" shapeId="0" xr:uid="{C25FB8DF-749F-44E4-BEE2-EC39492B867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A15" authorId="0" shapeId="0" xr:uid="{ACA2BAAE-815A-4EED-9B83-541CF04C5E2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23.07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B15" authorId="0" shapeId="0" xr:uid="{EA82C14D-3136-4259-BFB5-35343CE56982}">
      <text>
        <r>
          <rPr>
            <sz val="9"/>
            <color indexed="81"/>
            <rFont val="Tahoma"/>
            <family val="2"/>
          </rPr>
          <t xml:space="preserve">
25.07.01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N16" authorId="0" shapeId="0" xr:uid="{8BE9E1F3-51E4-4742-8C81-7399F72AC88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)010-9100-6321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 xml:space="preserve">)010-3767-6321
</t>
        </r>
        <r>
          <rPr>
            <sz val="9"/>
            <color indexed="81"/>
            <rFont val="돋움"/>
            <family val="3"/>
            <charset val="129"/>
          </rPr>
          <t>여동생</t>
        </r>
        <r>
          <rPr>
            <sz val="9"/>
            <color indexed="81"/>
            <rFont val="Tahoma"/>
            <family val="2"/>
          </rPr>
          <t>)010-9314-6321</t>
        </r>
      </text>
    </comment>
    <comment ref="AW17" authorId="0" shapeId="0" xr:uid="{435DD488-8673-440D-B1F0-ED872757684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18" authorId="0" shapeId="0" xr:uid="{3DE7C715-5CB8-44E2-A518-87EF00BE2485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19.07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18" authorId="0" shapeId="0" xr:uid="{F53E2F49-D44E-48EE-AA05-414F66E7FB1C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22.07.01</t>
        </r>
        <r>
          <rPr>
            <sz val="9"/>
            <color indexed="81"/>
            <rFont val="돋움"/>
            <family val="3"/>
            <charset val="129"/>
          </rPr>
          <t>부로
중급상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고급하</t>
        </r>
      </text>
    </comment>
    <comment ref="L18" authorId="0" shapeId="0" xr:uid="{7C575231-9D30-4AA2-AD1F-411048968F0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2010-07-01 </t>
        </r>
        <r>
          <rPr>
            <sz val="9"/>
            <color indexed="81"/>
            <rFont val="돋움"/>
            <family val="3"/>
            <charset val="129"/>
          </rPr>
          <t>입사</t>
        </r>
        <r>
          <rPr>
            <sz val="9"/>
            <color indexed="81"/>
            <rFont val="Tahoma"/>
            <family val="2"/>
          </rPr>
          <t xml:space="preserve">/ 2014-01-01 </t>
        </r>
        <r>
          <rPr>
            <sz val="9"/>
            <color indexed="81"/>
            <rFont val="돋움"/>
            <family val="3"/>
            <charset val="129"/>
          </rPr>
          <t>플러스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합병</t>
        </r>
        <r>
          <rPr>
            <sz val="9"/>
            <color indexed="81"/>
            <rFont val="Tahoma"/>
            <family val="2"/>
          </rPr>
          <t xml:space="preserve"> / 2023-07-31 </t>
        </r>
        <r>
          <rPr>
            <sz val="9"/>
            <color indexed="81"/>
            <rFont val="돋움"/>
            <family val="3"/>
            <charset val="129"/>
          </rPr>
          <t>정년퇴사</t>
        </r>
      </text>
    </comment>
    <comment ref="AB18" authorId="0" shapeId="0" xr:uid="{1092425E-978D-4385-98D4-0DB54524C13A}">
      <text>
        <r>
          <rPr>
            <sz val="10"/>
            <color indexed="81"/>
            <rFont val="Tahoma"/>
            <family val="2"/>
          </rPr>
          <t xml:space="preserve">1. 23.07.31 </t>
        </r>
        <r>
          <rPr>
            <sz val="10"/>
            <color indexed="81"/>
            <rFont val="돋움"/>
            <family val="3"/>
            <charset val="129"/>
          </rPr>
          <t>부로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정년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퇴사
</t>
        </r>
        <r>
          <rPr>
            <sz val="10"/>
            <color indexed="81"/>
            <rFont val="Tahoma"/>
            <family val="2"/>
          </rPr>
          <t xml:space="preserve">2. </t>
        </r>
        <r>
          <rPr>
            <sz val="10"/>
            <color indexed="81"/>
            <rFont val="돋움"/>
            <family val="3"/>
            <charset val="129"/>
          </rPr>
          <t>이후</t>
        </r>
        <r>
          <rPr>
            <sz val="10"/>
            <color indexed="81"/>
            <rFont val="Tahoma"/>
            <family val="2"/>
          </rPr>
          <t xml:space="preserve"> 3</t>
        </r>
        <r>
          <rPr>
            <sz val="10"/>
            <color indexed="81"/>
            <rFont val="돋움"/>
            <family val="3"/>
            <charset val="129"/>
          </rPr>
          <t>개월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기간단위로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촉탁</t>
        </r>
        <r>
          <rPr>
            <sz val="10"/>
            <color indexed="81"/>
            <rFont val="Tahoma"/>
            <family val="2"/>
          </rPr>
          <t>(</t>
        </r>
        <r>
          <rPr>
            <sz val="10"/>
            <color indexed="81"/>
            <rFont val="돋움"/>
            <family val="3"/>
            <charset val="129"/>
          </rPr>
          <t>계약</t>
        </r>
        <r>
          <rPr>
            <sz val="10"/>
            <color indexed="81"/>
            <rFont val="Tahoma"/>
            <family val="2"/>
          </rPr>
          <t>)</t>
        </r>
        <r>
          <rPr>
            <sz val="10"/>
            <color indexed="81"/>
            <rFont val="돋움"/>
            <family val="3"/>
            <charset val="129"/>
          </rPr>
          <t>직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연장하여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계약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관리됨</t>
        </r>
      </text>
    </comment>
    <comment ref="AI18" authorId="0" shapeId="0" xr:uid="{98EBE7AD-5825-423D-9F04-5857D6E6765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2020.03.07</t>
        </r>
        <r>
          <rPr>
            <sz val="9"/>
            <color indexed="81"/>
            <rFont val="돋움"/>
            <family val="3"/>
            <charset val="129"/>
          </rPr>
          <t>부로
구로에서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장안으로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이전</t>
        </r>
      </text>
    </comment>
    <comment ref="AW18" authorId="0" shapeId="0" xr:uid="{342834C0-F53D-42DC-9455-AB62446D5804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AW19" authorId="0" shapeId="0" xr:uid="{04691834-E33F-42F4-81A4-A65C6E6C43B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20" authorId="0" shapeId="0" xr:uid="{D9997361-EFA8-4891-B3F1-D73DDEF29A35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16.07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20" authorId="0" shapeId="0" xr:uid="{92F2267F-A36D-489F-80D9-4A096C969915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22.07.01</t>
        </r>
        <r>
          <rPr>
            <sz val="9"/>
            <color indexed="81"/>
            <rFont val="돋움"/>
            <family val="3"/>
            <charset val="129"/>
          </rPr>
          <t>부로
중급상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고급하</t>
        </r>
      </text>
    </comment>
    <comment ref="AW20" authorId="0" shapeId="0" xr:uid="{38EB9356-F17C-4B46-A56A-0F6D55FD4193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21" authorId="0" shapeId="0" xr:uid="{70B4D311-6A7A-43F2-A933-044E68346E9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16.07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AW21" authorId="0" shapeId="0" xr:uid="{21691AD7-0146-4E56-9953-F8554F94C87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D22" authorId="0" shapeId="0" xr:uid="{1E791FEA-CCAA-4C5A-B4A6-F138AE5C222B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박귀진</t>
        </r>
        <r>
          <rPr>
            <sz val="9"/>
            <color indexed="81"/>
            <rFont val="Tahoma"/>
            <family val="2"/>
          </rPr>
          <t xml:space="preserve"> M, </t>
        </r>
        <r>
          <rPr>
            <sz val="9"/>
            <color indexed="81"/>
            <rFont val="돋움"/>
            <family val="3"/>
            <charset val="129"/>
          </rPr>
          <t>이범철</t>
        </r>
        <r>
          <rPr>
            <sz val="9"/>
            <color indexed="81"/>
            <rFont val="Tahoma"/>
            <family val="2"/>
          </rPr>
          <t xml:space="preserve"> M(~22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)</t>
        </r>
      </text>
    </comment>
    <comment ref="H22" authorId="0" shapeId="0" xr:uid="{12D14B73-9D75-4336-B443-240966EDED4C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20.07.01</t>
        </r>
        <r>
          <rPr>
            <sz val="9"/>
            <color indexed="81"/>
            <rFont val="돋움"/>
            <family val="3"/>
            <charset val="129"/>
          </rPr>
          <t>부로
고급하→고급상</t>
        </r>
      </text>
    </comment>
    <comment ref="AL22" authorId="0" shapeId="0" xr:uid="{A29454A6-8A62-4FE6-9064-D31C1361A6C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23.07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판교에서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이전</t>
        </r>
      </text>
    </comment>
    <comment ref="AW22" authorId="0" shapeId="0" xr:uid="{C15E4640-EFA0-40A6-9845-43F3030ECF8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23" authorId="0" shapeId="0" xr:uid="{6DA81F36-6373-49A5-A8EA-C12BAE5C491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17.02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</text>
    </comment>
    <comment ref="AW23" authorId="0" shapeId="0" xr:uid="{A47AF02C-7282-4BC9-8AF9-C64FEE38FA6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AW24" authorId="0" shapeId="0" xr:uid="{16652F5E-9A85-40C6-8558-3EC7001AF8F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25" authorId="0" shapeId="0" xr:uid="{26452F6D-D06A-4817-93A2-47A61003D40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2020.07.01</t>
        </r>
        <r>
          <rPr>
            <sz val="9"/>
            <color indexed="81"/>
            <rFont val="돋움"/>
            <family val="3"/>
            <charset val="129"/>
          </rPr>
          <t>부로
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AW25" authorId="0" shapeId="0" xr:uid="{B56EF85F-4864-41A1-9CDA-ACF98F98FCB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26" authorId="0" shapeId="0" xr:uid="{3B8218E0-55DA-44A8-8516-4D65F3D63F6C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16.07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 xml:space="preserve">22.08 </t>
        </r>
        <r>
          <rPr>
            <sz val="9"/>
            <color indexed="81"/>
            <rFont val="돋움"/>
            <family val="3"/>
            <charset val="129"/>
          </rPr>
          <t>승진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차장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부장</t>
        </r>
        <r>
          <rPr>
            <sz val="9"/>
            <color indexed="81"/>
            <rFont val="Tahoma"/>
            <family val="2"/>
          </rPr>
          <t>)</t>
        </r>
      </text>
    </comment>
    <comment ref="AL26" authorId="0" shapeId="0" xr:uid="{73FBA283-8DB6-4227-9BEB-2F0AA2E89EE5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23.07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판교에서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이전</t>
        </r>
      </text>
    </comment>
    <comment ref="AW26" authorId="0" shapeId="0" xr:uid="{70A95CBB-4495-472B-ADB3-19E01411A2B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27" authorId="0" shapeId="0" xr:uid="{2B504415-FCAC-4F7F-AC51-32652347FABC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18.07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AD27" authorId="0" shapeId="0" xr:uid="{B2E19E51-38B5-48C2-9921-A5D89F6BB56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1. 2018.02.01.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근무지이동</t>
        </r>
      </text>
    </comment>
    <comment ref="AW27" authorId="0" shapeId="0" xr:uid="{2A76A6CF-3C6C-4704-B74C-7984FE661BE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28" authorId="0" shapeId="0" xr:uid="{60913DF9-5842-46FC-BFE8-2A06916090E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18.07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28" authorId="0" shapeId="0" xr:uid="{6A748D93-DF81-418B-BBB1-E5B4F6AD472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부로
고급하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고급상</t>
        </r>
      </text>
    </comment>
    <comment ref="AW28" authorId="0" shapeId="0" xr:uid="{EE2AB073-15E8-4D00-BC4D-66EC9E83500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29" authorId="0" shapeId="0" xr:uid="{9AB4765A-7154-425F-8913-76522B743C1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2020.07.01</t>
        </r>
        <r>
          <rPr>
            <sz val="9"/>
            <color indexed="81"/>
            <rFont val="돋움"/>
            <family val="3"/>
            <charset val="129"/>
          </rPr>
          <t>부로
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T29" authorId="0" shapeId="0" xr:uid="{B9D69980-86EF-4932-AAFC-87317686EE0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17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한국방송통신대학교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학년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편입</t>
        </r>
      </text>
    </comment>
    <comment ref="AD29" authorId="0" shapeId="0" xr:uid="{4C7364AD-1BF5-4D32-976F-C29013CD35B5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근무지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 : 2023.03 </t>
        </r>
        <r>
          <rPr>
            <sz val="9"/>
            <color indexed="81"/>
            <rFont val="돋움"/>
            <family val="3"/>
            <charset val="129"/>
          </rPr>
          <t>을지로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정자</t>
        </r>
      </text>
    </comment>
    <comment ref="AW29" authorId="0" shapeId="0" xr:uid="{4564EE35-2206-453D-9FD6-B485B0F456F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30" authorId="0" shapeId="0" xr:uid="{77E4FC16-52C1-4122-B67C-10ADDDFFE7D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18.07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AW30" authorId="0" shapeId="0" xr:uid="{606BAD8C-9B77-4D15-A5CE-14F16962706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31" authorId="0" shapeId="0" xr:uid="{CE778E3E-CFD8-4983-AC30-DA48CE924B8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16.07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 xml:space="preserve">22.08 </t>
        </r>
        <r>
          <rPr>
            <sz val="9"/>
            <color indexed="81"/>
            <rFont val="돋움"/>
            <family val="3"/>
            <charset val="129"/>
          </rPr>
          <t>승진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차장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부장</t>
        </r>
        <r>
          <rPr>
            <sz val="9"/>
            <color indexed="81"/>
            <rFont val="Tahoma"/>
            <family val="2"/>
          </rPr>
          <t>)</t>
        </r>
      </text>
    </comment>
    <comment ref="H31" authorId="0" shapeId="0" xr:uid="{AACA9A3C-1427-4D34-AA08-3721A87D8B4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등급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상승</t>
        </r>
      </text>
    </comment>
    <comment ref="AW31" authorId="0" shapeId="0" xr:uid="{F37345B2-2589-4D75-BAA7-FA7DE801D93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32" authorId="0" shapeId="0" xr:uid="{9BC2C41E-EF4E-457D-9C0A-0AE8D33653A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18.07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AW32" authorId="0" shapeId="0" xr:uid="{25D0E8FD-B489-49A3-8798-EA7C4E99B94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33" authorId="0" shapeId="0" xr:uid="{E4CD37B2-C4B5-4EB1-A0BE-9E55B799E18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18.07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AW33" authorId="0" shapeId="0" xr:uid="{D550F1AC-AC56-4318-B6DF-86A129A82BE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F34" authorId="0" shapeId="0" xr:uid="{8E6E6A6C-3837-4F8E-B61D-25F041FC3D88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다이어리같은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조원석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부장님편에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것
</t>
        </r>
      </text>
    </comment>
    <comment ref="G34" authorId="0" shapeId="0" xr:uid="{05610FB0-A6D4-4E2B-B55D-B10CF0B33125}">
      <text>
        <r>
          <rPr>
            <sz val="9"/>
            <color indexed="81"/>
            <rFont val="Tahoma"/>
            <family val="2"/>
          </rPr>
          <t xml:space="preserve">16.07 </t>
        </r>
        <r>
          <rPr>
            <sz val="9"/>
            <color indexed="81"/>
            <rFont val="돋움"/>
            <family val="3"/>
            <charset val="129"/>
          </rPr>
          <t>대리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과장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 xml:space="preserve">20.08 </t>
        </r>
        <r>
          <rPr>
            <sz val="9"/>
            <color indexed="81"/>
            <rFont val="돋움"/>
            <family val="3"/>
            <charset val="129"/>
          </rPr>
          <t>과장</t>
        </r>
        <r>
          <rPr>
            <sz val="9"/>
            <color indexed="81"/>
            <rFont val="Tahoma"/>
            <family val="2"/>
          </rPr>
          <t xml:space="preserve">-&gt; </t>
        </r>
        <r>
          <rPr>
            <sz val="9"/>
            <color indexed="81"/>
            <rFont val="돋움"/>
            <family val="3"/>
            <charset val="129"/>
          </rPr>
          <t>부장승진</t>
        </r>
      </text>
    </comment>
    <comment ref="H34" authorId="0" shapeId="0" xr:uid="{53185B72-F6A4-4EBC-A510-51B36794A98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20.07.01</t>
        </r>
        <r>
          <rPr>
            <sz val="9"/>
            <color indexed="81"/>
            <rFont val="돋움"/>
            <family val="3"/>
            <charset val="129"/>
          </rPr>
          <t>부로
중급하→중급상</t>
        </r>
      </text>
    </comment>
    <comment ref="AW34" authorId="0" shapeId="0" xr:uid="{43E5941F-0CBD-4F75-82C6-C355E7B6FDF5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35" authorId="0" shapeId="0" xr:uid="{5CEE177D-391B-4F20-864D-78E47768FD4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18.07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AW35" authorId="0" shapeId="0" xr:uid="{5A192306-605D-4617-A679-19B74032990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36" authorId="0" shapeId="0" xr:uid="{DD0DE574-47F5-485A-B4D7-DFB7A7B7DD24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36" authorId="0" shapeId="0" xr:uid="{39F52B8A-8CFD-426E-BA19-F53A93F91BD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
중급하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중급상</t>
        </r>
      </text>
    </comment>
    <comment ref="AW36" authorId="0" shapeId="0" xr:uid="{B84E289C-9AFD-4CE8-9F02-C27172AB71F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37" authorId="0" shapeId="0" xr:uid="{43EE45AB-6AD4-4B20-8291-7C9C89205D9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19.07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37" authorId="0" shapeId="0" xr:uid="{A10C5E7A-E79B-4F7D-A066-CF97D3EB13D3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부로
중급하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중급상</t>
        </r>
      </text>
    </comment>
    <comment ref="AW37" authorId="0" shapeId="0" xr:uid="{9F9DD84B-52CF-4E0C-9D2D-3224D562127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38" authorId="0" shapeId="0" xr:uid="{B879CFF0-7012-47C5-AD27-A3E91BE58D9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16.07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 xml:space="preserve">22.08 </t>
        </r>
        <r>
          <rPr>
            <sz val="9"/>
            <color indexed="81"/>
            <rFont val="돋움"/>
            <family val="3"/>
            <charset val="129"/>
          </rPr>
          <t>승진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차장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부장</t>
        </r>
        <r>
          <rPr>
            <sz val="9"/>
            <color indexed="81"/>
            <rFont val="Tahoma"/>
            <family val="2"/>
          </rPr>
          <t>)</t>
        </r>
      </text>
    </comment>
    <comment ref="AN38" authorId="0" shapeId="0" xr:uid="{546D6A02-1185-4CAD-85F0-1DEE38C4F71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등본주소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인천광역시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남동구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염전로</t>
        </r>
        <r>
          <rPr>
            <sz val="9"/>
            <color indexed="81"/>
            <rFont val="Tahoma"/>
            <family val="2"/>
          </rPr>
          <t xml:space="preserve"> 440, 102</t>
        </r>
        <r>
          <rPr>
            <sz val="9"/>
            <color indexed="81"/>
            <rFont val="돋움"/>
            <family val="3"/>
            <charset val="129"/>
          </rPr>
          <t>동</t>
        </r>
        <r>
          <rPr>
            <sz val="9"/>
            <color indexed="81"/>
            <rFont val="Tahoma"/>
            <family val="2"/>
          </rPr>
          <t xml:space="preserve"> 905</t>
        </r>
        <r>
          <rPr>
            <sz val="9"/>
            <color indexed="81"/>
            <rFont val="돋움"/>
            <family val="3"/>
            <charset val="129"/>
          </rPr>
          <t>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신동아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파밀리에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명품아파트</t>
        </r>
        <r>
          <rPr>
            <sz val="9"/>
            <color indexed="81"/>
            <rFont val="Tahoma"/>
            <family val="2"/>
          </rPr>
          <t>)</t>
        </r>
      </text>
    </comment>
    <comment ref="AW38" authorId="0" shapeId="0" xr:uid="{4D300A70-488A-4DAA-9FC0-BDC7204C4AF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39" authorId="0" shapeId="0" xr:uid="{40F7DFF0-FD5D-4C96-BF08-5D7D547DE977}">
      <text>
        <r>
          <rPr>
            <sz val="9"/>
            <color indexed="81"/>
            <rFont val="Tahoma"/>
            <family val="2"/>
          </rPr>
          <t xml:space="preserve">
16.07 </t>
        </r>
        <r>
          <rPr>
            <sz val="9"/>
            <color indexed="81"/>
            <rFont val="돋움"/>
            <family val="3"/>
            <charset val="129"/>
          </rPr>
          <t>차장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 xml:space="preserve">20.07 </t>
        </r>
        <r>
          <rPr>
            <sz val="9"/>
            <color indexed="81"/>
            <rFont val="돋움"/>
            <family val="3"/>
            <charset val="129"/>
          </rPr>
          <t>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39" authorId="0" shapeId="0" xr:uid="{FE0476D7-A55C-41C7-8E53-DC00B57F4514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부로
초급하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초급상</t>
        </r>
      </text>
    </comment>
    <comment ref="N39" authorId="0" shapeId="0" xr:uid="{40E8BFCF-1091-4A79-A54A-6576513DA483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세컨넘버</t>
        </r>
        <r>
          <rPr>
            <sz val="9"/>
            <color indexed="81"/>
            <rFont val="Tahoma"/>
            <family val="2"/>
          </rPr>
          <t xml:space="preserve"> : 010-4194-7388</t>
        </r>
      </text>
    </comment>
    <comment ref="AW39" authorId="0" shapeId="0" xr:uid="{92EE0E85-A816-49F2-9C4B-F50DE3157D7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D40" authorId="0" shapeId="0" xr:uid="{349D1F3E-279E-4AF8-B16F-CFBF75B72F7E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박귀진</t>
        </r>
        <r>
          <rPr>
            <sz val="9"/>
            <color indexed="81"/>
            <rFont val="Tahoma"/>
            <family val="2"/>
          </rPr>
          <t xml:space="preserve"> M, </t>
        </r>
        <r>
          <rPr>
            <sz val="9"/>
            <color indexed="81"/>
            <rFont val="돋움"/>
            <family val="3"/>
            <charset val="129"/>
          </rPr>
          <t>이범철</t>
        </r>
        <r>
          <rPr>
            <sz val="9"/>
            <color indexed="81"/>
            <rFont val="Tahoma"/>
            <family val="2"/>
          </rPr>
          <t xml:space="preserve"> M(~22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)</t>
        </r>
      </text>
    </comment>
    <comment ref="G40" authorId="0" shapeId="0" xr:uid="{633BE49E-6AAB-4EAD-993D-3B4810E3F56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16.07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 xml:space="preserve">22.08 </t>
        </r>
        <r>
          <rPr>
            <sz val="9"/>
            <color indexed="81"/>
            <rFont val="돋움"/>
            <family val="3"/>
            <charset val="129"/>
          </rPr>
          <t>승진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차장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부장</t>
        </r>
        <r>
          <rPr>
            <sz val="9"/>
            <color indexed="81"/>
            <rFont val="Tahoma"/>
            <family val="2"/>
          </rPr>
          <t>)</t>
        </r>
      </text>
    </comment>
    <comment ref="H40" authorId="0" shapeId="0" xr:uid="{0E15AFBD-5690-4F20-B7DC-178FDE89A4F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부로
중급하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중급상</t>
        </r>
      </text>
    </comment>
    <comment ref="AW40" authorId="0" shapeId="0" xr:uid="{057CAD9B-90A3-4EF2-A3B1-AB4515099BF4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41" authorId="0" shapeId="0" xr:uid="{96F505E7-7B98-4CAD-8E05-8AA12EA3884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21.07.01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</text>
    </comment>
    <comment ref="AW41" authorId="0" shapeId="0" xr:uid="{75333DEA-C30C-4DAE-B92B-1760401F3AB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D42" authorId="0" shapeId="0" xr:uid="{716B5C5B-3034-4A0E-97AB-1599DF1E919F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박귀진</t>
        </r>
        <r>
          <rPr>
            <sz val="9"/>
            <color indexed="81"/>
            <rFont val="Tahoma"/>
            <family val="2"/>
          </rPr>
          <t xml:space="preserve"> M, </t>
        </r>
        <r>
          <rPr>
            <sz val="9"/>
            <color indexed="81"/>
            <rFont val="돋움"/>
            <family val="3"/>
            <charset val="129"/>
          </rPr>
          <t>이범철</t>
        </r>
        <r>
          <rPr>
            <sz val="9"/>
            <color indexed="81"/>
            <rFont val="Tahoma"/>
            <family val="2"/>
          </rPr>
          <t xml:space="preserve"> M(~22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)</t>
        </r>
      </text>
    </comment>
    <comment ref="G42" authorId="0" shapeId="0" xr:uid="{4A42C88E-36A1-4C4C-8F85-E4249906E2C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16.07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 xml:space="preserve">22.08 </t>
        </r>
        <r>
          <rPr>
            <sz val="9"/>
            <color indexed="81"/>
            <rFont val="돋움"/>
            <family val="3"/>
            <charset val="129"/>
          </rPr>
          <t>승진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차장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부장</t>
        </r>
        <r>
          <rPr>
            <sz val="9"/>
            <color indexed="81"/>
            <rFont val="Tahoma"/>
            <family val="2"/>
          </rPr>
          <t>)</t>
        </r>
      </text>
    </comment>
    <comment ref="H42" authorId="0" shapeId="0" xr:uid="{06C0460F-C711-4350-A558-606E42F22613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부로
중급하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중급상</t>
        </r>
      </text>
    </comment>
    <comment ref="Y42" authorId="0" shapeId="0" xr:uid="{9CA11C6B-32D6-480C-AFCA-821DE579317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ITIL Foundation.Cloud Computing</t>
        </r>
      </text>
    </comment>
    <comment ref="AW42" authorId="0" shapeId="0" xr:uid="{BFC3F69B-0CCE-4CD4-A6A0-BDC4E80E8BE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43" authorId="0" shapeId="0" xr:uid="{C2715279-1AF2-4378-BCC0-F0FD7DF9725F}">
      <text>
        <r>
          <rPr>
            <sz val="9"/>
            <color indexed="81"/>
            <rFont val="Tahoma"/>
            <family val="2"/>
          </rPr>
          <t xml:space="preserve">
16.07 </t>
        </r>
        <r>
          <rPr>
            <sz val="9"/>
            <color indexed="81"/>
            <rFont val="돋움"/>
            <family val="3"/>
            <charset val="129"/>
          </rPr>
          <t>차장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 xml:space="preserve">20.07 </t>
        </r>
        <r>
          <rPr>
            <sz val="9"/>
            <color indexed="81"/>
            <rFont val="돋움"/>
            <family val="3"/>
            <charset val="129"/>
          </rPr>
          <t>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AW43" authorId="0" shapeId="0" xr:uid="{70558D69-122A-435F-8D4D-11F4617080A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44" authorId="0" shapeId="0" xr:uid="{5724CA83-C5A3-494A-A248-5CA7C67A233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AW44" authorId="0" shapeId="0" xr:uid="{CA1C36F3-DC69-42DA-96C8-3627B5451D6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45" authorId="0" shapeId="0" xr:uid="{01FE99EB-8AB6-4274-A8B7-52A291FAB0E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16.07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45" authorId="0" shapeId="0" xr:uid="{B70CAEAB-6F2E-43EB-BF9C-3D545B2CF62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부토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초급하</t>
        </r>
      </text>
    </comment>
    <comment ref="AW45" authorId="0" shapeId="0" xr:uid="{EA6CBF8D-0C58-4D5C-994F-57F2A71B626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46" authorId="0" shapeId="0" xr:uid="{D74B2455-5576-41C8-8A8F-A9FFA2797B7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7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과장</t>
        </r>
        <r>
          <rPr>
            <sz val="9"/>
            <color indexed="81"/>
            <rFont val="Tahoma"/>
            <family val="2"/>
          </rPr>
          <t xml:space="preserve">-&gt; </t>
        </r>
        <r>
          <rPr>
            <sz val="9"/>
            <color indexed="81"/>
            <rFont val="돋움"/>
            <family val="3"/>
            <charset val="129"/>
          </rPr>
          <t>차장</t>
        </r>
      </text>
    </comment>
    <comment ref="H46" authorId="0" shapeId="0" xr:uid="{B4ABE0FD-3623-4016-B32A-692AF03259D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부토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초급하</t>
        </r>
      </text>
    </comment>
    <comment ref="N46" authorId="0" shapeId="0" xr:uid="{E2126EC9-B33D-48CD-A926-39ADE4BD7BB5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배우자</t>
        </r>
        <r>
          <rPr>
            <sz val="9"/>
            <color indexed="81"/>
            <rFont val="Tahoma"/>
            <family val="2"/>
          </rPr>
          <t>)010-3362-6583</t>
        </r>
      </text>
    </comment>
    <comment ref="AW46" authorId="0" shapeId="0" xr:uid="{F79A489E-E20F-4CF0-BE8E-C54B70A9FDF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47" authorId="0" shapeId="0" xr:uid="{80D86C4E-CF0D-4683-B586-812BDBA5637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16.07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 xml:space="preserve">22.08 </t>
        </r>
        <r>
          <rPr>
            <sz val="9"/>
            <color indexed="81"/>
            <rFont val="돋움"/>
            <family val="3"/>
            <charset val="129"/>
          </rPr>
          <t>승진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차장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부장</t>
        </r>
        <r>
          <rPr>
            <sz val="9"/>
            <color indexed="81"/>
            <rFont val="Tahoma"/>
            <family val="2"/>
          </rPr>
          <t>)</t>
        </r>
      </text>
    </comment>
    <comment ref="H47" authorId="0" shapeId="0" xr:uid="{EDBEA015-15C8-4054-B081-C09187BBB41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부토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초급하</t>
        </r>
      </text>
    </comment>
    <comment ref="AW47" authorId="0" shapeId="0" xr:uid="{BF646FE2-5015-4338-A8AE-4ED5DFE33F4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48" authorId="0" shapeId="0" xr:uid="{010D0FEB-B168-4628-BAEC-140FC551281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22.08.01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AW48" authorId="0" shapeId="0" xr:uid="{B6DAFAB6-A33B-446D-A1A8-F44445405BA3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49" authorId="0" shapeId="0" xr:uid="{B30BE887-A718-499C-A0DA-32A804AE7B1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AW49" authorId="0" shapeId="0" xr:uid="{A762598D-8D29-44FD-82A8-DCB3DA725CF4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50" authorId="0" shapeId="0" xr:uid="{01396294-EE33-4687-9D11-9FFCCF58409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22.08.01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50" authorId="0" shapeId="0" xr:uid="{8AEDBC2A-E00A-43D7-9A32-1291D59E2BC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부로
중급하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중급상</t>
        </r>
      </text>
    </comment>
    <comment ref="AL50" authorId="0" shapeId="0" xr:uid="{C5C5B651-34CC-4491-A944-2BE1FBD2477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24.07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AW50" authorId="0" shapeId="0" xr:uid="{FA3B973A-8B69-451E-93A8-F3BF27B6ABB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51" authorId="0" shapeId="0" xr:uid="{487D68E9-4903-4EA7-A7DD-2CCFFE97947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Y51" authorId="0" shapeId="0" xr:uid="{2EEB80B9-9477-4CAD-881A-0291C8C76DC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SCSA
CQS</t>
        </r>
      </text>
    </comment>
    <comment ref="AW51" authorId="0" shapeId="0" xr:uid="{8F8EAD9F-2821-45AA-8719-DE4B5D534D9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D51" authorId="0" shapeId="0" xr:uid="{114D2441-0822-4B96-A616-A778CA223043}">
      <text>
        <r>
          <rPr>
            <b/>
            <sz val="9"/>
            <color indexed="81"/>
            <rFont val="돋움"/>
            <family val="3"/>
            <charset val="129"/>
          </rPr>
          <t>김주석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1. 2025.01.01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E51" authorId="0" shapeId="0" xr:uid="{E8A209FC-1B08-430D-AC02-EE81C699409B}">
      <text>
        <r>
          <rPr>
            <b/>
            <sz val="9"/>
            <color indexed="81"/>
            <rFont val="돋움"/>
            <family val="3"/>
            <charset val="129"/>
          </rPr>
          <t>김주석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1. 2025.01.01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52" authorId="0" shapeId="0" xr:uid="{CF72E485-4809-41B0-9078-EFB558C5996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19.07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>22.08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52" authorId="0" shapeId="0" xr:uid="{A67BFD41-5B9B-4A12-8F2D-AEBF3D67048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20.07.01</t>
        </r>
        <r>
          <rPr>
            <sz val="9"/>
            <color indexed="81"/>
            <rFont val="돋움"/>
            <family val="3"/>
            <charset val="129"/>
          </rPr>
          <t>부로
초급상→중급하</t>
        </r>
      </text>
    </comment>
    <comment ref="AW52" authorId="0" shapeId="0" xr:uid="{6A41AF85-C84C-40D5-B31F-25245D10E14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53" authorId="0" shapeId="0" xr:uid="{3E6C3386-13AA-4C41-9A94-C62B997D5B04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18.07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AW53" authorId="0" shapeId="0" xr:uid="{7B8DAF5D-DFF1-4538-950B-AC003AECE513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54" authorId="0" shapeId="0" xr:uid="{027DE944-ED83-43E4-9C86-6E1F01705F5A}">
      <text>
        <r>
          <rPr>
            <sz val="9"/>
            <color indexed="81"/>
            <rFont val="Tahoma"/>
            <family val="2"/>
          </rPr>
          <t xml:space="preserve">
16.07 </t>
        </r>
        <r>
          <rPr>
            <sz val="9"/>
            <color indexed="81"/>
            <rFont val="돋움"/>
            <family val="3"/>
            <charset val="129"/>
          </rPr>
          <t>과장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 xml:space="preserve">20.07 </t>
        </r>
        <r>
          <rPr>
            <sz val="9"/>
            <color indexed="81"/>
            <rFont val="돋움"/>
            <family val="3"/>
            <charset val="129"/>
          </rPr>
          <t>차장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54" authorId="0" shapeId="0" xr:uid="{D0F636E4-115C-45BE-A2DB-5B1337AD911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부토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초급하</t>
        </r>
      </text>
    </comment>
    <comment ref="AW54" authorId="0" shapeId="0" xr:uid="{72C1BF1C-51C3-4859-9789-EEAF5905C015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55" authorId="0" shapeId="0" xr:uid="{6FC68DFD-0DF9-4A3F-8122-C67D7D187A5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2020.07.01</t>
        </r>
        <r>
          <rPr>
            <sz val="9"/>
            <color indexed="81"/>
            <rFont val="돋움"/>
            <family val="3"/>
            <charset val="129"/>
          </rPr>
          <t>부로
차장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55" authorId="0" shapeId="0" xr:uid="{13A13A4A-F90B-4120-B328-2E1AC8510BD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부토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초급하</t>
        </r>
      </text>
    </comment>
    <comment ref="N55" authorId="0" shapeId="0" xr:uid="{30DE2AFA-20AC-487B-AE0D-12460347387F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배우자</t>
        </r>
        <r>
          <rPr>
            <sz val="9"/>
            <color indexed="81"/>
            <rFont val="Tahoma"/>
            <family val="2"/>
          </rPr>
          <t>)010-8507-2405</t>
        </r>
      </text>
    </comment>
    <comment ref="AW55" authorId="0" shapeId="0" xr:uid="{03BA8E60-A6D8-486C-8D65-92191B138F6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56" authorId="0" shapeId="0" xr:uid="{5DC848C2-61A9-4E9D-AAD6-45BEFF5100B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16.07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 xml:space="preserve">22.08 </t>
        </r>
        <r>
          <rPr>
            <sz val="9"/>
            <color indexed="81"/>
            <rFont val="돋움"/>
            <family val="3"/>
            <charset val="129"/>
          </rPr>
          <t>승진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차장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부장</t>
        </r>
        <r>
          <rPr>
            <sz val="9"/>
            <color indexed="81"/>
            <rFont val="Tahoma"/>
            <family val="2"/>
          </rPr>
          <t>)</t>
        </r>
      </text>
    </comment>
    <comment ref="AW56" authorId="0" shapeId="0" xr:uid="{A93268A3-74AE-42AE-A15E-0C73F6A0EF5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D57" authorId="0" shapeId="0" xr:uid="{968EE34E-9883-4E52-B82B-4B6253F24D34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G57" authorId="0" shapeId="0" xr:uid="{6DBF3478-1201-4648-8AD7-B1A268E141C3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19.08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57" authorId="0" shapeId="0" xr:uid="{B76982E0-FF4D-494D-AED2-65286714714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부토
초급상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중급하</t>
        </r>
      </text>
    </comment>
    <comment ref="AL57" authorId="0" shapeId="0" xr:uid="{AEB36D94-32AE-43D3-A2A9-0637278A51B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17.12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26</t>
        </r>
        <r>
          <rPr>
            <sz val="9"/>
            <color indexed="81"/>
            <rFont val="돋움"/>
            <family val="3"/>
            <charset val="129"/>
          </rPr>
          <t>일부로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판교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정자
근무지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이동
</t>
        </r>
      </text>
    </comment>
    <comment ref="AW57" authorId="0" shapeId="0" xr:uid="{FFB6EE11-4765-4D05-8321-4CBD0DEB416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58" authorId="0" shapeId="0" xr:uid="{E489BF07-7766-4952-A131-A126688BB74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58" authorId="0" shapeId="0" xr:uid="{6863C78F-4BD2-430C-9165-C8676B17AFE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 </t>
        </r>
        <r>
          <rPr>
            <sz val="9"/>
            <color indexed="81"/>
            <rFont val="돋움"/>
            <family val="3"/>
            <charset val="129"/>
          </rPr>
          <t>등급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초급상</t>
        </r>
      </text>
    </comment>
    <comment ref="K58" authorId="0" shapeId="0" xr:uid="{5C9A1904-6292-49DA-9CF9-20816D047CB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N58" authorId="0" shapeId="0" xr:uid="{6AEE725D-F6C2-478F-842E-93802C62C74F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집</t>
        </r>
        <r>
          <rPr>
            <sz val="9"/>
            <color indexed="81"/>
            <rFont val="Tahoma"/>
            <family val="2"/>
          </rPr>
          <t>)031-632-0600</t>
        </r>
      </text>
    </comment>
    <comment ref="AW58" authorId="0" shapeId="0" xr:uid="{7DF62A7D-ACBA-4D7B-8356-6309CE5E6B3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59" authorId="0" shapeId="0" xr:uid="{1B90FCDD-9BE8-4358-8D2E-F525BE1F6178}">
      <text>
        <r>
          <rPr>
            <sz val="9"/>
            <color indexed="81"/>
            <rFont val="Tahoma"/>
            <family val="2"/>
          </rPr>
          <t xml:space="preserve">
16.07 </t>
        </r>
        <r>
          <rPr>
            <sz val="9"/>
            <color indexed="81"/>
            <rFont val="돋움"/>
            <family val="3"/>
            <charset val="129"/>
          </rPr>
          <t xml:space="preserve">대리
</t>
        </r>
        <r>
          <rPr>
            <sz val="9"/>
            <color indexed="81"/>
            <rFont val="Tahoma"/>
            <family val="2"/>
          </rPr>
          <t xml:space="preserve">20.07 </t>
        </r>
        <r>
          <rPr>
            <sz val="9"/>
            <color indexed="81"/>
            <rFont val="돋움"/>
            <family val="3"/>
            <charset val="129"/>
          </rPr>
          <t xml:space="preserve">과장
</t>
        </r>
      </text>
    </comment>
    <comment ref="H59" authorId="0" shapeId="0" xr:uid="{93961E97-FB9F-4AD2-8DEB-6F0A21EBD0B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초급하</t>
        </r>
      </text>
    </comment>
    <comment ref="K59" authorId="0" shapeId="0" xr:uid="{1C9A6093-8AD1-4837-B325-426127382F4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23.07.01 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N59" authorId="0" shapeId="0" xr:uid="{659CAC4F-86AB-4A1F-A035-9FC4FD8C7B52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집</t>
        </r>
        <r>
          <rPr>
            <sz val="9"/>
            <color indexed="81"/>
            <rFont val="Tahoma"/>
            <family val="2"/>
          </rPr>
          <t>)042-223-1481</t>
        </r>
      </text>
    </comment>
    <comment ref="O59" authorId="0" shapeId="0" xr:uid="{05331DD9-D80E-4939-9235-21D6FB4BC16D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이태희</t>
        </r>
        <r>
          <rPr>
            <sz val="9"/>
            <color indexed="81"/>
            <rFont val="Tahoma"/>
            <family val="2"/>
          </rPr>
          <t>B</t>
        </r>
      </text>
    </comment>
    <comment ref="AW59" authorId="0" shapeId="0" xr:uid="{BEF7F684-06D3-40BB-9103-70890771D4A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60" authorId="0" shapeId="0" xr:uid="{5C51F9B1-E8C0-4747-BCAF-6E6BA12AF5E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60" authorId="0" shapeId="0" xr:uid="{455CCB59-866D-4185-B5D1-39D6D66F5C4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
초급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중급</t>
        </r>
      </text>
    </comment>
    <comment ref="Y60" authorId="0" shapeId="0" xr:uid="{F9ED5056-1727-4248-82A4-1A9C2AF834AC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SCNA
LPIC-1</t>
        </r>
      </text>
    </comment>
    <comment ref="AW60" authorId="0" shapeId="0" xr:uid="{3B8D270E-4939-4BF1-A730-8A9F32D5E50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61" authorId="0" shapeId="0" xr:uid="{F5204594-AECB-436C-B12B-D21B6F1F58F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2020.07.01</t>
        </r>
        <r>
          <rPr>
            <sz val="9"/>
            <color indexed="81"/>
            <rFont val="돋움"/>
            <family val="3"/>
            <charset val="129"/>
          </rPr>
          <t>부로
차장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AW61" authorId="0" shapeId="0" xr:uid="{5495A020-97AC-48F7-82F1-E63F458BE62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F62" authorId="0" shapeId="0" xr:uid="{F4357042-9017-4C22-A816-D7A8E2338EEB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이현노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이정민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개명</t>
        </r>
      </text>
    </comment>
    <comment ref="G62" authorId="0" shapeId="0" xr:uid="{CAF75226-3EAC-4798-9991-DB270B964AB4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 xml:space="preserve">월승진
</t>
        </r>
        <r>
          <rPr>
            <sz val="9"/>
            <color indexed="81"/>
            <rFont val="Tahoma"/>
            <family val="2"/>
          </rPr>
          <t>19.07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</text>
    </comment>
    <comment ref="H62" authorId="0" shapeId="0" xr:uid="{9FA4B9CA-F77B-4CF4-920E-A58D847FBE0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2020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/2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 xml:space="preserve">중급하
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고급하</t>
        </r>
        <r>
          <rPr>
            <sz val="9"/>
            <color indexed="81"/>
            <rFont val="Tahoma"/>
            <family val="2"/>
          </rPr>
          <t>)</t>
        </r>
      </text>
    </comment>
    <comment ref="AW62" authorId="0" shapeId="0" xr:uid="{C9B94436-607A-4539-B9D8-35FF368D9B3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63" authorId="0" shapeId="0" xr:uid="{490C3665-50A6-4DBB-B61D-BC6D88DFC6B5}">
      <text>
        <r>
          <rPr>
            <sz val="9"/>
            <color indexed="81"/>
            <rFont val="Tahoma"/>
            <family val="2"/>
          </rPr>
          <t xml:space="preserve">1. 2016.07 </t>
        </r>
        <r>
          <rPr>
            <sz val="9"/>
            <color indexed="81"/>
            <rFont val="돋움"/>
            <family val="3"/>
            <charset val="129"/>
          </rPr>
          <t>대리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 xml:space="preserve">2. 2020.07 </t>
        </r>
        <r>
          <rPr>
            <sz val="9"/>
            <color indexed="81"/>
            <rFont val="돋움"/>
            <family val="3"/>
            <charset val="129"/>
          </rPr>
          <t>과장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>3. 2025.07.01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L63" authorId="0" shapeId="0" xr:uid="{DAECFB67-E8B8-4409-BFB5-781D51BD17A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19.08 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판교로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</t>
        </r>
      </text>
    </comment>
    <comment ref="R63" authorId="0" shapeId="0" xr:uid="{81900DE7-1CA4-4456-9112-A51EDFACA472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실재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근무시작일</t>
        </r>
        <r>
          <rPr>
            <sz val="9"/>
            <color indexed="81"/>
            <rFont val="Tahoma"/>
            <family val="2"/>
          </rPr>
          <t xml:space="preserve"> 10/1</t>
        </r>
      </text>
    </comment>
    <comment ref="S63" authorId="0" shapeId="0" xr:uid="{11B37488-B584-4D67-AC6F-B1D6A09F9B7D}">
      <text>
        <r>
          <rPr>
            <b/>
            <sz val="9"/>
            <color indexed="81"/>
            <rFont val="돋움"/>
            <family val="3"/>
            <charset val="129"/>
          </rPr>
          <t>인턴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수혜자</t>
        </r>
        <r>
          <rPr>
            <b/>
            <sz val="9"/>
            <color indexed="81"/>
            <rFont val="Tahoma"/>
            <family val="2"/>
          </rPr>
          <t>..</t>
        </r>
        <r>
          <rPr>
            <b/>
            <sz val="9"/>
            <color indexed="81"/>
            <rFont val="돋움"/>
            <family val="3"/>
            <charset val="129"/>
          </rPr>
          <t>소속사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시스템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플러스</t>
        </r>
      </text>
    </comment>
    <comment ref="AW63" authorId="0" shapeId="0" xr:uid="{69F7620B-467A-4EDD-8FC1-BEAEA17587EC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64" authorId="0" shapeId="0" xr:uid="{DEE3C119-9139-4C51-9124-4727514C407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21.07.01</t>
        </r>
        <r>
          <rPr>
            <sz val="9"/>
            <color indexed="81"/>
            <rFont val="돋움"/>
            <family val="3"/>
            <charset val="129"/>
          </rPr>
          <t>부토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L64" authorId="0" shapeId="0" xr:uid="{B74D569C-126C-4FB3-B1DB-BF48A1FE1BC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17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프로젝트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근무지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이동하면서
분류를</t>
        </r>
        <r>
          <rPr>
            <sz val="9"/>
            <color indexed="81"/>
            <rFont val="Tahoma"/>
            <family val="2"/>
          </rPr>
          <t xml:space="preserve"> 2018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잡음</t>
        </r>
      </text>
    </comment>
    <comment ref="AL64" authorId="0" shapeId="0" xr:uid="{B0F2E11A-2F2D-4F19-A81A-BAB42A8436E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23.07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판교에서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이전</t>
        </r>
      </text>
    </comment>
    <comment ref="AW64" authorId="0" shapeId="0" xr:uid="{6E05A01B-3066-407F-A5FA-44F89C5ACCA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65" authorId="0" shapeId="0" xr:uid="{C01A7455-691F-4FBA-9A6B-F2C22935B75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18.07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>22.08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AW65" authorId="0" shapeId="0" xr:uid="{838E0F3B-9D49-4648-9214-EC6F9B6138D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D66" authorId="0" shapeId="0" xr:uid="{A8DA44A7-28B6-4E64-889C-86956D8E97ED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이재열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이사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담당
김수경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차장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계산서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담당</t>
        </r>
      </text>
    </comment>
    <comment ref="G66" authorId="0" shapeId="0" xr:uid="{B00E5E32-91F2-405D-B181-FBE250A0932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AL66" authorId="0" shapeId="0" xr:uid="{4266A3D1-05F6-4A72-ABCE-C5B5A0E24FFE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상세주소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AW66" authorId="0" shapeId="0" xr:uid="{A4761D49-2F16-4039-8221-AE640640A9A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25.01.01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67" authorId="0" shapeId="0" xr:uid="{43DE81C1-3A83-4F7B-87A0-E7ABD591DDA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2020.07.01</t>
        </r>
        <r>
          <rPr>
            <sz val="9"/>
            <color indexed="81"/>
            <rFont val="돋움"/>
            <family val="3"/>
            <charset val="129"/>
          </rPr>
          <t>부로
차장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>2025.07.01</t>
        </r>
        <r>
          <rPr>
            <sz val="9"/>
            <color indexed="81"/>
            <rFont val="돋움"/>
            <family val="3"/>
            <charset val="129"/>
          </rPr>
          <t>부로
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AW67" authorId="0" shapeId="0" xr:uid="{62518C87-664A-4991-A0F6-220B480CA1E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68" authorId="0" shapeId="0" xr:uid="{96B58C73-5555-4983-9933-763488D1EE45}">
      <text>
        <r>
          <rPr>
            <sz val="9"/>
            <color indexed="81"/>
            <rFont val="Tahoma"/>
            <family val="2"/>
          </rPr>
          <t xml:space="preserve">18.07 </t>
        </r>
        <r>
          <rPr>
            <sz val="9"/>
            <color indexed="81"/>
            <rFont val="돋움"/>
            <family val="3"/>
            <charset val="129"/>
          </rPr>
          <t>대리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 xml:space="preserve">20.07 </t>
        </r>
        <r>
          <rPr>
            <sz val="9"/>
            <color indexed="81"/>
            <rFont val="돋움"/>
            <family val="3"/>
            <charset val="129"/>
          </rPr>
          <t>과장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N68" authorId="0" shapeId="0" xr:uid="{ED6425ED-2D06-434A-853F-5D74A36C3524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집</t>
        </r>
        <r>
          <rPr>
            <sz val="9"/>
            <color indexed="81"/>
            <rFont val="Tahoma"/>
            <family val="2"/>
          </rPr>
          <t>)02-869-4769</t>
        </r>
      </text>
    </comment>
    <comment ref="Y68" authorId="0" shapeId="0" xr:uid="{82CD2E38-FA47-4532-8174-73CD7BA77945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리눅스마스터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 xml:space="preserve">급
해킹보안전문가
</t>
        </r>
        <r>
          <rPr>
            <sz val="9"/>
            <color indexed="81"/>
            <rFont val="Tahoma"/>
            <family val="2"/>
          </rPr>
          <t>MOS</t>
        </r>
      </text>
    </comment>
    <comment ref="AW68" authorId="0" shapeId="0" xr:uid="{6F515EC7-DC65-46B2-BE2D-CD3A3DB9B27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R68" authorId="0" shapeId="0" xr:uid="{2447F587-040D-4EDD-B324-FE10066C8E5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사수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부사수별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평균</t>
        </r>
        <r>
          <rPr>
            <sz val="9"/>
            <color indexed="81"/>
            <rFont val="Tahoma"/>
            <family val="2"/>
          </rPr>
          <t xml:space="preserve"> 250,000 </t>
        </r>
        <r>
          <rPr>
            <sz val="9"/>
            <color indexed="81"/>
            <rFont val="돋움"/>
            <family val="3"/>
            <charset val="129"/>
          </rPr>
          <t>원으로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</text>
    </comment>
    <comment ref="G69" authorId="0" shapeId="0" xr:uid="{398E6CAA-041A-4D66-9007-2134C97BA10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21.07.01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</text>
    </comment>
    <comment ref="AN69" authorId="0" shapeId="0" xr:uid="{4FD417FE-C7E9-4CD4-B114-FCC509F7C9E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등본주소
충청남도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아산시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음봉면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음봉로</t>
        </r>
        <r>
          <rPr>
            <sz val="9"/>
            <color indexed="81"/>
            <rFont val="Tahoma"/>
            <family val="2"/>
          </rPr>
          <t xml:space="preserve"> 515-37, 311</t>
        </r>
        <r>
          <rPr>
            <sz val="9"/>
            <color indexed="81"/>
            <rFont val="돋움"/>
            <family val="3"/>
            <charset val="129"/>
          </rPr>
          <t>동</t>
        </r>
        <r>
          <rPr>
            <sz val="9"/>
            <color indexed="81"/>
            <rFont val="Tahoma"/>
            <family val="2"/>
          </rPr>
          <t xml:space="preserve"> 803</t>
        </r>
        <r>
          <rPr>
            <sz val="9"/>
            <color indexed="81"/>
            <rFont val="돋움"/>
            <family val="3"/>
            <charset val="129"/>
          </rPr>
          <t>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아산더샵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레이크시티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차아파트</t>
        </r>
        <r>
          <rPr>
            <sz val="9"/>
            <color indexed="81"/>
            <rFont val="Tahoma"/>
            <family val="2"/>
          </rPr>
          <t>)</t>
        </r>
      </text>
    </comment>
    <comment ref="AW69" authorId="0" shapeId="0" xr:uid="{D88925F7-6860-48FF-8B9B-E0E362A2D1F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70" authorId="0" shapeId="0" xr:uid="{1C536E78-D732-42E4-82FB-9AB4425CE9E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2020.07.01</t>
        </r>
        <r>
          <rPr>
            <sz val="9"/>
            <color indexed="81"/>
            <rFont val="돋움"/>
            <family val="3"/>
            <charset val="129"/>
          </rPr>
          <t>부로
과장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AW70" authorId="0" shapeId="0" xr:uid="{46BD5B23-153F-48FA-8FE2-D4A8E60F57F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71" authorId="0" shapeId="0" xr:uid="{13FF82AC-9254-4B60-9509-D6E3B4DF735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21.07.01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>2025.07.01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71" authorId="0" shapeId="0" xr:uid="{0E487A0D-F3B8-47EE-8AA8-0659561B0EA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초급하</t>
        </r>
      </text>
    </comment>
    <comment ref="K71" authorId="0" shapeId="0" xr:uid="{EC60EB29-87CC-4334-A1B6-78675C308E4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PM </t>
        </r>
        <r>
          <rPr>
            <sz val="9"/>
            <color indexed="81"/>
            <rFont val="돋움"/>
            <family val="3"/>
            <charset val="129"/>
          </rPr>
          <t>전담등록원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인프라운영지원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직무명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2025 ~ </t>
        </r>
      </text>
    </comment>
    <comment ref="L71" authorId="0" shapeId="0" xr:uid="{1C44E714-C45F-4ED3-976F-677692B6F375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정호영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입사
</t>
        </r>
        <r>
          <rPr>
            <sz val="9"/>
            <color indexed="81"/>
            <rFont val="Tahoma"/>
            <family val="2"/>
          </rPr>
          <t xml:space="preserve">
2. 23.11.1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PM</t>
        </r>
        <r>
          <rPr>
            <sz val="9"/>
            <color indexed="81"/>
            <rFont val="돋움"/>
            <family val="3"/>
            <charset val="129"/>
          </rPr>
          <t>전담등록원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N71" authorId="0" shapeId="0" xr:uid="{394F3D24-D937-497A-8712-AD7ECE3DC0C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>)010-5491-0223
(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>)010-3466-0497</t>
        </r>
      </text>
    </comment>
    <comment ref="AW71" authorId="0" shapeId="0" xr:uid="{F5332AFE-6DC9-49CA-A3D5-C26FE025E70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D71" authorId="0" shapeId="0" xr:uid="{CA917998-D99F-4A60-884A-3135CCFE27A3}">
      <text>
        <r>
          <rPr>
            <b/>
            <sz val="9"/>
            <color indexed="81"/>
            <rFont val="돋움"/>
            <family val="3"/>
            <charset val="129"/>
          </rPr>
          <t>김주석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1. 2025.01.01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E71" authorId="0" shapeId="0" xr:uid="{F6C778A9-529D-4822-B0AC-FE906C868909}">
      <text>
        <r>
          <rPr>
            <b/>
            <sz val="9"/>
            <color indexed="81"/>
            <rFont val="돋움"/>
            <family val="3"/>
            <charset val="129"/>
          </rPr>
          <t>김주석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1. 2025.01.01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72" authorId="0" shapeId="0" xr:uid="{EC31DE86-F7EA-4955-9E13-F178DCC8815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2020.07.01</t>
        </r>
        <r>
          <rPr>
            <sz val="9"/>
            <color indexed="81"/>
            <rFont val="돋움"/>
            <family val="3"/>
            <charset val="129"/>
          </rPr>
          <t>부로
과장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AL72" authorId="0" shapeId="0" xr:uid="{C31318ED-9E72-432B-8E24-DFE5990E681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17.12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26</t>
        </r>
        <r>
          <rPr>
            <sz val="9"/>
            <color indexed="81"/>
            <rFont val="돋움"/>
            <family val="3"/>
            <charset val="129"/>
          </rPr>
          <t>일부로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판교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정자
근무지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이동
</t>
        </r>
      </text>
    </comment>
    <comment ref="AW72" authorId="0" shapeId="0" xr:uid="{C1830599-9DED-4B52-8AD6-A2D9499C3BD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73" authorId="0" shapeId="0" xr:uid="{DE5817D5-E01C-4AAC-8457-191C760C02F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23.07 </t>
        </r>
        <r>
          <rPr>
            <sz val="9"/>
            <color indexed="81"/>
            <rFont val="돋움"/>
            <family val="3"/>
            <charset val="129"/>
          </rPr>
          <t>승진
사원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대리</t>
        </r>
      </text>
    </comment>
    <comment ref="H73" authorId="0" shapeId="0" xr:uid="{C4303A03-6221-4D90-B828-B20F73CC2AA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 </t>
        </r>
        <r>
          <rPr>
            <sz val="9"/>
            <color indexed="81"/>
            <rFont val="돋움"/>
            <family val="3"/>
            <charset val="129"/>
          </rPr>
          <t>계약시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초급하</t>
        </r>
      </text>
    </comment>
    <comment ref="K73" authorId="0" shapeId="0" xr:uid="{5F733EB6-151B-4032-804A-042C66ABBE4C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23.11.1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
이은서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후임</t>
        </r>
      </text>
    </comment>
    <comment ref="N73" authorId="0" shapeId="0" xr:uid="{559780B4-BC2C-40EE-B89A-A80A2913C9EC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집</t>
        </r>
        <r>
          <rPr>
            <sz val="9"/>
            <color indexed="81"/>
            <rFont val="Tahoma"/>
            <family val="2"/>
          </rPr>
          <t>) 031-762-9984</t>
        </r>
      </text>
    </comment>
    <comment ref="AW73" authorId="0" shapeId="0" xr:uid="{725E118F-E17A-44C5-82BB-5E55BECE906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74" authorId="0" shapeId="0" xr:uid="{97E42119-AE74-4063-B4E9-5A710540EE3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74" authorId="0" shapeId="0" xr:uid="{B88E5D7C-584E-4767-9344-8360C3C56430}">
      <text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>장용현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퇴사시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중급기술자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초급기술자로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조정</t>
        </r>
        <r>
          <rPr>
            <b/>
            <sz val="9"/>
            <color indexed="81"/>
            <rFont val="Tahoma"/>
            <family val="2"/>
          </rPr>
          <t xml:space="preserve">( </t>
        </r>
        <r>
          <rPr>
            <b/>
            <sz val="9"/>
            <color indexed="81"/>
            <rFont val="돋움"/>
            <family val="3"/>
            <charset val="129"/>
          </rPr>
          <t>장용현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기술등급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승계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받음</t>
        </r>
        <r>
          <rPr>
            <b/>
            <sz val="9"/>
            <color indexed="81"/>
            <rFont val="Tahoma"/>
            <family val="2"/>
          </rPr>
          <t xml:space="preserve"> )</t>
        </r>
      </text>
    </comment>
    <comment ref="V74" authorId="0" shapeId="0" xr:uid="{20CEBCAF-B92F-46F6-85F9-2878ABB726A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대졸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</text>
    </comment>
    <comment ref="AW74" authorId="0" shapeId="0" xr:uid="{19EAD9FE-7BF6-424F-B4AF-4BB4515DAE7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75" authorId="0" shapeId="0" xr:uid="{24833EA2-D61B-4562-9765-B1C0F5CBA33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AW75" authorId="0" shapeId="0" xr:uid="{D2DF7E39-0BBB-4171-8634-C1714B5CB80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76" authorId="0" shapeId="0" xr:uid="{43777D83-FD03-4AFF-B28C-A9FC4499E9B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N76" authorId="0" shapeId="0" xr:uid="{F14F2F8F-A4DC-450C-A9D1-60E16533649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>)010-6710-5417</t>
        </r>
      </text>
    </comment>
    <comment ref="AW76" authorId="0" shapeId="0" xr:uid="{B3AA7322-40E7-4EFD-9DEA-422E576DAFE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77" authorId="0" shapeId="0" xr:uid="{4225D295-1461-4036-BA40-A2F7315517E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20.07.01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>24.07.01</t>
        </r>
        <r>
          <rPr>
            <sz val="9"/>
            <color indexed="81"/>
            <rFont val="돋움"/>
            <family val="3"/>
            <charset val="129"/>
          </rPr>
          <t>루로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N77" authorId="0" shapeId="0" xr:uid="{CB41F143-5D08-4265-9AF0-7F59E5EADC9B}">
      <text>
        <r>
          <rPr>
            <b/>
            <sz val="9"/>
            <color indexed="81"/>
            <rFont val="돋움"/>
            <family val="3"/>
            <charset val="129"/>
          </rPr>
          <t>이주헌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 xml:space="preserve">) 010-3088-3426
</t>
        </r>
      </text>
    </comment>
    <comment ref="AW77" authorId="0" shapeId="0" xr:uid="{1CC87BAC-FAE2-4927-B02C-E8BBCA2D567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78" authorId="0" shapeId="0" xr:uid="{57468EED-C549-45CB-9AA8-0FB221235D8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21.07.01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>2025.07.01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</text>
    </comment>
    <comment ref="K78" authorId="0" shapeId="0" xr:uid="{6D1AA84E-0344-49C3-9A6F-EFCFDDB2A18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23.07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안전관리에서
현장대응으로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L78" authorId="0" shapeId="0" xr:uid="{41E19F7C-E3C2-4F31-A9CA-24AB415BDFA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현장대응원</t>
        </r>
        <r>
          <rPr>
            <sz val="9"/>
            <color indexed="81"/>
            <rFont val="Tahoma"/>
            <family val="2"/>
          </rPr>
          <t xml:space="preserve"> (23.07.01) </t>
        </r>
        <r>
          <rPr>
            <sz val="9"/>
            <color indexed="81"/>
            <rFont val="돋움"/>
            <family val="3"/>
            <charset val="129"/>
          </rPr>
          <t>이동</t>
        </r>
      </text>
    </comment>
    <comment ref="N78" authorId="0" shapeId="0" xr:uid="{384962F5-FA47-496E-A52D-FFC7C9A0E55F}">
      <text>
        <r>
          <rPr>
            <b/>
            <sz val="9"/>
            <color indexed="81"/>
            <rFont val="돋움"/>
            <family val="3"/>
            <charset val="129"/>
          </rPr>
          <t>이주헌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>) 010-9416-4064</t>
        </r>
      </text>
    </comment>
    <comment ref="AW78" authorId="0" shapeId="0" xr:uid="{1499E225-B9E7-4E43-9C40-10906188628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79" authorId="0" shapeId="0" xr:uid="{C10A416E-3FE0-446E-9818-6694ADE8FAF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79" authorId="0" shapeId="0" xr:uid="{37B8084E-05F1-455B-AEF1-270574D0E05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20.07.01</t>
        </r>
        <r>
          <rPr>
            <sz val="9"/>
            <color indexed="81"/>
            <rFont val="돋움"/>
            <family val="3"/>
            <charset val="129"/>
          </rPr>
          <t>부로
중급상→고급하</t>
        </r>
      </text>
    </comment>
    <comment ref="AW79" authorId="0" shapeId="0" xr:uid="{726BDB11-E152-4EE2-9F8B-CBF80D2AAE43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80" authorId="0" shapeId="0" xr:uid="{C5803F71-16E3-4620-8A5A-5465D176F74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20.07.01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>24.07.01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N80" authorId="0" shapeId="0" xr:uid="{F4F38BB4-FC88-4E79-ACDA-2E452FD1C5A1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>)010-4906-1622</t>
        </r>
      </text>
    </comment>
    <comment ref="AW80" authorId="0" shapeId="0" xr:uid="{D66E0015-69BB-4B19-A38A-F72C259E1DD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R80" authorId="0" shapeId="0" xr:uid="{D2FD959B-7EFD-4AE7-B944-AFF1C832E9A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사수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부사수별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평균</t>
        </r>
        <r>
          <rPr>
            <sz val="9"/>
            <color indexed="81"/>
            <rFont val="Tahoma"/>
            <family val="2"/>
          </rPr>
          <t xml:space="preserve"> 250,000 </t>
        </r>
        <r>
          <rPr>
            <sz val="9"/>
            <color indexed="81"/>
            <rFont val="돋움"/>
            <family val="3"/>
            <charset val="129"/>
          </rPr>
          <t>원으로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</text>
    </comment>
    <comment ref="G81" authorId="0" shapeId="0" xr:uid="{8D605411-4E51-4452-A713-CACBD6E83AB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81" authorId="0" shapeId="0" xr:uid="{F4D3B4C4-37E7-46D9-A7A1-A167698BB1D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부로
중급하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중급상</t>
        </r>
      </text>
    </comment>
    <comment ref="R81" authorId="0" shapeId="0" xr:uid="{8B61F807-0CEA-4D6F-BA6C-824CBB30866C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19-10-01</t>
        </r>
        <r>
          <rPr>
            <sz val="9"/>
            <color indexed="81"/>
            <rFont val="돋움"/>
            <family val="3"/>
            <charset val="129"/>
          </rPr>
          <t>부
서버엔지니어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백업엔지니어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전환배치됨</t>
        </r>
        <r>
          <rPr>
            <sz val="9"/>
            <color indexed="81"/>
            <rFont val="Tahoma"/>
            <family val="2"/>
          </rPr>
          <t>.</t>
        </r>
      </text>
    </comment>
    <comment ref="AW81" authorId="0" shapeId="0" xr:uid="{C5C82ED8-F620-4D8D-8CD1-68FED0D7ABA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82" authorId="0" shapeId="0" xr:uid="{6D8C7B05-8783-411A-ACA0-BFA4707AA0B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20.07.01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>24.07.01</t>
        </r>
        <r>
          <rPr>
            <sz val="9"/>
            <color indexed="81"/>
            <rFont val="돋움"/>
            <family val="3"/>
            <charset val="129"/>
          </rPr>
          <t>루보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차장승진</t>
        </r>
      </text>
    </comment>
    <comment ref="AW82" authorId="0" shapeId="0" xr:uid="{AB3DE68A-CF11-4E48-BA21-1A96AAB509D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83" authorId="0" shapeId="0" xr:uid="{BCD9B67E-7E03-4A4A-8862-7AB78E21DD7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21.07.01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R83" authorId="0" shapeId="0" xr:uid="{14AF1FA4-7B82-4120-9B56-D0F63FB4AFE2}">
      <text>
        <r>
          <rPr>
            <sz val="10"/>
            <color indexed="81"/>
            <rFont val="Tahoma"/>
            <family val="2"/>
          </rPr>
          <t xml:space="preserve">~17.09.07 </t>
        </r>
        <r>
          <rPr>
            <sz val="10"/>
            <color indexed="81"/>
            <rFont val="돋움"/>
            <family val="3"/>
            <charset val="129"/>
          </rPr>
          <t xml:space="preserve">정규직
</t>
        </r>
        <r>
          <rPr>
            <sz val="10"/>
            <color indexed="81"/>
            <rFont val="Tahoma"/>
            <family val="2"/>
          </rPr>
          <t xml:space="preserve">17.09.08~17.10.31 </t>
        </r>
        <r>
          <rPr>
            <sz val="10"/>
            <color indexed="81"/>
            <rFont val="돋움"/>
            <family val="3"/>
            <charset val="129"/>
          </rPr>
          <t xml:space="preserve">프리
</t>
        </r>
        <r>
          <rPr>
            <sz val="10"/>
            <color indexed="81"/>
            <rFont val="Tahoma"/>
            <family val="2"/>
          </rPr>
          <t>17.11.1~</t>
        </r>
        <r>
          <rPr>
            <sz val="10"/>
            <color indexed="81"/>
            <rFont val="돋움"/>
            <family val="3"/>
            <charset val="129"/>
          </rPr>
          <t xml:space="preserve">정규직
</t>
        </r>
        <r>
          <rPr>
            <sz val="10"/>
            <color indexed="81"/>
            <rFont val="Tahoma"/>
            <family val="2"/>
          </rPr>
          <t>18.1.1</t>
        </r>
        <r>
          <rPr>
            <sz val="10"/>
            <color indexed="81"/>
            <rFont val="돋움"/>
            <family val="3"/>
            <charset val="129"/>
          </rPr>
          <t>부로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정태옥사이트</t>
        </r>
        <r>
          <rPr>
            <sz val="10"/>
            <color indexed="81"/>
            <rFont val="Tahoma"/>
            <family val="2"/>
          </rPr>
          <t>-&gt;SKB</t>
        </r>
        <r>
          <rPr>
            <sz val="10"/>
            <color indexed="81"/>
            <rFont val="돋움"/>
            <family val="3"/>
            <charset val="129"/>
          </rPr>
          <t>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전환배치
</t>
        </r>
        <r>
          <rPr>
            <sz val="10"/>
            <color indexed="81"/>
            <rFont val="Tahoma"/>
            <family val="2"/>
          </rPr>
          <t>*</t>
        </r>
        <r>
          <rPr>
            <sz val="10"/>
            <color indexed="81"/>
            <rFont val="돋움"/>
            <family val="3"/>
            <charset val="129"/>
          </rPr>
          <t>가정사로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인해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잠시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프리전환함</t>
        </r>
        <r>
          <rPr>
            <sz val="10"/>
            <color indexed="81"/>
            <rFont val="Tahoma"/>
            <family val="2"/>
          </rPr>
          <t>.</t>
        </r>
        <r>
          <rPr>
            <sz val="10"/>
            <color indexed="81"/>
            <rFont val="돋움"/>
            <family val="3"/>
            <charset val="129"/>
          </rPr>
          <t xml:space="preserve">
</t>
        </r>
        <r>
          <rPr>
            <sz val="10"/>
            <color indexed="81"/>
            <rFont val="Tahoma"/>
            <family val="2"/>
          </rPr>
          <t>(17.11.1</t>
        </r>
        <r>
          <rPr>
            <sz val="10"/>
            <color indexed="81"/>
            <rFont val="돋움"/>
            <family val="3"/>
            <charset val="129"/>
          </rPr>
          <t>기준으로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모든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규정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신규입사자취급하기</t>
        </r>
        <r>
          <rPr>
            <sz val="10"/>
            <color indexed="81"/>
            <rFont val="Tahoma"/>
            <family val="2"/>
          </rPr>
          <t>)</t>
        </r>
      </text>
    </comment>
    <comment ref="AD83" authorId="0" shapeId="0" xr:uid="{A211511B-6C97-46B8-A702-05E67564E86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1. 18.1.1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판교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동작</t>
        </r>
      </text>
    </comment>
    <comment ref="AW83" authorId="0" shapeId="0" xr:uid="{E8FDF485-DEC2-4094-9F4B-873EC8409A0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AW84" authorId="0" shapeId="0" xr:uid="{3187BFA1-18E5-43A3-9675-FE16F5069A5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F85" authorId="0" shapeId="0" xr:uid="{918B03AA-584B-4B57-8DEE-5372C9C562E3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19.1.1 </t>
        </r>
        <r>
          <rPr>
            <sz val="9"/>
            <color indexed="81"/>
            <rFont val="돋움"/>
            <family val="3"/>
            <charset val="129"/>
          </rPr>
          <t>정규직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
구매정보시스템에
정규직으로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등록함</t>
        </r>
      </text>
    </comment>
    <comment ref="G85" authorId="0" shapeId="0" xr:uid="{37188E23-C3EF-4C6C-B155-213879121BC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>2025.07.01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N85" authorId="0" shapeId="0" xr:uid="{804019B8-20D5-47DD-8448-044C60373F1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집</t>
        </r>
        <r>
          <rPr>
            <sz val="9"/>
            <color indexed="81"/>
            <rFont val="Tahoma"/>
            <family val="2"/>
          </rPr>
          <t xml:space="preserve">)031-735-1511
</t>
        </r>
        <r>
          <rPr>
            <sz val="9"/>
            <color indexed="81"/>
            <rFont val="돋움"/>
            <family val="3"/>
            <charset val="129"/>
          </rPr>
          <t>어머니</t>
        </r>
        <r>
          <rPr>
            <sz val="9"/>
            <color indexed="81"/>
            <rFont val="Tahoma"/>
            <family val="2"/>
          </rPr>
          <t>) 010-9779-1504</t>
        </r>
      </text>
    </comment>
    <comment ref="AW85" authorId="0" shapeId="0" xr:uid="{1E3EDB8F-6A8C-4B05-BC95-AA498ADC599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86" authorId="0" shapeId="0" xr:uid="{ABD0144E-B88F-42AB-ADCB-509723BA485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24.07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86" authorId="0" shapeId="0" xr:uid="{5C95AC45-6341-4519-9A86-D37E5BD753D6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김지홍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인수인계로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변동
고급기능사→초급하
</t>
        </r>
        <r>
          <rPr>
            <sz val="9"/>
            <color indexed="81"/>
            <rFont val="Tahoma"/>
            <family val="2"/>
          </rPr>
          <t>21.01.01</t>
        </r>
        <r>
          <rPr>
            <sz val="9"/>
            <color indexed="81"/>
            <rFont val="돋움"/>
            <family val="3"/>
            <charset val="129"/>
          </rPr>
          <t>부터</t>
        </r>
      </text>
    </comment>
    <comment ref="N86" authorId="0" shapeId="0" xr:uid="{DEE9C536-D2D0-4F68-BF4E-781EA2A3F538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>) 010-9875-5587</t>
        </r>
      </text>
    </comment>
    <comment ref="AW86" authorId="0" shapeId="0" xr:uid="{F607FB6A-DF1D-4FDB-9346-EEF41F8D8CE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87" authorId="0" shapeId="0" xr:uid="{FDB9B930-C19E-4A9B-9B8C-64BF9A82F7A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87" authorId="0" shapeId="0" xr:uid="{4A0A21EC-767B-48B6-9849-7C7E08383D7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21.07.01</t>
        </r>
        <r>
          <rPr>
            <sz val="9"/>
            <color indexed="81"/>
            <rFont val="돋움"/>
            <family val="3"/>
            <charset val="129"/>
          </rPr>
          <t>계약시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
초급하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초급상</t>
        </r>
      </text>
    </comment>
    <comment ref="N87" authorId="0" shapeId="0" xr:uid="{73C377E8-AE93-4B09-91CD-01767C2D8FC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>)010-3443-4096</t>
        </r>
      </text>
    </comment>
    <comment ref="AW87" authorId="0" shapeId="0" xr:uid="{8E3165EB-99C8-41CB-A5C7-21D2DCB6CDA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88" authorId="0" shapeId="0" xr:uid="{8A21CA68-FC43-4221-9FB0-D6244135BC2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23.07 </t>
        </r>
        <r>
          <rPr>
            <sz val="9"/>
            <color indexed="81"/>
            <rFont val="돋움"/>
            <family val="3"/>
            <charset val="129"/>
          </rPr>
          <t>승진
사원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대리</t>
        </r>
      </text>
    </comment>
    <comment ref="H88" authorId="0" shapeId="0" xr:uid="{33103498-7D3E-46E8-9940-CC2EC4A1285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 </t>
        </r>
        <r>
          <rPr>
            <sz val="9"/>
            <color indexed="81"/>
            <rFont val="돋움"/>
            <family val="3"/>
            <charset val="129"/>
          </rPr>
          <t>등급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초급상</t>
        </r>
      </text>
    </comment>
    <comment ref="K88" authorId="0" shapeId="0" xr:uid="{A4A9139A-0114-4524-BA6F-C33C1DEB031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23.11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전환배치</t>
        </r>
      </text>
    </comment>
    <comment ref="AW88" authorId="0" shapeId="0" xr:uid="{98C46AB5-9043-4663-9F03-C9DCF20CB49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89" authorId="0" shapeId="0" xr:uid="{FA366590-3946-4A5B-B393-6D6FC1A020F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23.07 </t>
        </r>
        <r>
          <rPr>
            <sz val="9"/>
            <color indexed="81"/>
            <rFont val="돋움"/>
            <family val="3"/>
            <charset val="129"/>
          </rPr>
          <t>승진
사원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대리</t>
        </r>
      </text>
    </comment>
    <comment ref="H89" authorId="0" shapeId="0" xr:uid="{5E45A90E-0B93-4B5C-A5DA-DCF11EB1D2C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 </t>
        </r>
        <r>
          <rPr>
            <sz val="9"/>
            <color indexed="81"/>
            <rFont val="돋움"/>
            <family val="3"/>
            <charset val="129"/>
          </rPr>
          <t>등급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초급상</t>
        </r>
      </text>
    </comment>
    <comment ref="K89" authorId="0" shapeId="0" xr:uid="{BD5EE707-DF7D-4D61-A447-64EE671A795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24.04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전환배치</t>
        </r>
      </text>
    </comment>
    <comment ref="N89" authorId="0" shapeId="0" xr:uid="{5E501C72-6FCB-4CCB-B405-30AF080938E7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집</t>
        </r>
        <r>
          <rPr>
            <sz val="9"/>
            <color indexed="81"/>
            <rFont val="Tahoma"/>
            <family val="2"/>
          </rPr>
          <t>)031-885-9402</t>
        </r>
      </text>
    </comment>
    <comment ref="AW89" authorId="0" shapeId="0" xr:uid="{4CB58DC0-48D5-46F3-82A3-507586220D7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90" authorId="0" shapeId="0" xr:uid="{DE22CEAF-2812-46C5-8E56-E66BBAF7DAC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21.07.01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>2025.07.01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N90" authorId="0" shapeId="0" xr:uid="{98E519CC-E9E1-44E7-A266-3FB77969017F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>)010-7455-6915</t>
        </r>
      </text>
    </comment>
    <comment ref="AW90" authorId="0" shapeId="0" xr:uid="{D93F727E-50D9-4142-8D7D-37E67E9BE25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AX90" authorId="0" shapeId="0" xr:uid="{59313F1F-3DDC-4C58-91AA-4963C913C945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91" authorId="0" shapeId="0" xr:uid="{563BB290-FFFC-4DEA-8226-0C5F43CCCEC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23.07 </t>
        </r>
        <r>
          <rPr>
            <sz val="9"/>
            <color indexed="81"/>
            <rFont val="돋움"/>
            <family val="3"/>
            <charset val="129"/>
          </rPr>
          <t>승진
사원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대리</t>
        </r>
      </text>
    </comment>
    <comment ref="N91" authorId="0" shapeId="0" xr:uid="{F577033B-F5E4-41E0-B0AD-1F0AFA886486}">
      <text>
        <r>
          <rPr>
            <b/>
            <sz val="9"/>
            <color indexed="81"/>
            <rFont val="돋움"/>
            <family val="3"/>
            <charset val="129"/>
          </rPr>
          <t>박이은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>)010-5115-5173</t>
        </r>
      </text>
    </comment>
    <comment ref="AW91" authorId="0" shapeId="0" xr:uid="{AE5873B1-BDF7-4029-BD53-E6F5F1F90CA5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92" authorId="0" shapeId="0" xr:uid="{70F511B7-808D-436B-BF7E-5AE76C74D34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2025.07.01</t>
        </r>
        <r>
          <rPr>
            <sz val="9"/>
            <color indexed="81"/>
            <rFont val="돋움"/>
            <family val="3"/>
            <charset val="129"/>
          </rPr>
          <t>부로
차장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N92" authorId="0" shapeId="0" xr:uid="{06724266-C79D-4E46-BC82-7576147AE52B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아내</t>
        </r>
        <r>
          <rPr>
            <sz val="9"/>
            <color indexed="81"/>
            <rFont val="Tahoma"/>
            <family val="2"/>
          </rPr>
          <t>)010-2338-8544</t>
        </r>
      </text>
    </comment>
    <comment ref="AW92" authorId="0" shapeId="0" xr:uid="{36289C25-FF45-4B84-84C0-A7F966AE3F9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D93" authorId="0" shapeId="0" xr:uid="{1A27912A-E8BA-40AC-9E48-98F902C56BB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G93" authorId="0" shapeId="0" xr:uid="{E48D8A18-C714-4E53-A9D5-B96B4BB8B43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N93" authorId="0" shapeId="0" xr:uid="{F8C4166C-564E-4E0F-A057-B3DEC28321FA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동생</t>
        </r>
        <r>
          <rPr>
            <sz val="9"/>
            <color indexed="81"/>
            <rFont val="Tahoma"/>
            <family val="2"/>
          </rPr>
          <t>)010-6369-0850</t>
        </r>
      </text>
    </comment>
    <comment ref="AW93" authorId="0" shapeId="0" xr:uid="{1911227A-4302-43CD-856A-DE430B760A4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N94" authorId="0" shapeId="0" xr:uid="{BEB8D5E9-6122-4A85-8DE3-8B1F993C3908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처</t>
        </r>
        <r>
          <rPr>
            <sz val="9"/>
            <color indexed="81"/>
            <rFont val="Tahoma"/>
            <family val="2"/>
          </rPr>
          <t xml:space="preserve">)010-9000-5259
</t>
        </r>
      </text>
    </comment>
    <comment ref="AX94" authorId="0" shapeId="0" xr:uid="{4F4DC75B-CC57-4E44-A874-81EB455EF14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N95" authorId="0" shapeId="0" xr:uid="{415F0D1A-4065-4FBE-B9D8-C8E62EFAC0C1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집</t>
        </r>
        <r>
          <rPr>
            <sz val="9"/>
            <color indexed="81"/>
            <rFont val="Tahoma"/>
            <family val="2"/>
          </rPr>
          <t xml:space="preserve">)02-814-0773
</t>
        </r>
      </text>
    </comment>
    <comment ref="AX95" authorId="0" shapeId="0" xr:uid="{EB4BB07C-03F1-43BF-8444-630F5EACF2A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96" authorId="0" shapeId="0" xr:uid="{14A1B9DC-5C8D-4A6B-B510-21B39D56349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2025.07.01</t>
        </r>
        <r>
          <rPr>
            <sz val="9"/>
            <color indexed="81"/>
            <rFont val="돋움"/>
            <family val="3"/>
            <charset val="129"/>
          </rPr>
          <t>부로
과장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96" authorId="0" shapeId="0" xr:uid="{A35DCC9C-A780-454C-BA68-DD21B9101DB3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초급하</t>
        </r>
      </text>
    </comment>
    <comment ref="R96" authorId="0" shapeId="0" xr:uid="{E0351E79-4807-40A5-B0F4-1A539141512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재입사</t>
        </r>
      </text>
    </comment>
    <comment ref="AW96" authorId="0" shapeId="0" xr:uid="{0A3BA31C-5148-4490-9387-11993224181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97" authorId="0" shapeId="0" xr:uid="{F7837DBD-9F03-4467-84F8-66729FFE5E0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23.07 </t>
        </r>
        <r>
          <rPr>
            <sz val="9"/>
            <color indexed="81"/>
            <rFont val="돋움"/>
            <family val="3"/>
            <charset val="129"/>
          </rPr>
          <t>승진
대리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과장</t>
        </r>
      </text>
    </comment>
    <comment ref="N97" authorId="0" shapeId="0" xr:uid="{E735F58A-9D0B-4CD8-8D9F-477A506AE929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동생</t>
        </r>
        <r>
          <rPr>
            <sz val="9"/>
            <color indexed="81"/>
            <rFont val="Tahoma"/>
            <family val="2"/>
          </rPr>
          <t xml:space="preserve">)010-8228-4059
</t>
        </r>
      </text>
    </comment>
    <comment ref="AX97" authorId="0" shapeId="0" xr:uid="{7800D959-EB78-4DF7-A484-B568BB6289D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98" authorId="0" shapeId="0" xr:uid="{B773F24A-2F0A-49AA-A402-3CBECC784ED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23.07 </t>
        </r>
        <r>
          <rPr>
            <sz val="9"/>
            <color indexed="81"/>
            <rFont val="돋움"/>
            <family val="3"/>
            <charset val="129"/>
          </rPr>
          <t>승진
대리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과장</t>
        </r>
      </text>
    </comment>
    <comment ref="N98" authorId="0" shapeId="0" xr:uid="{795439EA-EDA6-4E1F-9913-1448DF50DDA9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>)010-2036-1482</t>
        </r>
      </text>
    </comment>
    <comment ref="AX98" authorId="0" shapeId="0" xr:uid="{05F9B98B-1BA5-4466-B687-55B25169940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인하</t>
        </r>
      </text>
    </comment>
    <comment ref="N99" authorId="0" shapeId="0" xr:uid="{0CCC4689-40C8-4D74-B34D-FD49BB1A20DC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>)010-5572-1214</t>
        </r>
      </text>
    </comment>
    <comment ref="AX99" authorId="0" shapeId="0" xr:uid="{FF366DAC-1B92-498A-B2C3-EFA5DF42AEB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인하</t>
        </r>
      </text>
    </comment>
    <comment ref="G100" authorId="0" shapeId="0" xr:uid="{FC2FA487-6712-4D45-9CD9-D9A6E147DDF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N100" authorId="0" shapeId="0" xr:uid="{C79E4213-A2F0-457E-B456-498E070B13C8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집</t>
        </r>
        <r>
          <rPr>
            <sz val="9"/>
            <color indexed="81"/>
            <rFont val="Tahoma"/>
            <family val="2"/>
          </rPr>
          <t>)031-311-6931</t>
        </r>
      </text>
    </comment>
    <comment ref="AX100" authorId="0" shapeId="0" xr:uid="{BE4FB511-48EC-40C2-928C-9D4CCC01FC3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101" authorId="0" shapeId="0" xr:uid="{2954F68D-FF80-4A31-AC14-70E2F017DDE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2025.07.01</t>
        </r>
        <r>
          <rPr>
            <sz val="9"/>
            <color indexed="81"/>
            <rFont val="돋움"/>
            <family val="3"/>
            <charset val="129"/>
          </rPr>
          <t>부로
대리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101" authorId="0" shapeId="0" xr:uid="{4BA3D593-8226-46C2-8753-679031AD132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부토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초급하</t>
        </r>
      </text>
    </comment>
    <comment ref="L101" authorId="0" shapeId="0" xr:uid="{31198A7F-AE2F-4C8A-80E4-316063889AE1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권오철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후임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부로
판교</t>
        </r>
        <r>
          <rPr>
            <sz val="9"/>
            <color indexed="81"/>
            <rFont val="Tahoma"/>
            <family val="2"/>
          </rPr>
          <t>DC</t>
        </r>
        <r>
          <rPr>
            <sz val="9"/>
            <color indexed="81"/>
            <rFont val="돋움"/>
            <family val="3"/>
            <charset val="129"/>
          </rPr>
          <t>운영</t>
        </r>
        <r>
          <rPr>
            <sz val="9"/>
            <color indexed="81"/>
            <rFont val="Tahoma"/>
            <family val="2"/>
          </rPr>
          <t>-&gt; NS</t>
        </r>
        <r>
          <rPr>
            <sz val="9"/>
            <color indexed="81"/>
            <rFont val="돋움"/>
            <family val="3"/>
            <charset val="129"/>
          </rPr>
          <t>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보안장비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전환배치
</t>
        </r>
        <r>
          <rPr>
            <sz val="9"/>
            <color indexed="81"/>
            <rFont val="Tahoma"/>
            <family val="2"/>
          </rPr>
          <t xml:space="preserve">SKC </t>
        </r>
        <r>
          <rPr>
            <sz val="9"/>
            <color indexed="81"/>
            <rFont val="돋움"/>
            <family val="3"/>
            <charset val="129"/>
          </rPr>
          <t>신규</t>
        </r>
      </text>
    </comment>
    <comment ref="N101" authorId="0" shapeId="0" xr:uid="{5572C60B-5CD6-409C-8B6C-B4A9957EE82E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>)010-4530-9311</t>
        </r>
      </text>
    </comment>
    <comment ref="AW101" authorId="0" shapeId="0" xr:uid="{6E998FDE-D38D-4978-B0B9-6E622BF09A9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102" authorId="0" shapeId="0" xr:uid="{B59110A9-9FFF-4D22-829B-6EAD6FAB4CA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102" authorId="0" shapeId="0" xr:uid="{42712302-CC97-40E3-BD53-ECEFAEA0BF64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초급하</t>
        </r>
      </text>
    </comment>
    <comment ref="N102" authorId="0" shapeId="0" xr:uid="{338A26A1-151D-4A1A-8EE1-F1D2463DEDF4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>)010-3913-0152</t>
        </r>
      </text>
    </comment>
    <comment ref="AW102" authorId="0" shapeId="0" xr:uid="{97029190-A150-484C-B451-82707ABDA1B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103" authorId="0" shapeId="0" xr:uid="{0FF9488A-4F6D-4B0A-B49E-D5166A8C759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23.07 </t>
        </r>
        <r>
          <rPr>
            <sz val="9"/>
            <color indexed="81"/>
            <rFont val="돋움"/>
            <family val="3"/>
            <charset val="129"/>
          </rPr>
          <t>승진
사원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대리</t>
        </r>
      </text>
    </comment>
    <comment ref="L103" authorId="0" shapeId="0" xr:uid="{1742B3F7-E231-43BF-92BB-14A56D30101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23.09.08 </t>
        </r>
        <r>
          <rPr>
            <sz val="9"/>
            <color indexed="81"/>
            <rFont val="돋움"/>
            <family val="3"/>
            <charset val="129"/>
          </rPr>
          <t>전환배치</t>
        </r>
      </text>
    </comment>
    <comment ref="N103" authorId="0" shapeId="0" xr:uid="{FE59F5E5-0A32-48AF-97B1-AE057DE26BD1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>) 010-5213-9309</t>
        </r>
      </text>
    </comment>
    <comment ref="AW103" authorId="0" shapeId="0" xr:uid="{0B2638C9-266C-4478-9652-0D1CAA69299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104" authorId="0" shapeId="0" xr:uid="{1499BC2B-9FCB-4089-8D39-367570C1639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23.07 </t>
        </r>
        <r>
          <rPr>
            <sz val="9"/>
            <color indexed="81"/>
            <rFont val="돋움"/>
            <family val="3"/>
            <charset val="129"/>
          </rPr>
          <t>승진
사원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대리</t>
        </r>
      </text>
    </comment>
    <comment ref="N104" authorId="0" shapeId="0" xr:uid="{8BB71394-E1E0-45CD-A2A2-F95EC267F582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>)010-9301-6519</t>
        </r>
      </text>
    </comment>
    <comment ref="AI104" authorId="0" shapeId="0" xr:uid="{C13EE025-E7EB-4CFC-9D77-B98FF5A3748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2020.03.07</t>
        </r>
        <r>
          <rPr>
            <sz val="9"/>
            <color indexed="81"/>
            <rFont val="돋움"/>
            <family val="3"/>
            <charset val="129"/>
          </rPr>
          <t>부로
구로에서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장안으로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이전</t>
        </r>
      </text>
    </comment>
    <comment ref="AW104" authorId="0" shapeId="0" xr:uid="{46ED0B4A-6D5F-41B0-8096-AE06A5A216B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105" authorId="0" shapeId="0" xr:uid="{1D58FBA2-CDC5-41F9-B025-53C03798D57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23.07 </t>
        </r>
        <r>
          <rPr>
            <sz val="9"/>
            <color indexed="81"/>
            <rFont val="돋움"/>
            <family val="3"/>
            <charset val="129"/>
          </rPr>
          <t>승진
사원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대리</t>
        </r>
      </text>
    </comment>
    <comment ref="H105" authorId="0" shapeId="0" xr:uid="{30E1D1DC-0B14-4470-AC39-9FC5D7391A4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 </t>
        </r>
        <r>
          <rPr>
            <sz val="9"/>
            <color indexed="81"/>
            <rFont val="돋움"/>
            <family val="3"/>
            <charset val="129"/>
          </rPr>
          <t>계약시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초급하</t>
        </r>
      </text>
    </comment>
    <comment ref="L105" authorId="0" shapeId="0" xr:uid="{8EF1D35C-4EA2-4064-A9DC-8573D89F0739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수내</t>
        </r>
        <r>
          <rPr>
            <sz val="9"/>
            <color indexed="81"/>
            <rFont val="Tahoma"/>
            <family val="2"/>
          </rPr>
          <t xml:space="preserve">Pjt </t>
        </r>
        <r>
          <rPr>
            <sz val="9"/>
            <color indexed="81"/>
            <rFont val="돋움"/>
            <family val="3"/>
            <charset val="129"/>
          </rPr>
          <t>종료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하이닉스로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전환배치
</t>
        </r>
        <r>
          <rPr>
            <sz val="9"/>
            <color indexed="81"/>
            <rFont val="Tahoma"/>
            <family val="2"/>
          </rPr>
          <t xml:space="preserve">(22.07.01)
-&gt; </t>
        </r>
        <r>
          <rPr>
            <sz val="9"/>
            <color indexed="81"/>
            <rFont val="돋움"/>
            <family val="3"/>
            <charset val="129"/>
          </rPr>
          <t>이천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하이닉스에서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판교</t>
        </r>
        <r>
          <rPr>
            <sz val="9"/>
            <color indexed="81"/>
            <rFont val="Tahoma"/>
            <family val="2"/>
          </rPr>
          <t xml:space="preserve">NOC </t>
        </r>
        <r>
          <rPr>
            <sz val="9"/>
            <color indexed="81"/>
            <rFont val="돋움"/>
            <family val="3"/>
            <charset val="129"/>
          </rPr>
          <t>장애처리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파트
전환배치</t>
        </r>
        <r>
          <rPr>
            <sz val="9"/>
            <color indexed="81"/>
            <rFont val="Tahoma"/>
            <family val="2"/>
          </rPr>
          <t xml:space="preserve">(22.09.02)
</t>
        </r>
        <r>
          <rPr>
            <sz val="9"/>
            <color indexed="81"/>
            <rFont val="돋움"/>
            <family val="3"/>
            <charset val="129"/>
          </rPr>
          <t>계약상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최영준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후임으로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진행
</t>
        </r>
        <r>
          <rPr>
            <sz val="9"/>
            <color indexed="81"/>
            <rFont val="Tahoma"/>
            <family val="2"/>
          </rPr>
          <t>23.08.01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장순영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후임으로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전환배치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교대</t>
        </r>
        <r>
          <rPr>
            <sz val="9"/>
            <color indexed="81"/>
            <rFont val="Tahoma"/>
            <family val="2"/>
          </rPr>
          <t xml:space="preserve">-&gt; </t>
        </r>
        <r>
          <rPr>
            <sz val="9"/>
            <color indexed="81"/>
            <rFont val="돋움"/>
            <family val="3"/>
            <charset val="129"/>
          </rPr>
          <t>주간</t>
        </r>
        <r>
          <rPr>
            <sz val="9"/>
            <color indexed="81"/>
            <rFont val="Tahoma"/>
            <family val="2"/>
          </rPr>
          <t>) (</t>
        </r>
        <r>
          <rPr>
            <sz val="9"/>
            <color indexed="81"/>
            <rFont val="돋움"/>
            <family val="3"/>
            <charset val="129"/>
          </rPr>
          <t>서류상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이동일은</t>
        </r>
        <r>
          <rPr>
            <sz val="9"/>
            <color indexed="81"/>
            <rFont val="Tahoma"/>
            <family val="2"/>
          </rPr>
          <t xml:space="preserve"> 23.07.13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
3/4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NOC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</t>
        </r>
      </text>
    </comment>
    <comment ref="N105" authorId="0" shapeId="0" xr:uid="{A78705F6-1E24-4773-84A0-FF514F7C2BC5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>)010-2286-9743</t>
        </r>
      </text>
    </comment>
    <comment ref="AW105" authorId="0" shapeId="0" xr:uid="{20A6F301-7021-46E5-B448-3077F74C743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D105" authorId="0" shapeId="0" xr:uid="{31F45403-9DAC-4698-B1BE-25B34D975324}">
      <text>
        <r>
          <rPr>
            <b/>
            <sz val="9"/>
            <color indexed="81"/>
            <rFont val="돋움"/>
            <family val="3"/>
            <charset val="129"/>
          </rPr>
          <t>김주석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1. 2025.01.01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E105" authorId="0" shapeId="0" xr:uid="{D1FCE604-3367-4AEB-A1EF-52787EF0CA2E}">
      <text>
        <r>
          <rPr>
            <b/>
            <sz val="9"/>
            <color indexed="81"/>
            <rFont val="돋움"/>
            <family val="3"/>
            <charset val="129"/>
          </rPr>
          <t>김주석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1. 2025.01.01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106" authorId="0" shapeId="0" xr:uid="{EBB7F4A8-F26E-4BD9-AFD3-AE12F242496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24.07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N106" authorId="0" shapeId="0" xr:uid="{FF141348-C89A-4946-A0E4-06E65DF7930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010-2387-0845</t>
        </r>
      </text>
    </comment>
    <comment ref="AW106" authorId="0" shapeId="0" xr:uid="{07376226-FCB0-4886-945B-19D4D711CCB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R106" authorId="0" shapeId="0" xr:uid="{AE50BBC8-5FDA-480F-87A4-7BB5864A2CE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사수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부사수별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평균</t>
        </r>
        <r>
          <rPr>
            <sz val="9"/>
            <color indexed="81"/>
            <rFont val="Tahoma"/>
            <family val="2"/>
          </rPr>
          <t xml:space="preserve"> 250,000 </t>
        </r>
        <r>
          <rPr>
            <sz val="9"/>
            <color indexed="81"/>
            <rFont val="돋움"/>
            <family val="3"/>
            <charset val="129"/>
          </rPr>
          <t>원으로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</text>
    </comment>
    <comment ref="G107" authorId="0" shapeId="0" xr:uid="{1589F88E-10D2-4E88-B544-C0CC6B8AABC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21.07.01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>2025.07.01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107" authorId="0" shapeId="0" xr:uid="{836FA438-D229-4F68-8187-FBFCCC145F7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초급하</t>
        </r>
      </text>
    </comment>
    <comment ref="N107" authorId="0" shapeId="0" xr:uid="{8F532F8F-3498-43BD-B30B-C4C25732AACC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형</t>
        </r>
        <r>
          <rPr>
            <sz val="9"/>
            <color indexed="81"/>
            <rFont val="Tahoma"/>
            <family val="2"/>
          </rPr>
          <t>)010-4593-4134</t>
        </r>
      </text>
    </comment>
    <comment ref="AW107" authorId="0" shapeId="0" xr:uid="{0532BEAA-57E6-4640-A6AA-9106A926A233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108" authorId="0" shapeId="0" xr:uid="{E78E3C95-579B-47FD-841B-0EB34346B14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24.07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108" authorId="0" shapeId="0" xr:uid="{59D3D90C-833D-4C68-8D5C-21C6F69D749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초급하</t>
        </r>
      </text>
    </comment>
    <comment ref="N108" authorId="0" shapeId="0" xr:uid="{9892F5D5-7920-45E1-B8CF-4B9A8D2A1052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형</t>
        </r>
        <r>
          <rPr>
            <sz val="9"/>
            <color indexed="81"/>
            <rFont val="Tahoma"/>
            <family val="2"/>
          </rPr>
          <t>)010-4775-6973</t>
        </r>
      </text>
    </comment>
    <comment ref="AW108" authorId="0" shapeId="0" xr:uid="{BCF656CC-3817-4C33-B9A1-42BE30746C3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109" authorId="0" shapeId="0" xr:uid="{54937591-2C4D-4D3C-83E7-D4E7A8D1B1E4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24.07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109" authorId="0" shapeId="0" xr:uid="{AF5C31DA-AA34-4D05-9F2E-66891E055E4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초급하</t>
        </r>
      </text>
    </comment>
    <comment ref="N109" authorId="0" shapeId="0" xr:uid="{B4E25FE3-B0FE-484B-B2AD-52609D37EAF3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>)010-8829-4773</t>
        </r>
      </text>
    </comment>
    <comment ref="R109" authorId="0" shapeId="0" xr:uid="{02B19D29-09A5-490A-883C-27C7C00B88E6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근무는</t>
        </r>
        <r>
          <rPr>
            <sz val="9"/>
            <color indexed="81"/>
            <rFont val="Tahoma"/>
            <family val="2"/>
          </rPr>
          <t xml:space="preserve"> 9/3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시작했지만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근로계약서는</t>
        </r>
        <r>
          <rPr>
            <sz val="9"/>
            <color indexed="81"/>
            <rFont val="Tahoma"/>
            <family val="2"/>
          </rPr>
          <t xml:space="preserve"> 9/1 </t>
        </r>
        <r>
          <rPr>
            <sz val="9"/>
            <color indexed="81"/>
            <rFont val="돋움"/>
            <family val="3"/>
            <charset val="129"/>
          </rPr>
          <t>입사로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작성함</t>
        </r>
        <r>
          <rPr>
            <sz val="9"/>
            <color indexed="81"/>
            <rFont val="Tahoma"/>
            <family val="2"/>
          </rPr>
          <t>.</t>
        </r>
      </text>
    </comment>
    <comment ref="AW109" authorId="0" shapeId="0" xr:uid="{22E22306-13B6-4317-8190-E12CBC16DAB5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110" authorId="0" shapeId="0" xr:uid="{3F66A72A-3021-421A-8346-33391E0385B5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24.07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110" authorId="0" shapeId="0" xr:uid="{9472B7A7-5756-4128-8B54-557EB427FF7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초급하</t>
        </r>
      </text>
    </comment>
    <comment ref="N110" authorId="0" shapeId="0" xr:uid="{092DCFBD-3551-40DD-A34D-DB0A0410E6A8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집</t>
        </r>
        <r>
          <rPr>
            <sz val="9"/>
            <color indexed="81"/>
            <rFont val="Tahoma"/>
            <family val="2"/>
          </rPr>
          <t>)043-257-3549</t>
        </r>
      </text>
    </comment>
    <comment ref="AW110" authorId="0" shapeId="0" xr:uid="{FC6AA496-9C3C-45D9-994B-88B119CD458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111" authorId="0" shapeId="0" xr:uid="{916D5B3D-5E29-4FC1-9775-C268FD5E0EB4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24.07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L111" authorId="0" shapeId="0" xr:uid="{78D0D92F-8B89-464D-A0F0-77C67035C8F5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24.01.01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현장대리인
임명</t>
        </r>
      </text>
    </comment>
    <comment ref="N111" authorId="0" shapeId="0" xr:uid="{E36991D3-3BF6-4ED7-A75A-0A530D1EE9B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010-3261-4133</t>
        </r>
      </text>
    </comment>
    <comment ref="AW111" authorId="0" shapeId="0" xr:uid="{3E99FD1A-1566-4EBB-BC08-1BDD60554F0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112" authorId="0" shapeId="0" xr:uid="{41A27A34-7EDB-4007-9851-27FD2251B085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N112" authorId="0" shapeId="0" xr:uid="{5E5F7D72-B2D4-4D78-9B31-AE29F05116F4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010-6258-3064</t>
        </r>
      </text>
    </comment>
    <comment ref="AW112" authorId="0" shapeId="0" xr:uid="{E3743C0D-1E7C-45A4-8BF4-D51A0613A17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113" authorId="0" shapeId="0" xr:uid="{896AAD9D-7917-47D3-BD8D-4BF57FA526F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24.07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N113" authorId="0" shapeId="0" xr:uid="{62C70315-4A9E-487D-A304-7EC5091DB158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>) 010-8357-3258</t>
        </r>
      </text>
    </comment>
    <comment ref="AW113" authorId="0" shapeId="0" xr:uid="{DB012F7E-D2C4-4A3E-B07E-6051F96C1A4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H114" authorId="0" shapeId="0" xr:uid="{A8C78099-4A19-4E6C-833B-E1FD569B3A0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 </t>
        </r>
        <r>
          <rPr>
            <sz val="9"/>
            <color indexed="81"/>
            <rFont val="돋움"/>
            <family val="3"/>
            <charset val="129"/>
          </rPr>
          <t>계약시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초급하</t>
        </r>
      </text>
    </comment>
    <comment ref="L114" authorId="0" shapeId="0" xr:uid="{BE6C2C95-1076-450C-9580-F7C7842003AC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박상현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후임
</t>
        </r>
        <r>
          <rPr>
            <sz val="9"/>
            <color indexed="81"/>
            <rFont val="Tahoma"/>
            <family val="2"/>
          </rPr>
          <t>22.10.1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엔지니어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전환배치</t>
        </r>
      </text>
    </comment>
    <comment ref="N114" authorId="0" shapeId="0" xr:uid="{FF4F9A28-06BB-44A8-BB8D-A1D9C470307A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>)010-5146-4406</t>
        </r>
      </text>
    </comment>
    <comment ref="AW114" authorId="0" shapeId="0" xr:uid="{03D53932-B3B7-4509-AEFB-C15A70242FB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N115" authorId="0" shapeId="0" xr:uid="{1786223E-AC47-4A6A-8EEA-813F2509E2BC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 xml:space="preserve">)010-2736-2801
</t>
        </r>
      </text>
    </comment>
    <comment ref="AI115" authorId="0" shapeId="0" xr:uid="{56F6DA7C-6E02-4B82-B3A3-80AA8B5E275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2020.03.07</t>
        </r>
        <r>
          <rPr>
            <sz val="9"/>
            <color indexed="81"/>
            <rFont val="돋움"/>
            <family val="3"/>
            <charset val="129"/>
          </rPr>
          <t>부로
구로에서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장안으로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이전</t>
        </r>
      </text>
    </comment>
    <comment ref="AW115" authorId="0" shapeId="0" xr:uid="{C87BB709-A528-41F7-A257-53A7284AC29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116" authorId="0" shapeId="0" xr:uid="{3C55C9AA-014A-4AE0-8BA4-FB11354ADDB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2025.07.01</t>
        </r>
        <r>
          <rPr>
            <sz val="9"/>
            <color indexed="81"/>
            <rFont val="돋움"/>
            <family val="3"/>
            <charset val="129"/>
          </rPr>
          <t>부로
대리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</text>
    </comment>
    <comment ref="N116" authorId="0" shapeId="0" xr:uid="{161143B8-BE20-4D04-BD77-B8643476AC38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>)010-2450-2795</t>
        </r>
      </text>
    </comment>
    <comment ref="AW116" authorId="0" shapeId="0" xr:uid="{51BAA8A3-997D-4784-94C0-18C66106E96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R116" authorId="0" shapeId="0" xr:uid="{2C8F5833-5654-45D9-AACF-0736F8EA397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사수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부사수별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평균</t>
        </r>
        <r>
          <rPr>
            <sz val="9"/>
            <color indexed="81"/>
            <rFont val="Tahoma"/>
            <family val="2"/>
          </rPr>
          <t xml:space="preserve"> 250,000 </t>
        </r>
        <r>
          <rPr>
            <sz val="9"/>
            <color indexed="81"/>
            <rFont val="돋움"/>
            <family val="3"/>
            <charset val="129"/>
          </rPr>
          <t>원으로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</text>
    </comment>
    <comment ref="H117" authorId="0" shapeId="0" xr:uid="{80E652BA-6AAA-48D6-9E3A-E90DA4481B1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초급하</t>
        </r>
      </text>
    </comment>
    <comment ref="K117" authorId="0" shapeId="0" xr:uid="{AA19AED5-4A30-423A-B3EE-AA2E9E99F40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N117" authorId="0" shapeId="0" xr:uid="{65AD3876-EF0A-4DC7-BAD7-B9DA7F084126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>)010-3511-8979</t>
        </r>
      </text>
    </comment>
    <comment ref="AW117" authorId="0" shapeId="0" xr:uid="{B5F76BCA-1FF6-4C1B-B26C-60BF5B98C40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118" authorId="0" shapeId="0" xr:uid="{B1157565-4E37-43D4-B16F-FE0ECCA4749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2025.07.01</t>
        </r>
        <r>
          <rPr>
            <sz val="9"/>
            <color indexed="81"/>
            <rFont val="돋움"/>
            <family val="3"/>
            <charset val="129"/>
          </rPr>
          <t>부로
대리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L118" authorId="0" shapeId="0" xr:uid="{FC8E776F-82CA-4918-89F3-6CCCC24F528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AIA </t>
        </r>
        <r>
          <rPr>
            <sz val="9"/>
            <color indexed="81"/>
            <rFont val="돋움"/>
            <family val="3"/>
            <charset val="129"/>
          </rPr>
          <t>생명</t>
        </r>
        <r>
          <rPr>
            <sz val="9"/>
            <color indexed="81"/>
            <rFont val="Tahoma"/>
            <family val="2"/>
          </rPr>
          <t xml:space="preserve"> 22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6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16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입사</t>
        </r>
        <r>
          <rPr>
            <sz val="9"/>
            <color indexed="81"/>
            <rFont val="Tahoma"/>
            <family val="2"/>
          </rPr>
          <t xml:space="preserve">
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6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김대영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퇴사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후임으로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</t>
        </r>
      </text>
    </comment>
    <comment ref="N118" authorId="0" shapeId="0" xr:uid="{B9012F15-591C-4312-AE33-094EE839B3DD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누나</t>
        </r>
        <r>
          <rPr>
            <sz val="9"/>
            <color indexed="81"/>
            <rFont val="Tahoma"/>
            <family val="2"/>
          </rPr>
          <t>)010-9557-7758</t>
        </r>
      </text>
    </comment>
    <comment ref="AW118" authorId="0" shapeId="0" xr:uid="{4B441BE2-C011-498D-91E5-409072AAF13C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H119" authorId="0" shapeId="0" xr:uid="{EDA20190-473D-4574-9729-DD14F4AC422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초급하</t>
        </r>
      </text>
    </comment>
    <comment ref="K119" authorId="0" shapeId="0" xr:uid="{61D7E3D9-3091-421B-90B5-070FA00E4F75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N119" authorId="0" shapeId="0" xr:uid="{794F0F91-D2D6-4A94-B443-9582C431ED56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>)010-2427-8008</t>
        </r>
      </text>
    </comment>
    <comment ref="AW119" authorId="0" shapeId="0" xr:uid="{D5C67422-A579-4527-ADCD-260F0238B21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120" authorId="0" shapeId="0" xr:uid="{02F93F81-E0C3-472E-8F42-57671CAA0AC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24.07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L120" authorId="0" shapeId="0" xr:uid="{7B9C53FF-0563-456B-A0E0-55CA62911AE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2025-10-24 </t>
        </r>
        <r>
          <rPr>
            <sz val="9"/>
            <color indexed="81"/>
            <rFont val="돋움"/>
            <family val="3"/>
            <charset val="129"/>
          </rPr>
          <t>직무전환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구축</t>
        </r>
        <r>
          <rPr>
            <sz val="9"/>
            <color indexed="81"/>
            <rFont val="Tahoma"/>
            <family val="2"/>
          </rPr>
          <t>-&gt;L3)</t>
        </r>
      </text>
    </comment>
    <comment ref="N120" authorId="0" shapeId="0" xr:uid="{ECA8ED91-103A-4E42-92BD-2570284E0847}">
      <text>
        <r>
          <rPr>
            <b/>
            <sz val="11"/>
            <color theme="1"/>
            <rFont val="맑은 고딕"/>
            <family val="3"/>
            <charset val="129"/>
            <scheme val="minor"/>
          </rPr>
          <t>만든 이:</t>
        </r>
        <r>
          <rPr>
            <sz val="11"/>
            <color theme="1"/>
            <rFont val="맑은 고딕"/>
            <family val="3"/>
            <charset val="129"/>
            <scheme val="minor"/>
          </rPr>
          <t xml:space="preserve">
모)010-7573-3344</t>
        </r>
      </text>
    </comment>
    <comment ref="AW120" authorId="0" shapeId="0" xr:uid="{140F35C4-EAE4-4B2E-8E6A-39345E12D47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25.12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직무전환에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AX120" authorId="0" shapeId="0" xr:uid="{C23296BF-822B-47C2-8CCC-8EED9B2D45CA}">
      <text>
        <r>
          <rPr>
            <b/>
            <sz val="9"/>
            <color indexed="81"/>
            <rFont val="돋움"/>
            <family val="3"/>
            <charset val="129"/>
          </rPr>
          <t>김주석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1. 26.01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N121" authorId="0" shapeId="0" xr:uid="{3C4A79F9-A80D-4BC7-99AF-7DA33211A681}">
      <text>
        <r>
          <rPr>
            <b/>
            <sz val="11"/>
            <color theme="1"/>
            <rFont val="맑은 고딕"/>
            <family val="3"/>
            <charset val="129"/>
            <scheme val="minor"/>
          </rPr>
          <t>만든 이:</t>
        </r>
        <r>
          <rPr>
            <sz val="11"/>
            <color theme="1"/>
            <rFont val="맑은 고딕"/>
            <family val="3"/>
            <charset val="129"/>
            <scheme val="minor"/>
          </rPr>
          <t xml:space="preserve">
부)010-6263-1620
모)010-3356-1620</t>
        </r>
      </text>
    </comment>
    <comment ref="AW121" authorId="0" shapeId="0" xr:uid="{723B9246-1BA0-4088-912E-2DC6099A1EA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122" authorId="0" shapeId="0" xr:uid="{252DAA5B-8FE4-4481-A596-C1DED324BB3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2025.07.01</t>
        </r>
        <r>
          <rPr>
            <sz val="9"/>
            <color indexed="81"/>
            <rFont val="돋움"/>
            <family val="3"/>
            <charset val="129"/>
          </rPr>
          <t>부로
대리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</text>
    </comment>
    <comment ref="H122" authorId="0" shapeId="0" xr:uid="{A06A9835-F7FA-41F4-BD7B-8BF077244325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초급하</t>
        </r>
      </text>
    </comment>
    <comment ref="K122" authorId="0" shapeId="0" xr:uid="{701B1FB0-369A-4346-98B9-8E1857E45C8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2026.04.01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직무전환
서비스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엔지니어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서버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엔지니어
</t>
        </r>
      </text>
    </comment>
    <comment ref="N122" authorId="0" shapeId="0" xr:uid="{FA082DC1-FA39-40C1-BF83-60C798F189EF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>)010-3828-1215</t>
        </r>
      </text>
    </comment>
    <comment ref="AW122" authorId="0" shapeId="0" xr:uid="{EBCC1B1D-20B6-4FF1-971E-276160EFD42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F122" authorId="0" shapeId="0" xr:uid="{7D57ADC7-FAE6-4AB6-BEDB-B8111F20F30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연봉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N123" authorId="0" shapeId="0" xr:uid="{8F42C361-B1DE-44E9-B7D4-1EE970264929}">
      <text>
        <r>
          <rPr>
            <b/>
            <sz val="11"/>
            <color theme="1"/>
            <rFont val="맑은 고딕"/>
            <family val="3"/>
            <charset val="129"/>
            <scheme val="minor"/>
          </rPr>
          <t>만든 이:</t>
        </r>
        <r>
          <rPr>
            <sz val="11"/>
            <color theme="1"/>
            <rFont val="맑은 고딕"/>
            <family val="3"/>
            <charset val="129"/>
            <scheme val="minor"/>
          </rPr>
          <t xml:space="preserve">
모)010-5633-7776</t>
        </r>
      </text>
    </comment>
    <comment ref="AW123" authorId="0" shapeId="0" xr:uid="{0B116C1A-7384-4D2D-85DB-3D53791C543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R123" authorId="0" shapeId="0" xr:uid="{8519A081-16A1-43D5-9FA8-A00D0BB6B92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사수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부사수별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평균</t>
        </r>
        <r>
          <rPr>
            <sz val="9"/>
            <color indexed="81"/>
            <rFont val="Tahoma"/>
            <family val="2"/>
          </rPr>
          <t xml:space="preserve"> 250,000 </t>
        </r>
        <r>
          <rPr>
            <sz val="9"/>
            <color indexed="81"/>
            <rFont val="돋움"/>
            <family val="3"/>
            <charset val="129"/>
          </rPr>
          <t>원으로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</text>
    </comment>
    <comment ref="L124" authorId="0" shapeId="0" xr:uid="{409B2886-0DE0-41C7-81BA-68893536F50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신지헌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후임으로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전환배치</t>
        </r>
      </text>
    </comment>
    <comment ref="N124" authorId="0" shapeId="0" xr:uid="{635D08AD-29C1-4609-BE44-524BEF978641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>)010-2689-4098</t>
        </r>
      </text>
    </comment>
    <comment ref="V124" authorId="0" shapeId="0" xr:uid="{81A9D2FB-3E2A-4B63-8137-B9D8B7F9FBAE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학사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학위수여일</t>
        </r>
        <r>
          <rPr>
            <sz val="9"/>
            <color indexed="81"/>
            <rFont val="Tahoma"/>
            <family val="2"/>
          </rPr>
          <t xml:space="preserve"> : 2026.02.025</t>
        </r>
      </text>
    </comment>
    <comment ref="AG124" authorId="0" shapeId="0" xr:uid="{128514E2-C772-45CB-9CD8-E4CEF193F5D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신규에서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번으로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전환배치</t>
        </r>
        <r>
          <rPr>
            <sz val="9"/>
            <color indexed="81"/>
            <rFont val="Tahoma"/>
            <family val="2"/>
          </rPr>
          <t>)</t>
        </r>
      </text>
    </comment>
    <comment ref="AW124" authorId="0" shapeId="0" xr:uid="{95FD16D5-A43F-4C4C-8AA2-0E43AEB3BCB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H125" authorId="0" shapeId="0" xr:uid="{8A334F91-94EB-425D-8757-7F45E9AE48F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 </t>
        </r>
        <r>
          <rPr>
            <sz val="9"/>
            <color indexed="81"/>
            <rFont val="돋움"/>
            <family val="3"/>
            <charset val="129"/>
          </rPr>
          <t>등급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초급상</t>
        </r>
      </text>
    </comment>
    <comment ref="K125" authorId="0" shapeId="0" xr:uid="{85547008-795A-44C5-B606-6C67F6E8871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N125" authorId="0" shapeId="0" xr:uid="{7C9CBD49-A902-4479-B267-7C5EBAA1811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010-2392-4555</t>
        </r>
      </text>
    </comment>
    <comment ref="AW125" authorId="0" shapeId="0" xr:uid="{E4539431-53A1-4C12-8FAC-EBCE941725C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L126" authorId="0" shapeId="0" xr:uid="{687EED32-DAEB-4319-AF43-16473034DD22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조현동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후임</t>
        </r>
      </text>
    </comment>
    <comment ref="N126" authorId="0" shapeId="0" xr:uid="{C1ECD30C-3A4B-4578-9751-C8BF873C4E77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>)010-2978-3028</t>
        </r>
      </text>
    </comment>
    <comment ref="AW126" authorId="0" shapeId="0" xr:uid="{AF3E303D-8FF5-4DD4-B778-964A13C1F66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D126" authorId="0" shapeId="0" xr:uid="{124C740C-9967-40A3-BF79-9317C974BA21}">
      <text>
        <r>
          <rPr>
            <b/>
            <sz val="9"/>
            <color indexed="81"/>
            <rFont val="돋움"/>
            <family val="3"/>
            <charset val="129"/>
          </rPr>
          <t>김주석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1. 2025.01.01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( </t>
        </r>
        <r>
          <rPr>
            <sz val="9"/>
            <color indexed="81"/>
            <rFont val="돋움"/>
            <family val="3"/>
            <charset val="129"/>
          </rPr>
          <t>교대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주간통상</t>
        </r>
        <r>
          <rPr>
            <sz val="9"/>
            <color indexed="81"/>
            <rFont val="Tahoma"/>
            <family val="2"/>
          </rPr>
          <t xml:space="preserve"> )</t>
        </r>
      </text>
    </comment>
    <comment ref="BE126" authorId="0" shapeId="0" xr:uid="{3BA6CD19-C153-429F-9BD4-FC46C51FA785}">
      <text>
        <r>
          <rPr>
            <b/>
            <sz val="9"/>
            <color indexed="81"/>
            <rFont val="돋움"/>
            <family val="3"/>
            <charset val="129"/>
          </rPr>
          <t>김주석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1. 2025.01.01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( </t>
        </r>
        <r>
          <rPr>
            <sz val="9"/>
            <color indexed="81"/>
            <rFont val="돋움"/>
            <family val="3"/>
            <charset val="129"/>
          </rPr>
          <t>교대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주간통상</t>
        </r>
        <r>
          <rPr>
            <sz val="9"/>
            <color indexed="81"/>
            <rFont val="Tahoma"/>
            <family val="2"/>
          </rPr>
          <t xml:space="preserve"> )</t>
        </r>
      </text>
    </comment>
    <comment ref="G127" authorId="0" shapeId="0" xr:uid="{65912B7A-3484-4ADE-8AB6-5FC078B84D6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24.07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N127" authorId="0" shapeId="0" xr:uid="{F60E53C2-CC68-4C5B-AE49-0D8A034CC436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>)010-8920-5233</t>
        </r>
      </text>
    </comment>
    <comment ref="AN127" authorId="0" shapeId="0" xr:uid="{9371502D-8E09-48CA-A27E-ECD561DFB651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등본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주소
경기도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광주시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삼지곡길</t>
        </r>
        <r>
          <rPr>
            <sz val="9"/>
            <color indexed="81"/>
            <rFont val="Tahoma"/>
            <family val="2"/>
          </rPr>
          <t>79</t>
        </r>
        <r>
          <rPr>
            <sz val="9"/>
            <color indexed="81"/>
            <rFont val="돋움"/>
            <family val="3"/>
            <charset val="129"/>
          </rPr>
          <t>번길</t>
        </r>
        <r>
          <rPr>
            <sz val="9"/>
            <color indexed="81"/>
            <rFont val="Tahoma"/>
            <family val="2"/>
          </rPr>
          <t xml:space="preserve"> 5-36, 302</t>
        </r>
        <r>
          <rPr>
            <sz val="9"/>
            <color indexed="81"/>
            <rFont val="돋움"/>
            <family val="3"/>
            <charset val="129"/>
          </rPr>
          <t>호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삼동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삼성하이츠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초</t>
        </r>
      </text>
    </comment>
    <comment ref="AW127" authorId="0" shapeId="0" xr:uid="{9C191AAE-61FF-43BF-96D1-7DCDF9EA442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128" authorId="0" shapeId="0" xr:uid="{77DE8AB1-A5DB-4F41-A46E-3229E7D8FB1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24.07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AX128" authorId="0" shapeId="0" xr:uid="{2713EB07-7C86-4E4A-B4BE-189D2EAEC44A}">
      <text>
        <r>
          <rPr>
            <b/>
            <sz val="9"/>
            <color indexed="81"/>
            <rFont val="돋움"/>
            <family val="3"/>
            <charset val="129"/>
          </rPr>
          <t>김주석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1. 26.01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129" authorId="0" shapeId="0" xr:uid="{521A1B9F-426C-4388-B727-04E174F2757C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1. 2025.07.01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</text>
    </comment>
    <comment ref="H129" authorId="0" shapeId="0" xr:uid="{6AF753C4-E9A6-4EED-A990-FD8DB605FC7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11.7</t>
        </r>
        <r>
          <rPr>
            <sz val="9"/>
            <color indexed="81"/>
            <rFont val="돋움"/>
            <family val="3"/>
            <charset val="129"/>
          </rPr>
          <t>부로
전환배치와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동시에
등급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</text>
    </comment>
    <comment ref="L129" authorId="0" shapeId="0" xr:uid="{5796B74D-4AB2-4FF2-875B-F247A7A7994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22.11.7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직무전환
</t>
        </r>
        <r>
          <rPr>
            <sz val="9"/>
            <color indexed="81"/>
            <rFont val="Tahoma"/>
            <family val="2"/>
          </rPr>
          <t>OP-&gt;</t>
        </r>
        <r>
          <rPr>
            <sz val="9"/>
            <color indexed="81"/>
            <rFont val="돋움"/>
            <family val="3"/>
            <charset val="129"/>
          </rPr>
          <t>주간엔지니어</t>
        </r>
      </text>
    </comment>
    <comment ref="N129" authorId="0" shapeId="0" xr:uid="{6492FBDE-F5D5-4D80-95AC-C98277ECF306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>)010-3805-1841</t>
        </r>
      </text>
    </comment>
    <comment ref="AX129" authorId="0" shapeId="0" xr:uid="{55ECCA52-33AA-45CD-A7D5-E9C2ABE5EF6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월단가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인하</t>
        </r>
      </text>
    </comment>
    <comment ref="BD129" authorId="0" shapeId="0" xr:uid="{716AA3A5-80ED-44CA-9C25-516DD36A38B8}">
      <text>
        <r>
          <rPr>
            <b/>
            <sz val="9"/>
            <color indexed="81"/>
            <rFont val="돋움"/>
            <family val="3"/>
            <charset val="129"/>
          </rPr>
          <t>김주석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1. 2025.01.01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E129" authorId="0" shapeId="0" xr:uid="{62E6A0C4-1AA4-4F47-8AC1-3A3423DA4C29}">
      <text>
        <r>
          <rPr>
            <b/>
            <sz val="9"/>
            <color indexed="81"/>
            <rFont val="돋움"/>
            <family val="3"/>
            <charset val="129"/>
          </rPr>
          <t>김주석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1. 2025.01.01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130" authorId="0" shapeId="0" xr:uid="{55D690F8-B62D-4446-8342-C98A315255D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1. 2025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7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현장에서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우선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대리</t>
        </r>
        <r>
          <rPr>
            <sz val="9"/>
            <color indexed="81"/>
            <rFont val="Tahoma"/>
            <family val="2"/>
          </rPr>
          <t xml:space="preserve">"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호칭</t>
        </r>
      </text>
    </comment>
    <comment ref="H130" authorId="0" shapeId="0" xr:uid="{DC258060-380B-4B62-B00E-9322089E6A2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 </t>
        </r>
        <r>
          <rPr>
            <sz val="9"/>
            <color indexed="81"/>
            <rFont val="돋움"/>
            <family val="3"/>
            <charset val="129"/>
          </rPr>
          <t>계약시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초급하</t>
        </r>
      </text>
    </comment>
    <comment ref="K130" authorId="0" shapeId="0" xr:uid="{BF35A471-227B-4E5F-BB5F-184F882F21F8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김주석</t>
        </r>
        <r>
          <rPr>
            <sz val="9"/>
            <color indexed="81"/>
            <rFont val="Tahoma"/>
            <family val="2"/>
          </rPr>
          <t xml:space="preserve">:
1. PM </t>
        </r>
        <r>
          <rPr>
            <sz val="9"/>
            <color indexed="81"/>
            <rFont val="돋움"/>
            <family val="3"/>
            <charset val="129"/>
          </rPr>
          <t>전담등록원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인프라운영지원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직무명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2025 ~ 
2. </t>
        </r>
        <r>
          <rPr>
            <sz val="9"/>
            <color indexed="81"/>
            <rFont val="돋움"/>
            <family val="3"/>
            <charset val="129"/>
          </rPr>
          <t>인프라운영지원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안전관리원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겸임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부현장대리인</t>
        </r>
        <r>
          <rPr>
            <sz val="9"/>
            <color indexed="81"/>
            <rFont val="Tahoma"/>
            <family val="2"/>
          </rPr>
          <t>) 20250701</t>
        </r>
      </text>
    </comment>
    <comment ref="L130" authorId="0" shapeId="0" xr:uid="{5FFC638A-F919-4B3E-86CD-58E00844C6BC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조정열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후임으로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입사
</t>
        </r>
        <r>
          <rPr>
            <sz val="9"/>
            <color indexed="81"/>
            <rFont val="Tahoma"/>
            <family val="2"/>
          </rPr>
          <t xml:space="preserve">2. 2025/03/04 </t>
        </r>
        <r>
          <rPr>
            <sz val="9"/>
            <color indexed="81"/>
            <rFont val="돋움"/>
            <family val="3"/>
            <charset val="129"/>
          </rPr>
          <t>전령주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후임으로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직무전환
</t>
        </r>
        <r>
          <rPr>
            <sz val="9"/>
            <color indexed="81"/>
            <rFont val="Tahoma"/>
            <family val="2"/>
          </rPr>
          <t xml:space="preserve">3. 2025/07/01 </t>
        </r>
        <r>
          <rPr>
            <sz val="9"/>
            <color indexed="81"/>
            <rFont val="돋움"/>
            <family val="3"/>
            <charset val="129"/>
          </rPr>
          <t>조재용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후임으로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직무전환</t>
        </r>
      </text>
    </comment>
    <comment ref="N130" authorId="0" shapeId="0" xr:uid="{38548996-C6A5-498A-8AA7-771C6CFC5C1F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)010-7158-9175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>)010-2885-9175</t>
        </r>
      </text>
    </comment>
    <comment ref="AW130" authorId="0" shapeId="0" xr:uid="{42359B37-4E3A-4857-9E91-1CE20D6EB36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D130" authorId="0" shapeId="0" xr:uid="{E9EA6DBB-27AA-44D6-8AD1-F74D102329D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1. 2025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( </t>
        </r>
        <r>
          <rPr>
            <sz val="9"/>
            <color indexed="81"/>
            <rFont val="돋움"/>
            <family val="3"/>
            <charset val="129"/>
          </rPr>
          <t>스케줄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통상</t>
        </r>
        <r>
          <rPr>
            <sz val="9"/>
            <color indexed="81"/>
            <rFont val="Tahoma"/>
            <family val="2"/>
          </rPr>
          <t xml:space="preserve"> )</t>
        </r>
      </text>
    </comment>
    <comment ref="BE130" authorId="0" shapeId="0" xr:uid="{291ABA0A-045E-472F-BD34-C576C9EB661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1. 2025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7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L131" authorId="0" shapeId="0" xr:uid="{39FCEC8F-286A-4EA8-B15E-5ED2758FB76B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이영철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후임</t>
        </r>
      </text>
    </comment>
    <comment ref="N131" authorId="0" shapeId="0" xr:uid="{E5A37E6B-47DB-439E-8C7A-A0A8E656F9A1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>)010-2499-7353</t>
        </r>
      </text>
    </comment>
    <comment ref="AW131" authorId="0" shapeId="0" xr:uid="{161514A8-33A0-4914-A18E-AB7A464EB5F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R131" authorId="0" shapeId="0" xr:uid="{2A1FA481-42B6-4DBA-99FE-3495BB574F1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사수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부사수별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평균</t>
        </r>
        <r>
          <rPr>
            <sz val="9"/>
            <color indexed="81"/>
            <rFont val="Tahoma"/>
            <family val="2"/>
          </rPr>
          <t xml:space="preserve"> 250,000 </t>
        </r>
        <r>
          <rPr>
            <sz val="9"/>
            <color indexed="81"/>
            <rFont val="돋움"/>
            <family val="3"/>
            <charset val="129"/>
          </rPr>
          <t>원으로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</text>
    </comment>
    <comment ref="G132" authorId="0" shapeId="0" xr:uid="{B2D6C6B9-0D04-4899-9D70-A0A4CFF19C1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2025.07.01</t>
        </r>
        <r>
          <rPr>
            <sz val="9"/>
            <color indexed="81"/>
            <rFont val="돋움"/>
            <family val="3"/>
            <charset val="129"/>
          </rPr>
          <t>부로
차장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</text>
    </comment>
    <comment ref="N132" authorId="0" shapeId="0" xr:uid="{C4BBF580-9FA7-4010-AFCF-68A266C8B4B7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>)010-5310-3762</t>
        </r>
      </text>
    </comment>
    <comment ref="AW132" authorId="0" shapeId="0" xr:uid="{69BAC23F-35A2-446C-B317-3156981DEEA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H133" authorId="0" shapeId="0" xr:uid="{C5BF6A8C-1E51-41A1-BE73-92CF02C8605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 </t>
        </r>
        <r>
          <rPr>
            <sz val="9"/>
            <color indexed="81"/>
            <rFont val="돋움"/>
            <family val="3"/>
            <charset val="129"/>
          </rPr>
          <t>계약시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초급하</t>
        </r>
      </text>
    </comment>
    <comment ref="N133" authorId="0" shapeId="0" xr:uid="{3BDE0465-9684-4B7C-8B11-7E00939578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>)010-5146-4406</t>
        </r>
      </text>
    </comment>
    <comment ref="AN133" authorId="0" shapeId="0" xr:uid="{01699649-2A91-4FBB-ACE1-65393CE8B864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충청북도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음성군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대소면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대화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길</t>
        </r>
        <r>
          <rPr>
            <sz val="9"/>
            <color indexed="81"/>
            <rFont val="Tahoma"/>
            <family val="2"/>
          </rPr>
          <t xml:space="preserve"> 44-8 </t>
        </r>
        <r>
          <rPr>
            <sz val="9"/>
            <color indexed="81"/>
            <rFont val="돋움"/>
            <family val="3"/>
            <charset val="129"/>
          </rPr>
          <t>웰메이드타운</t>
        </r>
        <r>
          <rPr>
            <sz val="9"/>
            <color indexed="81"/>
            <rFont val="Tahoma"/>
            <family val="2"/>
          </rPr>
          <t xml:space="preserve"> 105</t>
        </r>
        <r>
          <rPr>
            <sz val="9"/>
            <color indexed="81"/>
            <rFont val="돋움"/>
            <family val="3"/>
            <charset val="129"/>
          </rPr>
          <t>동</t>
        </r>
        <r>
          <rPr>
            <sz val="9"/>
            <color indexed="81"/>
            <rFont val="Tahoma"/>
            <family val="2"/>
          </rPr>
          <t xml:space="preserve"> 1202</t>
        </r>
      </text>
    </comment>
    <comment ref="AW133" authorId="0" shapeId="0" xr:uid="{11278878-E23B-41A0-943D-7653290A336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H134" authorId="0" shapeId="0" xr:uid="{F4957F9A-66C6-4361-BF1C-5E11AEBCBE6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20.07.01</t>
        </r>
        <r>
          <rPr>
            <sz val="9"/>
            <color indexed="81"/>
            <rFont val="돋움"/>
            <family val="3"/>
            <charset val="129"/>
          </rPr>
          <t>부로
초급하→초급상</t>
        </r>
      </text>
    </comment>
    <comment ref="N134" authorId="0" shapeId="0" xr:uid="{9AF25A22-4F3E-41DC-9E05-3166A9A2C291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배우자</t>
        </r>
        <r>
          <rPr>
            <sz val="9"/>
            <color indexed="81"/>
            <rFont val="Tahoma"/>
            <family val="2"/>
          </rPr>
          <t>)010-7211-5351</t>
        </r>
      </text>
    </comment>
    <comment ref="AW134" authorId="0" shapeId="0" xr:uid="{88F86633-47C1-4F76-B87F-57A51B497AE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N135" authorId="0" shapeId="0" xr:uid="{BA79F0AC-EED6-4374-B47F-D0A21C1B9844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형</t>
        </r>
        <r>
          <rPr>
            <sz val="9"/>
            <color indexed="81"/>
            <rFont val="Tahoma"/>
            <family val="2"/>
          </rPr>
          <t>)010-4087-1639</t>
        </r>
      </text>
    </comment>
    <comment ref="AW135" authorId="0" shapeId="0" xr:uid="{95FE3DDF-2ACA-4343-B080-4DE4824A7C3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R135" authorId="0" shapeId="0" xr:uid="{2A63B154-6390-439C-B641-B5D822216D25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사수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부사수별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평균</t>
        </r>
        <r>
          <rPr>
            <sz val="9"/>
            <color indexed="81"/>
            <rFont val="Tahoma"/>
            <family val="2"/>
          </rPr>
          <t xml:space="preserve"> 250,000 </t>
        </r>
        <r>
          <rPr>
            <sz val="9"/>
            <color indexed="81"/>
            <rFont val="돋움"/>
            <family val="3"/>
            <charset val="129"/>
          </rPr>
          <t>원으로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</text>
    </comment>
    <comment ref="H136" authorId="0" shapeId="0" xr:uid="{926DC20D-5113-4BB5-BED3-E4DF4BC110A3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중급하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 xml:space="preserve">초급상
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루보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</text>
    </comment>
    <comment ref="N136" authorId="0" shapeId="0" xr:uid="{57304D59-B4BB-4451-827E-D2FB8A659F62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>)010-3906-9099</t>
        </r>
      </text>
    </comment>
    <comment ref="V136" authorId="0" shapeId="0" xr:uid="{1601F112-620D-412D-A5A6-03170D581BD4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25.02.25 </t>
        </r>
        <r>
          <rPr>
            <sz val="9"/>
            <color indexed="81"/>
            <rFont val="돋움"/>
            <family val="3"/>
            <charset val="129"/>
          </rPr>
          <t>학위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수여</t>
        </r>
      </text>
    </comment>
    <comment ref="BD136" authorId="0" shapeId="0" xr:uid="{1F3D645A-6CB7-4A89-B4E4-2899CD73194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2025/04/01 </t>
        </r>
        <r>
          <rPr>
            <sz val="9"/>
            <color indexed="81"/>
            <rFont val="돋움"/>
            <family val="3"/>
            <charset val="129"/>
          </rPr>
          <t>연봉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E136" authorId="0" shapeId="0" xr:uid="{60BD1DF7-E353-4ADE-990B-C54B37D602D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2025/04/01 </t>
        </r>
        <r>
          <rPr>
            <sz val="9"/>
            <color indexed="81"/>
            <rFont val="돋움"/>
            <family val="3"/>
            <charset val="129"/>
          </rPr>
          <t>연봉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N137" authorId="0" shapeId="0" xr:uid="{0CAE26EC-A254-4D27-91E2-6C6B83134A65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>)010-6418-5791</t>
        </r>
      </text>
    </comment>
    <comment ref="AW137" authorId="0" shapeId="0" xr:uid="{884EC585-88A2-4E0B-A1CE-1BA3FC340F7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N138" authorId="0" shapeId="0" xr:uid="{02CEA3DA-3A0F-4A5F-8F9E-DA077511616D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>)010-2251-6835</t>
        </r>
      </text>
    </comment>
    <comment ref="L139" authorId="0" shapeId="0" xr:uid="{C42D7FBD-B94C-4725-A61D-1344D704D08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임대현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후임</t>
        </r>
        <r>
          <rPr>
            <sz val="9"/>
            <color indexed="81"/>
            <rFont val="Tahoma"/>
            <family val="2"/>
          </rPr>
          <t xml:space="preserve"> Pool -&gt; </t>
        </r>
        <r>
          <rPr>
            <sz val="9"/>
            <color indexed="81"/>
            <rFont val="돋움"/>
            <family val="3"/>
            <charset val="129"/>
          </rPr>
          <t>시스템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운영원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</t>
        </r>
        <r>
          <rPr>
            <sz val="9"/>
            <color indexed="81"/>
            <rFont val="Tahoma"/>
            <family val="2"/>
          </rPr>
          <t xml:space="preserve"> 2025. 06. 01</t>
        </r>
      </text>
    </comment>
    <comment ref="N139" authorId="0" shapeId="0" xr:uid="{63A28D8C-18DD-45D8-AA10-7A61C696A6BE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>)010-9814-1019</t>
        </r>
      </text>
    </comment>
    <comment ref="H140" authorId="0" shapeId="0" xr:uid="{82E73C10-64F8-4915-AE96-F4E638D4E263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 </t>
        </r>
        <r>
          <rPr>
            <sz val="9"/>
            <color indexed="81"/>
            <rFont val="돋움"/>
            <family val="3"/>
            <charset val="129"/>
          </rPr>
          <t>계약시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초급하</t>
        </r>
      </text>
    </comment>
    <comment ref="K140" authorId="0" shapeId="0" xr:uid="{75EEA92E-F6DB-4B30-9911-17FE58E6FB60}">
      <text>
        <r>
          <rPr>
            <b/>
            <sz val="9"/>
            <color indexed="81"/>
            <rFont val="돋움"/>
            <family val="3"/>
            <charset val="129"/>
          </rPr>
          <t>김주석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1. 2024.4.1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: OP -&gt; </t>
        </r>
        <r>
          <rPr>
            <sz val="9"/>
            <color indexed="81"/>
            <rFont val="돋움"/>
            <family val="3"/>
            <charset val="129"/>
          </rPr>
          <t xml:space="preserve">현장대응원
</t>
        </r>
        <r>
          <rPr>
            <sz val="9"/>
            <color indexed="81"/>
            <rFont val="Tahoma"/>
            <family val="2"/>
          </rPr>
          <t>2. 2025.5.1.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현장대응원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서버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엔지니어</t>
        </r>
      </text>
    </comment>
    <comment ref="L140" authorId="0" shapeId="0" xr:uid="{7F776596-5AC6-4EFB-9C11-897BE3CBBFD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b/>
            <sz val="9"/>
            <color indexed="81"/>
            <rFont val="돋움"/>
            <family val="3"/>
            <charset val="129"/>
          </rPr>
          <t>최도원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후임으로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입사</t>
        </r>
      </text>
    </comment>
    <comment ref="N140" authorId="0" shapeId="0" xr:uid="{A844B662-3604-4BBD-818B-8A3ABB97DC2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010-9590-2058</t>
        </r>
      </text>
    </comment>
    <comment ref="V140" authorId="0" shapeId="0" xr:uid="{B905E918-6774-480D-8983-0123ECAAD360}">
      <text>
        <r>
          <rPr>
            <b/>
            <sz val="11"/>
            <color indexed="81"/>
            <rFont val="Tahoma"/>
            <family val="2"/>
          </rPr>
          <t>만든 이:</t>
        </r>
        <r>
          <rPr>
            <sz val="11"/>
            <color indexed="81"/>
            <rFont val="Tahoma"/>
            <family val="2"/>
          </rPr>
          <t xml:space="preserve">
2</t>
        </r>
        <r>
          <rPr>
            <sz val="11"/>
            <color indexed="81"/>
            <rFont val="돋움"/>
            <family val="3"/>
            <charset val="129"/>
          </rPr>
          <t>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중퇴</t>
        </r>
      </text>
    </comment>
    <comment ref="N141" authorId="0" shapeId="0" xr:uid="{BE35CB13-08F2-4E1C-8B46-D262E7F1A49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010-5708-1143</t>
        </r>
      </text>
    </comment>
    <comment ref="AL141" authorId="0" shapeId="0" xr:uid="{98E2B39D-BFBF-43CE-8D7A-6FD81CB4E98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21.7.23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판교에서
정자로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이전</t>
        </r>
      </text>
    </comment>
    <comment ref="AW141" authorId="0" shapeId="0" xr:uid="{1C1C4635-51F7-4873-9943-D83BDF578F2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N142" authorId="0" shapeId="0" xr:uid="{121DD1F5-7629-420E-9F3B-DC57B6812A7D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>)010-8547-6305</t>
        </r>
      </text>
    </comment>
    <comment ref="AW142" authorId="0" shapeId="0" xr:uid="{8F294652-1B08-4702-A68C-15F092F73F9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143" authorId="0" shapeId="0" xr:uid="{28084F0D-84C5-4DEA-B4AC-432CC2907A2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24.07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L143" authorId="0" shapeId="0" xr:uid="{F1C3C892-D442-4BA9-9C50-F26DFF3A230C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1. 23.11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PM</t>
        </r>
        <r>
          <rPr>
            <sz val="9"/>
            <color indexed="81"/>
            <rFont val="돋움"/>
            <family val="3"/>
            <charset val="129"/>
          </rPr>
          <t>전담등록원으로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 xml:space="preserve">2. 24.12.01 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서버엔지니어로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N143" authorId="0" shapeId="0" xr:uid="{DAC2082C-B53A-41BE-8C9D-21EEE570089D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배우자</t>
        </r>
        <r>
          <rPr>
            <sz val="9"/>
            <color indexed="81"/>
            <rFont val="Tahoma"/>
            <family val="2"/>
          </rPr>
          <t>)010-3379-5076</t>
        </r>
      </text>
    </comment>
    <comment ref="AD143" authorId="0" shapeId="0" xr:uid="{434C28FD-F425-4037-A5AA-E9C5D59DDF6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24.4.16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상황실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개관에따른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이전
</t>
        </r>
      </text>
    </comment>
    <comment ref="AW143" authorId="0" shapeId="0" xr:uid="{308E0380-2FBA-4FE2-92A4-46D4C7BBE2C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N144" authorId="0" shapeId="0" xr:uid="{234DC99C-5E8E-4349-BA2D-E50D7361B2A6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>)010-9197-6059</t>
        </r>
      </text>
    </comment>
    <comment ref="AI144" authorId="0" shapeId="0" xr:uid="{AB839F16-4344-4D62-957F-F496AA64EFD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2020.03.07</t>
        </r>
        <r>
          <rPr>
            <sz val="9"/>
            <color indexed="81"/>
            <rFont val="돋움"/>
            <family val="3"/>
            <charset val="129"/>
          </rPr>
          <t>부로
구로에서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장안으로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이전</t>
        </r>
      </text>
    </comment>
    <comment ref="AW144" authorId="0" shapeId="0" xr:uid="{1164CA60-70E4-49B6-ADCA-9AD75867728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N145" authorId="0" shapeId="0" xr:uid="{4496EE60-A2E8-4C55-B819-C90DF907AB3E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)010-2964-2905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 xml:space="preserve">)010-2598-2905 </t>
        </r>
      </text>
    </comment>
    <comment ref="AW145" authorId="0" shapeId="0" xr:uid="{9F2D7B68-07AE-4597-A156-4CF3563CF13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146" authorId="0" shapeId="0" xr:uid="{E6241117-711A-4937-80BC-AC73D30FC07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2025.07.01</t>
        </r>
        <r>
          <rPr>
            <sz val="9"/>
            <color indexed="81"/>
            <rFont val="돋움"/>
            <family val="3"/>
            <charset val="129"/>
          </rPr>
          <t>부로
과장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N146" authorId="0" shapeId="0" xr:uid="{E9E4A697-9B72-4FFA-9FB3-8C65F813BE4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배우자</t>
        </r>
        <r>
          <rPr>
            <sz val="9"/>
            <color indexed="81"/>
            <rFont val="Tahoma"/>
            <family val="2"/>
          </rPr>
          <t>)010-4392-2377</t>
        </r>
      </text>
    </comment>
    <comment ref="AW146" authorId="0" shapeId="0" xr:uid="{CA160921-E3D3-4E43-9CBC-14FF1EBC93D4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K147" authorId="0" shapeId="0" xr:uid="{FE332DD9-D260-46AB-BABF-1779BD5AC555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24.07.08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전배</t>
        </r>
      </text>
    </comment>
    <comment ref="N147" authorId="0" shapeId="0" xr:uid="{BCF3655B-F334-4294-B906-4CB12BE76B02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>)010-5019-3631</t>
        </r>
      </text>
    </comment>
    <comment ref="V147" authorId="0" shapeId="0" xr:uid="{08BDDB35-0455-4048-9CE9-3DC913DD25FA}">
      <text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중퇴</t>
        </r>
      </text>
    </comment>
    <comment ref="AW147" authorId="0" shapeId="0" xr:uid="{13F9066B-9BFD-4040-81E2-9E2B4E5F023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H148" authorId="0" shapeId="0" xr:uid="{A7424589-DCD2-481D-812C-9D6A9BADC83B}">
      <text>
        <r>
          <rPr>
            <b/>
            <sz val="11"/>
            <color theme="1"/>
            <rFont val="맑은 고딕"/>
            <family val="3"/>
            <charset val="129"/>
            <scheme val="minor"/>
          </rPr>
          <t>만든 이:</t>
        </r>
        <r>
          <rPr>
            <sz val="11"/>
            <color theme="1"/>
            <rFont val="맑은 고딕"/>
            <family val="3"/>
            <charset val="129"/>
            <scheme val="minor"/>
          </rPr>
          <t xml:space="preserve">
25.5.1일부 현장대응으로 전환으로 초급하-&gt; 조급상으로 변경</t>
        </r>
      </text>
    </comment>
    <comment ref="K148" authorId="0" shapeId="0" xr:uid="{44DEC44C-4E70-4F26-AE83-8369790DDBD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2025.05.01 : OP -&gt; </t>
        </r>
        <r>
          <rPr>
            <sz val="9"/>
            <color indexed="81"/>
            <rFont val="돋움"/>
            <family val="3"/>
            <charset val="129"/>
          </rPr>
          <t>현장대응원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직무전환</t>
        </r>
      </text>
    </comment>
    <comment ref="L148" authorId="0" shapeId="0" xr:uid="{DCA029D5-5585-41E7-B01B-2CBCA391A0B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채정균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후임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김현규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후임</t>
        </r>
        <r>
          <rPr>
            <sz val="9"/>
            <color indexed="81"/>
            <rFont val="Tahoma"/>
            <family val="2"/>
          </rPr>
          <t xml:space="preserve">(20250501 </t>
        </r>
        <r>
          <rPr>
            <sz val="9"/>
            <color indexed="81"/>
            <rFont val="돋움"/>
            <family val="3"/>
            <charset val="129"/>
          </rPr>
          <t>직무전환</t>
        </r>
        <r>
          <rPr>
            <sz val="9"/>
            <color indexed="81"/>
            <rFont val="Tahoma"/>
            <family val="2"/>
          </rPr>
          <t xml:space="preserve"> Op -&gt; </t>
        </r>
        <r>
          <rPr>
            <sz val="9"/>
            <color indexed="81"/>
            <rFont val="돋움"/>
            <family val="3"/>
            <charset val="129"/>
          </rPr>
          <t>현장대응원</t>
        </r>
        <r>
          <rPr>
            <sz val="9"/>
            <color indexed="81"/>
            <rFont val="Tahoma"/>
            <family val="2"/>
          </rPr>
          <t xml:space="preserve"> )</t>
        </r>
      </text>
    </comment>
    <comment ref="N148" authorId="0" shapeId="0" xr:uid="{10F0D510-8495-4E66-B4D7-47243D8D9BDC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형</t>
        </r>
        <r>
          <rPr>
            <sz val="9"/>
            <color indexed="81"/>
            <rFont val="Tahoma"/>
            <family val="2"/>
          </rPr>
          <t>)010-6373-6401</t>
        </r>
      </text>
    </comment>
    <comment ref="AW148" authorId="0" shapeId="0" xr:uid="{6F58AC02-8601-4E3D-B433-EEB41CB11C2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N149" authorId="0" shapeId="0" xr:uid="{6027E2FC-48A2-4064-8F5F-8F3016E3DBE8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>)010-8894-6752</t>
        </r>
      </text>
    </comment>
    <comment ref="AW149" authorId="0" shapeId="0" xr:uid="{E82749C8-1913-462C-8838-CC90FC505A1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R149" authorId="0" shapeId="0" xr:uid="{15F676D7-0C2A-422B-AF3C-FC74C22A443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사수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부사수별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평균</t>
        </r>
        <r>
          <rPr>
            <sz val="9"/>
            <color indexed="81"/>
            <rFont val="Tahoma"/>
            <family val="2"/>
          </rPr>
          <t xml:space="preserve"> 250,000 </t>
        </r>
        <r>
          <rPr>
            <sz val="9"/>
            <color indexed="81"/>
            <rFont val="돋움"/>
            <family val="3"/>
            <charset val="129"/>
          </rPr>
          <t>원으로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</text>
    </comment>
    <comment ref="N150" authorId="0" shapeId="0" xr:uid="{80BCE87D-09CD-49D9-860C-21995C4AA939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 xml:space="preserve">)010-3776-0214
</t>
        </r>
        <r>
          <rPr>
            <sz val="9"/>
            <color indexed="81"/>
            <rFont val="돋움"/>
            <family val="3"/>
            <charset val="129"/>
          </rPr>
          <t>누나</t>
        </r>
        <r>
          <rPr>
            <sz val="9"/>
            <color indexed="81"/>
            <rFont val="Tahoma"/>
            <family val="2"/>
          </rPr>
          <t>)010-9643-8133</t>
        </r>
      </text>
    </comment>
    <comment ref="AW150" authorId="0" shapeId="0" xr:uid="{64BA6204-E38E-4F37-94C5-DC6ACBF1B6F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N151" authorId="0" shapeId="0" xr:uid="{3B34CBFD-5604-4D4E-9468-07C096032D77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>)010-8574-4998</t>
        </r>
      </text>
    </comment>
    <comment ref="AW151" authorId="0" shapeId="0" xr:uid="{3193C273-3E46-4792-8DA2-7AC102DC28C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D151" authorId="0" shapeId="0" xr:uid="{AD2E4111-1085-4591-A88C-4EA1F650F962}">
      <text>
        <r>
          <rPr>
            <b/>
            <sz val="9"/>
            <color indexed="81"/>
            <rFont val="돋움"/>
            <family val="3"/>
            <charset val="129"/>
          </rPr>
          <t>김주석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1. 2025.01.01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( </t>
        </r>
        <r>
          <rPr>
            <sz val="9"/>
            <color indexed="81"/>
            <rFont val="돋움"/>
            <family val="3"/>
            <charset val="129"/>
          </rPr>
          <t>교대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주간통상</t>
        </r>
        <r>
          <rPr>
            <sz val="9"/>
            <color indexed="81"/>
            <rFont val="Tahoma"/>
            <family val="2"/>
          </rPr>
          <t xml:space="preserve"> )</t>
        </r>
      </text>
    </comment>
    <comment ref="BE151" authorId="0" shapeId="0" xr:uid="{4C991265-702A-4188-8B31-6E99436B443D}">
      <text>
        <r>
          <rPr>
            <b/>
            <sz val="9"/>
            <color indexed="81"/>
            <rFont val="돋움"/>
            <family val="3"/>
            <charset val="129"/>
          </rPr>
          <t>김주석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1. 2025.01.01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( </t>
        </r>
        <r>
          <rPr>
            <sz val="9"/>
            <color indexed="81"/>
            <rFont val="돋움"/>
            <family val="3"/>
            <charset val="129"/>
          </rPr>
          <t>교대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주간통상</t>
        </r>
        <r>
          <rPr>
            <sz val="9"/>
            <color indexed="81"/>
            <rFont val="Tahoma"/>
            <family val="2"/>
          </rPr>
          <t xml:space="preserve"> )</t>
        </r>
      </text>
    </comment>
    <comment ref="L152" authorId="0" shapeId="0" xr:uid="{52081CB5-47B2-4638-A709-39222418B4C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25.05.17 </t>
        </r>
        <r>
          <rPr>
            <sz val="9"/>
            <color indexed="81"/>
            <rFont val="돋움"/>
            <family val="3"/>
            <charset val="129"/>
          </rPr>
          <t>퇴사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재입사</t>
        </r>
      </text>
    </comment>
    <comment ref="AW152" authorId="0" shapeId="0" xr:uid="{36C1B5A4-FB5D-4D40-B2B9-71AFDCA795F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N153" authorId="0" shapeId="0" xr:uid="{514AD28B-845F-4DEC-89E9-DAE107010C08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>)010-3999-1678</t>
        </r>
      </text>
    </comment>
    <comment ref="AW153" authorId="0" shapeId="0" xr:uid="{9FC9F0FC-8AE0-4989-9ADD-CE94A1200E0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D153" authorId="0" shapeId="0" xr:uid="{F94F57DB-4EA4-4814-A5B4-2662F4C6AB64}">
      <text>
        <r>
          <rPr>
            <b/>
            <sz val="9"/>
            <color indexed="81"/>
            <rFont val="돋움"/>
            <family val="3"/>
            <charset val="129"/>
          </rPr>
          <t>김주석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1. 2025.01.01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E153" authorId="0" shapeId="0" xr:uid="{F072AD8E-304F-4D3E-B164-8DD18116539D}">
      <text>
        <r>
          <rPr>
            <b/>
            <sz val="9"/>
            <color indexed="81"/>
            <rFont val="돋움"/>
            <family val="3"/>
            <charset val="129"/>
          </rPr>
          <t>김주석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1. 2025.01.01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H154" authorId="0" shapeId="0" xr:uid="{335DB0E3-791B-4597-98D5-7C1D38F732C3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초급하</t>
        </r>
      </text>
    </comment>
    <comment ref="N154" authorId="0" shapeId="0" xr:uid="{040E147E-7C9A-4C3D-A38F-5E5E13BF50FF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>)010-6423-4528</t>
        </r>
      </text>
    </comment>
    <comment ref="AW154" authorId="0" shapeId="0" xr:uid="{25F6E510-2931-425F-AC87-317EC312EF3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H155" authorId="0" shapeId="0" xr:uid="{90BAB753-AD55-45F4-BD31-41DC50B430E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초급하</t>
        </r>
      </text>
    </comment>
    <comment ref="K155" authorId="0" shapeId="0" xr:uid="{D3E3187A-9AEA-463F-B9BB-93161C624E8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2026.3.1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직무전환
서비스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엔지니어</t>
        </r>
        <r>
          <rPr>
            <sz val="9"/>
            <color indexed="81"/>
            <rFont val="Tahoma"/>
            <family val="2"/>
          </rPr>
          <t xml:space="preserve"> -&gt;</t>
        </r>
        <r>
          <rPr>
            <sz val="9"/>
            <color indexed="81"/>
            <rFont val="돋움"/>
            <family val="3"/>
            <charset val="129"/>
          </rPr>
          <t>서버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엔지니어</t>
        </r>
      </text>
    </comment>
    <comment ref="N155" authorId="0" shapeId="0" xr:uid="{5561FD99-DDD6-4673-9F20-11F56C9B3993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>:010-9338-6888</t>
        </r>
      </text>
    </comment>
    <comment ref="AW155" authorId="0" shapeId="0" xr:uid="{5B1E7006-FA36-4176-B1A3-FF6A7D61425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F155" authorId="0" shapeId="0" xr:uid="{B54425D6-5BF6-4BE3-A0D4-2EF52A81A7E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1. 2026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( </t>
        </r>
        <r>
          <rPr>
            <sz val="9"/>
            <color indexed="81"/>
            <rFont val="돋움"/>
            <family val="3"/>
            <charset val="129"/>
          </rPr>
          <t>스케줄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통상</t>
        </r>
        <r>
          <rPr>
            <sz val="9"/>
            <color indexed="81"/>
            <rFont val="Tahoma"/>
            <family val="2"/>
          </rPr>
          <t xml:space="preserve"> )</t>
        </r>
      </text>
    </comment>
    <comment ref="N156" authorId="0" shapeId="0" xr:uid="{08ECCF79-4386-415F-B3F8-50988D5BF41C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누나</t>
        </r>
        <r>
          <rPr>
            <sz val="9"/>
            <color indexed="81"/>
            <rFont val="Tahoma"/>
            <family val="2"/>
          </rPr>
          <t>)010-8624-5921</t>
        </r>
      </text>
    </comment>
    <comment ref="AW156" authorId="0" shapeId="0" xr:uid="{65409FF7-D87B-42BD-B1A9-95C672221E2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157" authorId="0" shapeId="0" xr:uid="{452FA512-136D-4497-857B-605B04B95013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2020.07.01</t>
        </r>
        <r>
          <rPr>
            <sz val="9"/>
            <color indexed="81"/>
            <rFont val="돋움"/>
            <family val="3"/>
            <charset val="129"/>
          </rPr>
          <t>부로
대리로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>2025.07.01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</text>
    </comment>
    <comment ref="N157" authorId="0" shapeId="0" xr:uid="{5AE22FBF-C4EC-451C-AD9A-36FAB9B578BF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>)010-2916-9379</t>
        </r>
      </text>
    </comment>
    <comment ref="AW157" authorId="0" shapeId="0" xr:uid="{D083DA7A-A04E-4C3F-89B1-04D2D94115DC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N158" authorId="0" shapeId="0" xr:uid="{C32C33BB-983C-494E-9EF9-321A85FC9DCD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>)010-2593-0179</t>
        </r>
      </text>
    </comment>
    <comment ref="AW158" authorId="0" shapeId="0" xr:uid="{BE28B9A3-A899-4694-BAF5-7A8C799EDB2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N159" authorId="0" shapeId="0" xr:uid="{3F6C5D17-8B98-4FC1-A8DD-F269F5AE25B4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 xml:space="preserve">)010-8914-9987
</t>
        </r>
      </text>
    </comment>
    <comment ref="AW159" authorId="0" shapeId="0" xr:uid="{5B1A8AE8-DD0D-4B6F-93F6-CE87E8F46C83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8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2%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N160" authorId="0" shapeId="0" xr:uid="{1FE67EB6-3BE4-4DE5-B0AD-5D1A78C74BEC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>)010-2462-1594</t>
        </r>
      </text>
    </comment>
    <comment ref="AW160" authorId="0" shapeId="0" xr:uid="{ED9BDD13-F635-492D-9DBE-3B9DD1D99DEB}">
      <text>
        <r>
          <rPr>
            <b/>
            <sz val="9"/>
            <color indexed="81"/>
            <rFont val="돋움"/>
            <family val="3"/>
            <charset val="129"/>
          </rPr>
          <t>김주석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  <r>
          <rPr>
            <sz val="9"/>
            <color indexed="81"/>
            <rFont val="Tahoma"/>
            <family val="2"/>
          </rPr>
          <t xml:space="preserve"> ( SK</t>
        </r>
        <r>
          <rPr>
            <sz val="9"/>
            <color indexed="81"/>
            <rFont val="돋움"/>
            <family val="3"/>
            <charset val="129"/>
          </rPr>
          <t>플래닛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)</t>
        </r>
      </text>
    </comment>
    <comment ref="K161" authorId="0" shapeId="0" xr:uid="{E531E4F4-C44A-458A-AB02-2FEA6BA19FC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1. 26.2.1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서비스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엔지니어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인프라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운영지원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엔지니어
</t>
        </r>
      </text>
    </comment>
    <comment ref="N161" authorId="0" shapeId="0" xr:uid="{2D2CEE96-26B6-4F7A-9DA9-BEFE31DAA7AE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>)010-9117-8754</t>
        </r>
      </text>
    </comment>
    <comment ref="AW161" authorId="0" shapeId="0" xr:uid="{2A3381BD-B24B-4219-87A2-7868A4B8DEF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F161" authorId="0" shapeId="0" xr:uid="{35D8D00F-4A7A-416A-B17B-3E807B7F2D1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1. 2026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( </t>
        </r>
        <r>
          <rPr>
            <sz val="9"/>
            <color indexed="81"/>
            <rFont val="돋움"/>
            <family val="3"/>
            <charset val="129"/>
          </rPr>
          <t>스케줄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통상</t>
        </r>
        <r>
          <rPr>
            <sz val="9"/>
            <color indexed="81"/>
            <rFont val="Tahoma"/>
            <family val="2"/>
          </rPr>
          <t xml:space="preserve"> ) : </t>
        </r>
        <r>
          <rPr>
            <sz val="9"/>
            <color indexed="81"/>
            <rFont val="돋움"/>
            <family val="3"/>
            <charset val="129"/>
          </rPr>
          <t>안전관리지원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엔지니어는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둴단가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변동없는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직무전황이므로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휴일근로수당만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반영함</t>
        </r>
      </text>
    </comment>
    <comment ref="N162" authorId="0" shapeId="0" xr:uid="{56EDB09A-440A-401F-AAC4-5393A69DE78B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동생</t>
        </r>
        <r>
          <rPr>
            <sz val="9"/>
            <color indexed="81"/>
            <rFont val="Tahoma"/>
            <family val="2"/>
          </rPr>
          <t>)010-3913-5050</t>
        </r>
      </text>
    </comment>
    <comment ref="AN162" authorId="0" shapeId="0" xr:uid="{E9C35898-E116-44E0-AAC8-257268F5E2BD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본가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전북특별자치도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군산시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백릉로</t>
        </r>
        <r>
          <rPr>
            <sz val="9"/>
            <color indexed="81"/>
            <rFont val="Tahoma"/>
            <family val="2"/>
          </rPr>
          <t xml:space="preserve"> 150, </t>
        </r>
        <r>
          <rPr>
            <sz val="9"/>
            <color indexed="81"/>
            <rFont val="돋움"/>
            <family val="3"/>
            <charset val="129"/>
          </rPr>
          <t>나동</t>
        </r>
        <r>
          <rPr>
            <sz val="9"/>
            <color indexed="81"/>
            <rFont val="Tahoma"/>
            <family val="2"/>
          </rPr>
          <t xml:space="preserve"> 202</t>
        </r>
        <r>
          <rPr>
            <sz val="9"/>
            <color indexed="81"/>
            <rFont val="돋움"/>
            <family val="3"/>
            <charset val="129"/>
          </rPr>
          <t>호</t>
        </r>
      </text>
    </comment>
    <comment ref="AW162" authorId="0" shapeId="0" xr:uid="{B2F6D4E0-0BF1-4B0B-93F8-EBAB8146E6D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K163" authorId="0" shapeId="0" xr:uid="{89298FD5-E31D-4C50-A159-55C91EE6DD35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시스템운영원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인프라운영지원</t>
        </r>
        <r>
          <rPr>
            <sz val="9"/>
            <color indexed="81"/>
            <rFont val="Tahoma"/>
            <family val="2"/>
          </rPr>
          <t xml:space="preserve"> 20250701
2. </t>
        </r>
        <r>
          <rPr>
            <sz val="9"/>
            <color indexed="81"/>
            <rFont val="돋움"/>
            <family val="3"/>
            <charset val="129"/>
          </rPr>
          <t>인프라운영지원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네트워크엔지니어</t>
        </r>
        <r>
          <rPr>
            <sz val="9"/>
            <color indexed="81"/>
            <rFont val="Tahoma"/>
            <family val="2"/>
          </rPr>
          <t xml:space="preserve"> 2026.2.1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</text>
    </comment>
    <comment ref="N163" authorId="0" shapeId="0" xr:uid="{1C3EACF6-2B8A-42C3-89D7-245DCADFCB84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>)010-4130-6449</t>
        </r>
      </text>
    </comment>
    <comment ref="AW163" authorId="0" shapeId="0" xr:uid="{864F894C-FF6A-42F6-81C0-A8D75B7F98E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E163" authorId="0" shapeId="0" xr:uid="{814660F4-DF4D-47A1-A64A-010CB2C3228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1. 2025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7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( </t>
        </r>
        <r>
          <rPr>
            <sz val="9"/>
            <color indexed="81"/>
            <rFont val="돋움"/>
            <family val="3"/>
            <charset val="129"/>
          </rPr>
          <t>스케줄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통상</t>
        </r>
        <r>
          <rPr>
            <sz val="9"/>
            <color indexed="81"/>
            <rFont val="Tahoma"/>
            <family val="2"/>
          </rPr>
          <t xml:space="preserve"> )</t>
        </r>
      </text>
    </comment>
    <comment ref="BF163" authorId="0" shapeId="0" xr:uid="{E00E42C5-8ECD-49FC-B360-A65A2FE732DC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1. 2026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( </t>
        </r>
        <r>
          <rPr>
            <sz val="9"/>
            <color indexed="81"/>
            <rFont val="돋움"/>
            <family val="3"/>
            <charset val="129"/>
          </rPr>
          <t>통상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통상</t>
        </r>
        <r>
          <rPr>
            <sz val="9"/>
            <color indexed="81"/>
            <rFont val="Tahoma"/>
            <family val="2"/>
          </rPr>
          <t xml:space="preserve"> ) </t>
        </r>
      </text>
    </comment>
    <comment ref="L164" authorId="0" shapeId="0" xr:uid="{CD8A8CE0-8AA2-4713-A0B4-8C8C56EF84B0}">
      <text>
        <r>
          <rPr>
            <b/>
            <sz val="9"/>
            <color indexed="81"/>
            <rFont val="돋움"/>
            <family val="3"/>
            <charset val="129"/>
          </rPr>
          <t>박이은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 2025.09.01 Pool -&gt; </t>
        </r>
        <r>
          <rPr>
            <sz val="9"/>
            <color indexed="81"/>
            <rFont val="돋움"/>
            <family val="3"/>
            <charset val="129"/>
          </rPr>
          <t>시스템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운영원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정현우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후임</t>
        </r>
        <r>
          <rPr>
            <sz val="9"/>
            <color indexed="81"/>
            <rFont val="Tahoma"/>
            <family val="2"/>
          </rPr>
          <t>)</t>
        </r>
      </text>
    </comment>
    <comment ref="N164" authorId="0" shapeId="0" xr:uid="{0F1FA729-0099-4667-BBD9-E6536EF7FC92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)010-2743-5826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 xml:space="preserve">)010-2410-5826
</t>
        </r>
        <r>
          <rPr>
            <sz val="9"/>
            <color indexed="81"/>
            <rFont val="돋움"/>
            <family val="3"/>
            <charset val="129"/>
          </rPr>
          <t>여동생</t>
        </r>
        <r>
          <rPr>
            <sz val="9"/>
            <color indexed="81"/>
            <rFont val="Tahoma"/>
            <family val="2"/>
          </rPr>
          <t>)010-2966-5826</t>
        </r>
      </text>
    </comment>
    <comment ref="N165" authorId="0" shapeId="0" xr:uid="{3F817A42-9E6F-4341-A47E-69A021F4A129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>)010-2289-0521</t>
        </r>
      </text>
    </comment>
    <comment ref="AN165" authorId="0" shapeId="0" xr:uid="{F97827FE-1F18-41E4-BAEF-092AAF9A2C9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'</t>
        </r>
        <r>
          <rPr>
            <sz val="9"/>
            <color indexed="81"/>
            <rFont val="돋움"/>
            <family val="3"/>
            <charset val="129"/>
          </rPr>
          <t>서울시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구로구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우마길</t>
        </r>
        <r>
          <rPr>
            <sz val="9"/>
            <color indexed="81"/>
            <rFont val="Tahoma"/>
            <family val="2"/>
          </rPr>
          <t xml:space="preserve">30-6 </t>
        </r>
        <r>
          <rPr>
            <sz val="9"/>
            <color indexed="81"/>
            <rFont val="돋움"/>
            <family val="3"/>
            <charset val="129"/>
          </rPr>
          <t>피터팬하우스가산점</t>
        </r>
        <r>
          <rPr>
            <sz val="9"/>
            <color indexed="81"/>
            <rFont val="Tahoma"/>
            <family val="2"/>
          </rPr>
          <t xml:space="preserve"> 105</t>
        </r>
        <r>
          <rPr>
            <sz val="9"/>
            <color indexed="81"/>
            <rFont val="돋움"/>
            <family val="3"/>
            <charset val="129"/>
          </rPr>
          <t>호</t>
        </r>
      </text>
    </comment>
    <comment ref="N166" authorId="0" shapeId="0" xr:uid="{3C21A62F-F5C6-4C08-ADA0-70564934B0F8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배우자</t>
        </r>
        <r>
          <rPr>
            <sz val="9"/>
            <color indexed="81"/>
            <rFont val="Tahoma"/>
            <family val="2"/>
          </rPr>
          <t>)010-6231-5720</t>
        </r>
      </text>
    </comment>
    <comment ref="H167" authorId="0" shapeId="0" xr:uid="{73EB9156-29DF-4202-98A2-197236C0CCF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 </t>
        </r>
        <r>
          <rPr>
            <sz val="9"/>
            <color indexed="81"/>
            <rFont val="돋움"/>
            <family val="3"/>
            <charset val="129"/>
          </rPr>
          <t>계약시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초급하</t>
        </r>
      </text>
    </comment>
    <comment ref="N167" authorId="0" shapeId="0" xr:uid="{5A547E02-1005-4820-ADCC-31E95A12595B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>)010-4109-7149</t>
        </r>
      </text>
    </comment>
    <comment ref="AW167" authorId="0" shapeId="0" xr:uid="{6F54F2DD-6E5C-486D-AEDF-B7234A6F71C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N168" authorId="0" shapeId="0" xr:uid="{8650733C-708B-4CAC-B7E0-5F49EC204DA7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배우자</t>
        </r>
        <r>
          <rPr>
            <sz val="9"/>
            <color indexed="81"/>
            <rFont val="Tahoma"/>
            <family val="2"/>
          </rPr>
          <t>)010-4784-2411</t>
        </r>
      </text>
    </comment>
    <comment ref="N169" authorId="0" shapeId="0" xr:uid="{ECA220A5-2923-45B4-AAE8-74A0665423CD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 010-8778-6295
</t>
        </r>
        <r>
          <rPr>
            <sz val="9"/>
            <color indexed="81"/>
            <rFont val="돋움"/>
            <family val="3"/>
            <charset val="129"/>
          </rPr>
          <t>누나</t>
        </r>
        <r>
          <rPr>
            <sz val="9"/>
            <color indexed="81"/>
            <rFont val="Tahoma"/>
            <family val="2"/>
          </rPr>
          <t>) 010-3884-6295</t>
        </r>
      </text>
    </comment>
    <comment ref="F170" authorId="0" shapeId="0" xr:uid="{F34E30C7-3E00-4837-84C5-60E4D195305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2025/03/06 </t>
        </r>
        <r>
          <rPr>
            <sz val="9"/>
            <color indexed="81"/>
            <rFont val="돋움"/>
            <family val="3"/>
            <charset val="129"/>
          </rPr>
          <t>개명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강훈식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 xml:space="preserve">강우빈
</t>
        </r>
      </text>
    </comment>
    <comment ref="N170" authorId="0" shapeId="0" xr:uid="{DC276B02-BE9A-4207-A8EA-7AC90FB91BC2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>)010-4577-0013</t>
        </r>
      </text>
    </comment>
    <comment ref="BR170" authorId="0" shapeId="0" xr:uid="{5AF2DF4E-8D53-46E6-BF6A-E6DFE0E87E6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사수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부사수별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평균</t>
        </r>
        <r>
          <rPr>
            <sz val="9"/>
            <color indexed="81"/>
            <rFont val="Tahoma"/>
            <family val="2"/>
          </rPr>
          <t xml:space="preserve"> 250,000 </t>
        </r>
        <r>
          <rPr>
            <sz val="9"/>
            <color indexed="81"/>
            <rFont val="돋움"/>
            <family val="3"/>
            <charset val="129"/>
          </rPr>
          <t>원으로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</text>
    </comment>
    <comment ref="N171" authorId="0" shapeId="0" xr:uid="{0F0471B6-8DBB-4BE1-BE6B-73840B30A1D7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)010-5191-4747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 xml:space="preserve">)010-6656-4742
</t>
        </r>
        <r>
          <rPr>
            <sz val="9"/>
            <color indexed="81"/>
            <rFont val="돋움"/>
            <family val="3"/>
            <charset val="129"/>
          </rPr>
          <t>배우자</t>
        </r>
        <r>
          <rPr>
            <sz val="9"/>
            <color indexed="81"/>
            <rFont val="Tahoma"/>
            <family val="2"/>
          </rPr>
          <t>)010-9718-4118</t>
        </r>
      </text>
    </comment>
    <comment ref="L172" authorId="0" shapeId="0" xr:uid="{5A8A81F8-FA53-4D64-92E7-F788A695819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2025_3/17 Pool_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시스템운영원</t>
        </r>
        <r>
          <rPr>
            <sz val="9"/>
            <color indexed="81"/>
            <rFont val="Tahoma"/>
            <family val="2"/>
          </rPr>
          <t xml:space="preserve"> 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5/1</t>
        </r>
        <r>
          <rPr>
            <sz val="9"/>
            <color indexed="81"/>
            <rFont val="돋움"/>
            <family val="3"/>
            <charset val="129"/>
          </rPr>
          <t>부</t>
        </r>
      </text>
    </comment>
    <comment ref="N172" authorId="0" shapeId="0" xr:uid="{62D3AC9A-E0DD-4C6B-94D5-6A743C36D6FB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 xml:space="preserve">)010-3009-6939
</t>
        </r>
        <r>
          <rPr>
            <sz val="9"/>
            <color indexed="81"/>
            <rFont val="돋움"/>
            <family val="3"/>
            <charset val="129"/>
          </rPr>
          <t>형</t>
        </r>
        <r>
          <rPr>
            <sz val="9"/>
            <color indexed="81"/>
            <rFont val="Tahoma"/>
            <family val="2"/>
          </rPr>
          <t>)010-7210-8364</t>
        </r>
      </text>
    </comment>
    <comment ref="N173" authorId="0" shapeId="0" xr:uid="{9C5F1169-DF41-4243-BFCE-8D44A3DE4BBD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)010-7548-5533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 xml:space="preserve">)010-3780-8889
</t>
        </r>
        <r>
          <rPr>
            <sz val="9"/>
            <color indexed="81"/>
            <rFont val="돋움"/>
            <family val="3"/>
            <charset val="129"/>
          </rPr>
          <t>누나</t>
        </r>
        <r>
          <rPr>
            <sz val="9"/>
            <color indexed="81"/>
            <rFont val="Tahoma"/>
            <family val="2"/>
          </rPr>
          <t>)010-7348-5533</t>
        </r>
      </text>
    </comment>
    <comment ref="N174" authorId="0" shapeId="0" xr:uid="{0CA84456-73CE-41F3-98CA-8F4E3D10172E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 xml:space="preserve">)010-3306-1520
</t>
        </r>
        <r>
          <rPr>
            <sz val="9"/>
            <color indexed="81"/>
            <rFont val="돋움"/>
            <family val="3"/>
            <charset val="129"/>
          </rPr>
          <t>동생</t>
        </r>
        <r>
          <rPr>
            <sz val="9"/>
            <color indexed="81"/>
            <rFont val="Tahoma"/>
            <family val="2"/>
          </rPr>
          <t>)010-4369-3436</t>
        </r>
      </text>
    </comment>
    <comment ref="AN174" authorId="0" shapeId="0" xr:uid="{04406CA7-41C8-49DC-A1F5-F98DD56D8846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등본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주소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부산광역시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흑교로</t>
        </r>
        <r>
          <rPr>
            <sz val="9"/>
            <color indexed="81"/>
            <rFont val="Tahoma"/>
            <family val="2"/>
          </rPr>
          <t>64</t>
        </r>
        <r>
          <rPr>
            <sz val="9"/>
            <color indexed="81"/>
            <rFont val="돋움"/>
            <family val="3"/>
            <charset val="129"/>
          </rPr>
          <t>번길</t>
        </r>
        <r>
          <rPr>
            <sz val="9"/>
            <color indexed="81"/>
            <rFont val="Tahoma"/>
            <family val="2"/>
          </rPr>
          <t xml:space="preserve"> 1-8</t>
        </r>
      </text>
    </comment>
    <comment ref="AT174" authorId="0" shapeId="0" xr:uid="{FED2E9E1-4314-4D71-9E2C-7C5F88B1E6A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2025-7-1 </t>
        </r>
        <r>
          <rPr>
            <sz val="9"/>
            <color indexed="81"/>
            <rFont val="돋움"/>
            <family val="3"/>
            <charset val="129"/>
          </rPr>
          <t>근무형태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N175" authorId="0" shapeId="0" xr:uid="{CD2E356F-4CD4-4183-ADEC-F224781490FE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)010-9439-8541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 xml:space="preserve">)010-9447-6388
</t>
        </r>
        <r>
          <rPr>
            <sz val="9"/>
            <color indexed="81"/>
            <rFont val="돋움"/>
            <family val="3"/>
            <charset val="129"/>
          </rPr>
          <t>누나</t>
        </r>
        <r>
          <rPr>
            <sz val="9"/>
            <color indexed="81"/>
            <rFont val="Tahoma"/>
            <family val="2"/>
          </rPr>
          <t xml:space="preserve">1)010-4653-2280
</t>
        </r>
        <r>
          <rPr>
            <sz val="9"/>
            <color indexed="81"/>
            <rFont val="돋움"/>
            <family val="3"/>
            <charset val="129"/>
          </rPr>
          <t>누나</t>
        </r>
        <r>
          <rPr>
            <sz val="9"/>
            <color indexed="81"/>
            <rFont val="Tahoma"/>
            <family val="2"/>
          </rPr>
          <t>2)010-5106-3436</t>
        </r>
      </text>
    </comment>
    <comment ref="N176" authorId="0" shapeId="0" xr:uid="{4D7B7954-937F-4D07-ACFB-9E4D07B8F3F8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)010-7179-0316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>)010-6367-0316</t>
        </r>
      </text>
    </comment>
    <comment ref="N177" authorId="0" shapeId="0" xr:uid="{4D726E68-B597-4A21-8738-E9124FAD5765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)010-3735-6823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 xml:space="preserve">)010-3724-2066
</t>
        </r>
        <r>
          <rPr>
            <sz val="9"/>
            <color indexed="81"/>
            <rFont val="돋움"/>
            <family val="3"/>
            <charset val="129"/>
          </rPr>
          <t>형</t>
        </r>
        <r>
          <rPr>
            <sz val="9"/>
            <color indexed="81"/>
            <rFont val="Tahoma"/>
            <family val="2"/>
          </rPr>
          <t>)010-2279-6823</t>
        </r>
      </text>
    </comment>
    <comment ref="AX177" authorId="0" shapeId="0" xr:uid="{E8E2C178-4D89-4DDC-B33D-BF4D6ED4F803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인하</t>
        </r>
      </text>
    </comment>
    <comment ref="G178" authorId="0" shapeId="0" xr:uid="{6CED9617-A3F9-41F8-B4FB-B353727745E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>24.07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N178" authorId="0" shapeId="0" xr:uid="{2BDB2EA4-BD5D-412A-9C55-8463430E73F6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>)010-7209-7648</t>
        </r>
      </text>
    </comment>
    <comment ref="T178" authorId="0" shapeId="0" xr:uid="{522DF09B-8885-4226-A0DA-79C253094925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2003.02~2006.02 </t>
        </r>
        <r>
          <rPr>
            <sz val="9"/>
            <color indexed="81"/>
            <rFont val="돋움"/>
            <family val="3"/>
            <charset val="129"/>
          </rPr>
          <t>성일고등학교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졸업
</t>
        </r>
        <r>
          <rPr>
            <sz val="9"/>
            <color indexed="81"/>
            <rFont val="Tahoma"/>
            <family val="2"/>
          </rPr>
          <t xml:space="preserve">2017.06~2019.07 </t>
        </r>
        <r>
          <rPr>
            <sz val="9"/>
            <color indexed="81"/>
            <rFont val="돋움"/>
            <family val="3"/>
            <charset val="129"/>
          </rPr>
          <t>학점은행제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컴퓨터공학과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전문대졸업예정임</t>
        </r>
        <r>
          <rPr>
            <sz val="9"/>
            <color indexed="81"/>
            <rFont val="Tahoma"/>
            <family val="2"/>
          </rPr>
          <t>)
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AW178" authorId="0" shapeId="0" xr:uid="{28F3DA62-7FA5-4138-91D6-3192C50718F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G179" authorId="0" shapeId="0" xr:uid="{30E4A7FC-9D0E-47B7-9FDA-14245E6A180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2025.07.01</t>
        </r>
        <r>
          <rPr>
            <sz val="9"/>
            <color indexed="81"/>
            <rFont val="돋움"/>
            <family val="3"/>
            <charset val="129"/>
          </rPr>
          <t>부로
대리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</text>
    </comment>
    <comment ref="N179" authorId="0" shapeId="0" xr:uid="{911CD815-C3F0-47A1-9ADF-AE8C4DBA6808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>)010-5771-8000</t>
        </r>
      </text>
    </comment>
    <comment ref="AW179" authorId="0" shapeId="0" xr:uid="{1C1C899E-89E5-42DB-AE46-86F420513A7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L180" authorId="0" shapeId="0" xr:uid="{ACAE4F3D-1A04-441C-8840-D6B37D8EEFA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노용수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후임으로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임사
</t>
        </r>
        <r>
          <rPr>
            <sz val="9"/>
            <color indexed="81"/>
            <rFont val="Tahoma"/>
            <family val="2"/>
          </rPr>
          <t xml:space="preserve">2. 2025.06.01. </t>
        </r>
        <r>
          <rPr>
            <sz val="9"/>
            <color indexed="81"/>
            <rFont val="돋움"/>
            <family val="3"/>
            <charset val="129"/>
          </rPr>
          <t>직무전환</t>
        </r>
        <r>
          <rPr>
            <sz val="9"/>
            <color indexed="81"/>
            <rFont val="Tahoma"/>
            <family val="2"/>
          </rPr>
          <t xml:space="preserve"> 
( </t>
        </r>
        <r>
          <rPr>
            <sz val="9"/>
            <color indexed="81"/>
            <rFont val="돋움"/>
            <family val="3"/>
            <charset val="129"/>
          </rPr>
          <t>시스템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운영원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안전관리원</t>
        </r>
        <r>
          <rPr>
            <sz val="9"/>
            <color indexed="81"/>
            <rFont val="Tahoma"/>
            <family val="2"/>
          </rPr>
          <t xml:space="preserve"> )</t>
        </r>
      </text>
    </comment>
    <comment ref="N180" authorId="0" shapeId="0" xr:uid="{BDD29190-30B2-4AEF-A770-DF1EA99BDDB2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>)010-3359-2669</t>
        </r>
      </text>
    </comment>
    <comment ref="G181" authorId="0" shapeId="0" xr:uid="{8682F42D-9F71-471B-B8F7-B123D5273BA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21.07.01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승진
</t>
        </r>
        <r>
          <rPr>
            <sz val="9"/>
            <color indexed="81"/>
            <rFont val="Tahoma"/>
            <family val="2"/>
          </rPr>
          <t>2025.07.01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H181" authorId="0" shapeId="0" xr:uid="{70B4F7A9-0D42-486B-9B41-53C90EF6240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초급하</t>
        </r>
      </text>
    </comment>
    <comment ref="L181" authorId="0" shapeId="0" xr:uid="{237DC214-5108-48A2-8010-9967FD802F1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2017_</t>
        </r>
        <r>
          <rPr>
            <sz val="9"/>
            <color indexed="81"/>
            <rFont val="돋움"/>
            <family val="3"/>
            <charset val="129"/>
          </rPr>
          <t>신규로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입사
</t>
        </r>
        <r>
          <rPr>
            <sz val="9"/>
            <color indexed="81"/>
            <rFont val="Tahoma"/>
            <family val="2"/>
          </rPr>
          <t xml:space="preserve">2. 2025.06.01. </t>
        </r>
        <r>
          <rPr>
            <sz val="9"/>
            <color indexed="81"/>
            <rFont val="돋움"/>
            <family val="3"/>
            <charset val="129"/>
          </rPr>
          <t>직무전환</t>
        </r>
        <r>
          <rPr>
            <sz val="9"/>
            <color indexed="81"/>
            <rFont val="Tahoma"/>
            <family val="2"/>
          </rPr>
          <t xml:space="preserve"> 
( OP -&gt; </t>
        </r>
        <r>
          <rPr>
            <sz val="9"/>
            <color indexed="81"/>
            <rFont val="돋움"/>
            <family val="3"/>
            <charset val="129"/>
          </rPr>
          <t>안전관리원</t>
        </r>
        <r>
          <rPr>
            <sz val="9"/>
            <color indexed="81"/>
            <rFont val="Tahoma"/>
            <family val="2"/>
          </rPr>
          <t xml:space="preserve"> )</t>
        </r>
      </text>
    </comment>
    <comment ref="N181" authorId="0" shapeId="0" xr:uid="{D85FC5FF-CC02-4FED-8A37-3EC0EA6256CF}">
      <text>
        <r>
          <rPr>
            <b/>
            <sz val="9"/>
            <color indexed="81"/>
            <rFont val="돋움"/>
            <family val="3"/>
            <charset val="129"/>
          </rPr>
          <t>이주헌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부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Tahoma"/>
            <family val="2"/>
          </rPr>
          <t>010-5459-0343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82" authorId="0" shapeId="0" xr:uid="{ED43D6AB-BCE6-4A6F-AF5E-40FE63D3CF8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육아휴직</t>
        </r>
        <r>
          <rPr>
            <sz val="9"/>
            <color indexed="81"/>
            <rFont val="Tahoma"/>
            <family val="2"/>
          </rPr>
          <t>(2024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~ 2024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30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
   </t>
        </r>
        <r>
          <rPr>
            <sz val="9"/>
            <color indexed="81"/>
            <rFont val="돋움"/>
            <family val="3"/>
            <charset val="129"/>
          </rPr>
          <t>복귀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인력</t>
        </r>
        <r>
          <rPr>
            <sz val="9"/>
            <color indexed="81"/>
            <rFont val="Tahoma"/>
            <family val="2"/>
          </rPr>
          <t xml:space="preserve"> Pool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예정임
</t>
        </r>
        <r>
          <rPr>
            <sz val="9"/>
            <color indexed="81"/>
            <rFont val="Tahoma"/>
            <family val="2"/>
          </rPr>
          <t>2. 2025-6-1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 xml:space="preserve"> Pool -&gt; OP </t>
        </r>
        <r>
          <rPr>
            <sz val="9"/>
            <color indexed="81"/>
            <rFont val="돋움"/>
            <family val="3"/>
            <charset val="129"/>
          </rPr>
          <t>정원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이동
</t>
        </r>
        <r>
          <rPr>
            <sz val="9"/>
            <color indexed="81"/>
            <rFont val="Tahoma"/>
            <family val="2"/>
          </rPr>
          <t>3. 2025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7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일부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육아휴직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</text>
    </comment>
    <comment ref="N182" authorId="0" shapeId="0" xr:uid="{C4B71655-7815-4DF3-9FE1-DCB4062C27AD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)010-4535-6032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 xml:space="preserve">)010-5496-6032
</t>
        </r>
        <r>
          <rPr>
            <sz val="9"/>
            <color indexed="81"/>
            <rFont val="돋움"/>
            <family val="3"/>
            <charset val="129"/>
          </rPr>
          <t>누나</t>
        </r>
        <r>
          <rPr>
            <sz val="9"/>
            <color indexed="81"/>
            <rFont val="Tahoma"/>
            <family val="2"/>
          </rPr>
          <t>)010-2439-5930</t>
        </r>
      </text>
    </comment>
    <comment ref="G184" authorId="0" shapeId="0" xr:uid="{5E9F1929-C152-4C45-A9C7-63F952CE234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2025.07.01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승진</t>
        </r>
      </text>
    </comment>
    <comment ref="L184" authorId="0" shapeId="0" xr:uid="{8964F294-01DA-4FD1-8939-60215CE2B14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25.12.31 AIA</t>
        </r>
        <r>
          <rPr>
            <sz val="9"/>
            <color indexed="81"/>
            <rFont val="돋움"/>
            <family val="3"/>
            <charset val="129"/>
          </rPr>
          <t>생명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계약종료
</t>
        </r>
        <r>
          <rPr>
            <sz val="9"/>
            <color indexed="81"/>
            <rFont val="Tahoma"/>
            <family val="2"/>
          </rPr>
          <t>2. 26.1.1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SK HN_</t>
        </r>
        <r>
          <rPr>
            <sz val="9"/>
            <color indexed="81"/>
            <rFont val="돋움"/>
            <family val="3"/>
            <charset val="129"/>
          </rPr>
          <t>이천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(Pool) 
3. 26.2.1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SKHN_</t>
        </r>
        <r>
          <rPr>
            <sz val="9"/>
            <color indexed="81"/>
            <rFont val="돋움"/>
            <family val="3"/>
            <charset val="129"/>
          </rPr>
          <t>이천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이기예</t>
        </r>
        <r>
          <rPr>
            <sz val="9"/>
            <color indexed="81"/>
            <rFont val="Tahoma"/>
            <family val="2"/>
          </rPr>
          <t>(1/31</t>
        </r>
        <r>
          <rPr>
            <sz val="9"/>
            <color indexed="81"/>
            <rFont val="돋움"/>
            <family val="3"/>
            <charset val="129"/>
          </rPr>
          <t>퇴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후임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</t>
        </r>
      </text>
    </comment>
    <comment ref="N184" authorId="0" shapeId="0" xr:uid="{49B3B045-58FF-4DE6-9951-339EEE7D3CC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010-8630-4229</t>
        </r>
      </text>
    </comment>
    <comment ref="AW184" authorId="0" shapeId="0" xr:uid="{19D15A40-8876-46E9-9A6C-D35225AAFA8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N185" authorId="0" shapeId="0" xr:uid="{12439351-0871-4663-B89B-9D596E53DEC2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)010-2380-9187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>)010-8370-9187</t>
        </r>
      </text>
    </comment>
    <comment ref="N186" authorId="0" shapeId="0" xr:uid="{85FA8FBC-C931-41A5-8264-D462C7B08002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)010-3615-6401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 xml:space="preserve">)010-3365-6401
</t>
        </r>
        <r>
          <rPr>
            <sz val="9"/>
            <color indexed="81"/>
            <rFont val="돋움"/>
            <family val="3"/>
            <charset val="129"/>
          </rPr>
          <t>형</t>
        </r>
        <r>
          <rPr>
            <sz val="9"/>
            <color indexed="81"/>
            <rFont val="Tahoma"/>
            <family val="2"/>
          </rPr>
          <t>)010-8636-6401</t>
        </r>
      </text>
    </comment>
    <comment ref="N187" authorId="0" shapeId="0" xr:uid="{C4CBA38C-ABCE-4C5E-B368-636BECA0D1D9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)010-8271-7591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 xml:space="preserve">)010-7730-7591
</t>
        </r>
        <r>
          <rPr>
            <sz val="9"/>
            <color indexed="81"/>
            <rFont val="돋움"/>
            <family val="3"/>
            <charset val="129"/>
          </rPr>
          <t>누나</t>
        </r>
        <r>
          <rPr>
            <sz val="9"/>
            <color indexed="81"/>
            <rFont val="Tahoma"/>
            <family val="2"/>
          </rPr>
          <t xml:space="preserve">)010-3997-7591
</t>
        </r>
        <r>
          <rPr>
            <sz val="9"/>
            <color indexed="81"/>
            <rFont val="돋움"/>
            <family val="3"/>
            <charset val="129"/>
          </rPr>
          <t>누나</t>
        </r>
        <r>
          <rPr>
            <sz val="9"/>
            <color indexed="81"/>
            <rFont val="Tahoma"/>
            <family val="2"/>
          </rPr>
          <t>)010-5528-0322</t>
        </r>
      </text>
    </comment>
    <comment ref="N188" authorId="0" shapeId="0" xr:uid="{C5B19F8F-6886-4E02-A796-1F3460962494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)010-5238-1936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 xml:space="preserve">)010-4663-1935
</t>
        </r>
        <r>
          <rPr>
            <sz val="9"/>
            <color indexed="81"/>
            <rFont val="돋움"/>
            <family val="3"/>
            <charset val="129"/>
          </rPr>
          <t>동생</t>
        </r>
        <r>
          <rPr>
            <sz val="9"/>
            <color indexed="81"/>
            <rFont val="Tahoma"/>
            <family val="2"/>
          </rPr>
          <t>)010-8212-1021</t>
        </r>
      </text>
    </comment>
    <comment ref="AT188" authorId="0" shapeId="0" xr:uid="{15955A3B-49F1-4124-99C8-DE8FAFC3ECB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2025-7-1 </t>
        </r>
        <r>
          <rPr>
            <sz val="9"/>
            <color indexed="81"/>
            <rFont val="돋움"/>
            <family val="3"/>
            <charset val="129"/>
          </rPr>
          <t>근무형태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N189" authorId="0" shapeId="0" xr:uid="{D7D50BC3-2B3F-421A-8F03-877D4FCBF893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배우자</t>
        </r>
        <r>
          <rPr>
            <sz val="9"/>
            <color indexed="81"/>
            <rFont val="Tahoma"/>
            <family val="2"/>
          </rPr>
          <t>) 010-7509-3256</t>
        </r>
      </text>
    </comment>
    <comment ref="L190" authorId="0" shapeId="0" xr:uid="{5D29C5D4-B921-4B54-AC71-55E753EB20A5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2025-10-22 </t>
        </r>
        <r>
          <rPr>
            <sz val="9"/>
            <color indexed="81"/>
            <rFont val="돋움"/>
            <family val="3"/>
            <charset val="129"/>
          </rPr>
          <t>직무전환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상황실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구축</t>
        </r>
        <r>
          <rPr>
            <sz val="9"/>
            <color indexed="81"/>
            <rFont val="Tahoma"/>
            <family val="2"/>
          </rPr>
          <t>)</t>
        </r>
      </text>
    </comment>
    <comment ref="N190" authorId="0" shapeId="0" xr:uid="{A55D537D-1FEC-457B-A580-3DB46B9106B6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)010-6234-5372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 xml:space="preserve">)010-6277-1693
</t>
        </r>
        <r>
          <rPr>
            <sz val="9"/>
            <color indexed="81"/>
            <rFont val="돋움"/>
            <family val="3"/>
            <charset val="129"/>
          </rPr>
          <t>형</t>
        </r>
        <r>
          <rPr>
            <sz val="9"/>
            <color indexed="81"/>
            <rFont val="Tahoma"/>
            <family val="2"/>
          </rPr>
          <t>)010-7179-1693</t>
        </r>
      </text>
    </comment>
    <comment ref="AW190" authorId="0" shapeId="0" xr:uid="{49DA64DC-E413-4A34-A75E-05A3E740DA0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AX190" authorId="0" shapeId="0" xr:uid="{3CA66DC5-5140-4001-8E67-0FA8D9C54FA5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N191" authorId="0" shapeId="0" xr:uid="{730FF5C0-0E1C-4BC8-AB50-030C2752A87E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)010-3073-0336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 xml:space="preserve">)010-3456-5616
</t>
        </r>
        <r>
          <rPr>
            <sz val="9"/>
            <color indexed="81"/>
            <rFont val="돋움"/>
            <family val="3"/>
            <charset val="129"/>
          </rPr>
          <t>누나</t>
        </r>
        <r>
          <rPr>
            <sz val="9"/>
            <color indexed="81"/>
            <rFont val="Tahoma"/>
            <family val="2"/>
          </rPr>
          <t>)010-6625-0336</t>
        </r>
      </text>
    </comment>
    <comment ref="N192" authorId="0" shapeId="0" xr:uid="{4EB077CF-FA35-4A90-AECC-A1F6B91707D8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)010-2574-9086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>)010-7712-9086</t>
        </r>
      </text>
    </comment>
    <comment ref="N193" authorId="0" shapeId="0" xr:uid="{D930ABA1-006D-4430-B96D-2215C2152B82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)010-3409-0454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>)010-6205-4776</t>
        </r>
      </text>
    </comment>
    <comment ref="AW193" authorId="0" shapeId="0" xr:uid="{16F288D5-EF88-4E08-A241-27E9B168B00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인상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>이규범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후임으로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투입
</t>
        </r>
        <r>
          <rPr>
            <sz val="9"/>
            <color indexed="81"/>
            <rFont val="Tahoma"/>
            <family val="2"/>
          </rPr>
          <t xml:space="preserve"> -&gt; 26,01 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SKT &amp; SK AX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있슴</t>
        </r>
        <r>
          <rPr>
            <sz val="9"/>
            <color indexed="81"/>
            <rFont val="Tahoma"/>
            <family val="2"/>
          </rPr>
          <t xml:space="preserve">  ( </t>
        </r>
        <r>
          <rPr>
            <sz val="9"/>
            <color indexed="81"/>
            <rFont val="돋움"/>
            <family val="3"/>
            <charset val="129"/>
          </rPr>
          <t>중급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초급</t>
        </r>
        <r>
          <rPr>
            <sz val="9"/>
            <color indexed="81"/>
            <rFont val="Tahoma"/>
            <family val="2"/>
          </rPr>
          <t xml:space="preserve"> )</t>
        </r>
      </text>
    </comment>
    <comment ref="N194" authorId="0" shapeId="0" xr:uid="{FBF62C47-325C-430E-9FDB-B094D38539C1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)010-8783-6539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 xml:space="preserve">)010-9196-6529
</t>
        </r>
        <r>
          <rPr>
            <sz val="9"/>
            <color indexed="81"/>
            <rFont val="돋움"/>
            <family val="3"/>
            <charset val="129"/>
          </rPr>
          <t>동생</t>
        </r>
        <r>
          <rPr>
            <sz val="9"/>
            <color indexed="81"/>
            <rFont val="Tahoma"/>
            <family val="2"/>
          </rPr>
          <t>)010-5177-6539</t>
        </r>
      </text>
    </comment>
    <comment ref="N196" authorId="0" shapeId="0" xr:uid="{3FEEFE6C-DBF3-434B-806A-310E3CB3338E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)010-4195-5492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>)010-3103-5492</t>
        </r>
      </text>
    </comment>
    <comment ref="N197" authorId="0" shapeId="0" xr:uid="{FFE987A4-4764-4E62-B739-B4DDEE1AE672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)010-8785-9414
</t>
        </r>
        <r>
          <rPr>
            <sz val="9"/>
            <color indexed="81"/>
            <rFont val="돋움"/>
            <family val="3"/>
            <charset val="129"/>
          </rPr>
          <t>동생</t>
        </r>
        <r>
          <rPr>
            <sz val="9"/>
            <color indexed="81"/>
            <rFont val="Tahoma"/>
            <family val="2"/>
          </rPr>
          <t>)010-5492-6936</t>
        </r>
      </text>
    </comment>
    <comment ref="N199" authorId="0" shapeId="0" xr:uid="{E55ED6FF-8914-41F2-80B7-F53DB81944B9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배우자</t>
        </r>
        <r>
          <rPr>
            <sz val="9"/>
            <color indexed="81"/>
            <rFont val="Tahoma"/>
            <family val="2"/>
          </rPr>
          <t>)010-2460-4384</t>
        </r>
      </text>
    </comment>
    <comment ref="AN199" authorId="0" shapeId="0" xr:uid="{22DE5552-854B-45CE-BE40-7B711E52975B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등본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주소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부산광역시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흑교로</t>
        </r>
        <r>
          <rPr>
            <sz val="9"/>
            <color indexed="81"/>
            <rFont val="Tahoma"/>
            <family val="2"/>
          </rPr>
          <t>64</t>
        </r>
        <r>
          <rPr>
            <sz val="9"/>
            <color indexed="81"/>
            <rFont val="돋움"/>
            <family val="3"/>
            <charset val="129"/>
          </rPr>
          <t>번길</t>
        </r>
        <r>
          <rPr>
            <sz val="9"/>
            <color indexed="81"/>
            <rFont val="Tahoma"/>
            <family val="2"/>
          </rPr>
          <t xml:space="preserve"> 1-8</t>
        </r>
      </text>
    </comment>
    <comment ref="AT199" authorId="0" shapeId="0" xr:uid="{7D74D271-E583-483C-9AF0-3C5A93353E8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2025-7-1 </t>
        </r>
        <r>
          <rPr>
            <sz val="9"/>
            <color indexed="81"/>
            <rFont val="돋움"/>
            <family val="3"/>
            <charset val="129"/>
          </rPr>
          <t>근무형태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N200" authorId="0" shapeId="0" xr:uid="{228DDB14-08F2-4C88-8477-DE1E2063B7AA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 xml:space="preserve">)010-3819-1497
</t>
        </r>
        <r>
          <rPr>
            <sz val="9"/>
            <color indexed="81"/>
            <rFont val="돋움"/>
            <family val="3"/>
            <charset val="129"/>
          </rPr>
          <t>형</t>
        </r>
        <r>
          <rPr>
            <sz val="9"/>
            <color indexed="81"/>
            <rFont val="Tahoma"/>
            <family val="2"/>
          </rPr>
          <t>)010-8430-4279</t>
        </r>
      </text>
    </comment>
    <comment ref="N201" authorId="0" shapeId="0" xr:uid="{A5A8EA71-780D-4503-871F-4561F643B2ED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)010-2419-0846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 xml:space="preserve">)010-2427-0846
</t>
        </r>
        <r>
          <rPr>
            <sz val="9"/>
            <color indexed="81"/>
            <rFont val="돋움"/>
            <family val="3"/>
            <charset val="129"/>
          </rPr>
          <t>오빠</t>
        </r>
        <r>
          <rPr>
            <sz val="9"/>
            <color indexed="81"/>
            <rFont val="Tahoma"/>
            <family val="2"/>
          </rPr>
          <t>)010-5833-0846</t>
        </r>
      </text>
    </comment>
    <comment ref="N202" authorId="0" shapeId="0" xr:uid="{32143E3A-9C62-4D4D-B712-DC45E22B08EE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)010-6380-6680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 xml:space="preserve">)010-3810-3670
</t>
        </r>
        <r>
          <rPr>
            <sz val="9"/>
            <color indexed="81"/>
            <rFont val="돋움"/>
            <family val="3"/>
            <charset val="129"/>
          </rPr>
          <t>형</t>
        </r>
        <r>
          <rPr>
            <sz val="9"/>
            <color indexed="81"/>
            <rFont val="Tahoma"/>
            <family val="2"/>
          </rPr>
          <t>)010-7317-3670</t>
        </r>
      </text>
    </comment>
    <comment ref="L203" authorId="0" shapeId="0" xr:uid="{C374FAB3-6474-4E67-83E8-296D6A01A13B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직무전환</t>
        </r>
        <r>
          <rPr>
            <sz val="9"/>
            <color indexed="81"/>
            <rFont val="Tahoma"/>
            <family val="2"/>
          </rPr>
          <t xml:space="preserve"> (1/20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>)
SKB_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네트워크구축</t>
        </r>
        <r>
          <rPr>
            <sz val="9"/>
            <color indexed="81"/>
            <rFont val="Tahoma"/>
            <family val="2"/>
          </rPr>
          <t xml:space="preserve"> 2026_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-&gt; SKT</t>
        </r>
        <r>
          <rPr>
            <sz val="9"/>
            <color indexed="81"/>
            <rFont val="돋움"/>
            <family val="3"/>
            <charset val="129"/>
          </rPr>
          <t>보안</t>
        </r>
        <r>
          <rPr>
            <sz val="9"/>
            <color indexed="81"/>
            <rFont val="Tahoma"/>
            <family val="2"/>
          </rPr>
          <t xml:space="preserve"> 2026_</t>
        </r>
        <r>
          <rPr>
            <sz val="9"/>
            <color indexed="81"/>
            <rFont val="돋움"/>
            <family val="3"/>
            <charset val="129"/>
          </rPr>
          <t>신규</t>
        </r>
      </text>
    </comment>
    <comment ref="N203" authorId="0" shapeId="0" xr:uid="{10459B07-FAC6-45B7-827D-ADD403577C5E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)010-9511-3029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>)010-9290-3029</t>
        </r>
      </text>
    </comment>
    <comment ref="H204" authorId="0" shapeId="0" xr:uid="{01B84443-CE1B-4B79-B660-959DE150516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부토
초급상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중급하</t>
        </r>
      </text>
    </comment>
    <comment ref="N204" authorId="0" shapeId="0" xr:uid="{2AC9CFC3-D460-42C1-9D34-7A830EF650E6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 xml:space="preserve">)010-2691-2686
</t>
        </r>
        <r>
          <rPr>
            <sz val="9"/>
            <color indexed="81"/>
            <rFont val="돋움"/>
            <family val="3"/>
            <charset val="129"/>
          </rPr>
          <t>누나</t>
        </r>
        <r>
          <rPr>
            <sz val="9"/>
            <color indexed="81"/>
            <rFont val="Tahoma"/>
            <family val="2"/>
          </rPr>
          <t>)010-2261-0625</t>
        </r>
      </text>
    </comment>
    <comment ref="N205" authorId="0" shapeId="0" xr:uid="{A1E7DA8E-A4C5-4E8B-9282-CB793D7AE759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)010-9190-8769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>)010-3786-0691</t>
        </r>
      </text>
    </comment>
    <comment ref="N206" authorId="0" shapeId="0" xr:uid="{A31BDA08-9AA9-47F6-BF67-C4757D8D0E21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)010-8949-8425
</t>
        </r>
        <r>
          <rPr>
            <sz val="9"/>
            <color indexed="81"/>
            <rFont val="돋움"/>
            <family val="3"/>
            <charset val="129"/>
          </rPr>
          <t>동생</t>
        </r>
        <r>
          <rPr>
            <sz val="9"/>
            <color indexed="81"/>
            <rFont val="Tahoma"/>
            <family val="2"/>
          </rPr>
          <t>)010-3186-2590</t>
        </r>
      </text>
    </comment>
    <comment ref="N207" authorId="0" shapeId="0" xr:uid="{0A296862-05F6-42D9-BCB8-EB7809F17CE7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)010-3716-0552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>)010-7471-7475</t>
        </r>
      </text>
    </comment>
    <comment ref="N208" authorId="0" shapeId="0" xr:uid="{14A0B6F3-FB60-4EB3-947E-21FC21BB6208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)010-2398-8248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 xml:space="preserve">)010-5109-8248
</t>
        </r>
        <r>
          <rPr>
            <sz val="9"/>
            <color indexed="81"/>
            <rFont val="돋움"/>
            <family val="3"/>
            <charset val="129"/>
          </rPr>
          <t>누나</t>
        </r>
        <r>
          <rPr>
            <sz val="9"/>
            <color indexed="81"/>
            <rFont val="Tahoma"/>
            <family val="2"/>
          </rPr>
          <t>)010-5107-8248</t>
        </r>
      </text>
    </comment>
    <comment ref="N209" authorId="0" shapeId="0" xr:uid="{8FB27391-5246-4C93-AFDE-859535DB143C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</t>
        </r>
        <r>
          <rPr>
            <sz val="9"/>
            <color indexed="81"/>
            <rFont val="Tahoma"/>
            <family val="2"/>
          </rPr>
          <t>)010-8529-2303</t>
        </r>
      </text>
    </comment>
    <comment ref="N210" authorId="0" shapeId="0" xr:uid="{059CFC83-B215-4F42-84E6-6248DF0E9A56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)010-5546-9915
</t>
        </r>
        <r>
          <rPr>
            <sz val="9"/>
            <color indexed="81"/>
            <rFont val="돋움"/>
            <family val="3"/>
            <charset val="129"/>
          </rPr>
          <t>언니</t>
        </r>
        <r>
          <rPr>
            <sz val="9"/>
            <color indexed="81"/>
            <rFont val="Tahoma"/>
            <family val="2"/>
          </rPr>
          <t>)010-9948-9915</t>
        </r>
      </text>
    </comment>
    <comment ref="N211" authorId="0" shapeId="0" xr:uid="{FC92F46A-D3D9-4607-AC25-95E17150716A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)010-5324-6221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 xml:space="preserve">)010-5290-6221
</t>
        </r>
        <r>
          <rPr>
            <sz val="9"/>
            <color indexed="81"/>
            <rFont val="돋움"/>
            <family val="3"/>
            <charset val="129"/>
          </rPr>
          <t>동생</t>
        </r>
        <r>
          <rPr>
            <sz val="9"/>
            <color indexed="81"/>
            <rFont val="Tahoma"/>
            <family val="2"/>
          </rPr>
          <t>)010-5743-6221</t>
        </r>
      </text>
    </comment>
    <comment ref="N212" authorId="0" shapeId="0" xr:uid="{0C74F157-8125-47DE-8B99-85327870A30D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)010-5327-0543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 xml:space="preserve">)010-4450-5858
</t>
        </r>
        <r>
          <rPr>
            <sz val="9"/>
            <color indexed="81"/>
            <rFont val="돋움"/>
            <family val="3"/>
            <charset val="129"/>
          </rPr>
          <t>형</t>
        </r>
        <r>
          <rPr>
            <sz val="9"/>
            <color indexed="81"/>
            <rFont val="Tahoma"/>
            <family val="2"/>
          </rPr>
          <t>)010-2012-8332</t>
        </r>
      </text>
    </comment>
    <comment ref="G213" authorId="0" shapeId="0" xr:uid="{254835E6-6192-47A0-9DCA-08E4F7160FB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23.07 </t>
        </r>
        <r>
          <rPr>
            <sz val="9"/>
            <color indexed="81"/>
            <rFont val="돋움"/>
            <family val="3"/>
            <charset val="129"/>
          </rPr>
          <t>승진
사원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대리</t>
        </r>
      </text>
    </comment>
    <comment ref="N213" authorId="0" shapeId="0" xr:uid="{A28FB700-1464-49ED-BF42-E8D815EC7196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)010-4764-2277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>)010-5282-3572</t>
        </r>
      </text>
    </comment>
    <comment ref="AN213" authorId="0" shapeId="0" xr:uid="{55565818-B45C-4F38-8652-6307340F9467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인천광역시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남동구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백범로</t>
        </r>
        <r>
          <rPr>
            <sz val="9"/>
            <color indexed="81"/>
            <rFont val="Tahoma"/>
            <family val="2"/>
          </rPr>
          <t xml:space="preserve"> 398-1, 404</t>
        </r>
        <r>
          <rPr>
            <sz val="9"/>
            <color indexed="81"/>
            <rFont val="돋움"/>
            <family val="3"/>
            <charset val="129"/>
          </rPr>
          <t>호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간석동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다솜팔라시오</t>
        </r>
        <r>
          <rPr>
            <sz val="9"/>
            <color indexed="81"/>
            <rFont val="Tahoma"/>
            <family val="2"/>
          </rPr>
          <t>)</t>
        </r>
      </text>
    </comment>
    <comment ref="AR213" authorId="0" shapeId="0" xr:uid="{28899713-FBC0-4C33-BCBB-44F1F06D151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21.8.31</t>
        </r>
        <r>
          <rPr>
            <sz val="9"/>
            <color indexed="81"/>
            <rFont val="돋움"/>
            <family val="3"/>
            <charset val="129"/>
          </rPr>
          <t>일자로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</text>
    </comment>
    <comment ref="AW213" authorId="0" shapeId="0" xr:uid="{EF9595C9-43C0-4779-B147-4136BFB3AB7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R213" authorId="0" shapeId="0" xr:uid="{1F013CB0-8448-460A-B045-622ED1FA521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사수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부사수별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평균</t>
        </r>
        <r>
          <rPr>
            <sz val="9"/>
            <color indexed="81"/>
            <rFont val="Tahoma"/>
            <family val="2"/>
          </rPr>
          <t xml:space="preserve"> 250,000 </t>
        </r>
        <r>
          <rPr>
            <sz val="9"/>
            <color indexed="81"/>
            <rFont val="돋움"/>
            <family val="3"/>
            <charset val="129"/>
          </rPr>
          <t>원으로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</text>
    </comment>
    <comment ref="N214" authorId="0" shapeId="0" xr:uid="{7FD38E7B-ABEA-40B4-AA25-D0130BAFF4DE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)010-2002-9806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 xml:space="preserve">)010-4324-9806
</t>
        </r>
        <r>
          <rPr>
            <sz val="9"/>
            <color indexed="81"/>
            <rFont val="돋움"/>
            <family val="3"/>
            <charset val="129"/>
          </rPr>
          <t>누나</t>
        </r>
        <r>
          <rPr>
            <sz val="9"/>
            <color indexed="81"/>
            <rFont val="Tahoma"/>
            <family val="2"/>
          </rPr>
          <t>)010-3361-9806</t>
        </r>
      </text>
    </comment>
    <comment ref="AW214" authorId="0" shapeId="0" xr:uid="{E56F2D54-A7CA-4F52-B463-BEE28776D003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25.07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L215" authorId="0" shapeId="0" xr:uid="{567A477C-79EE-488E-9AD5-7583CBB522AB}">
      <text>
        <r>
          <rPr>
            <sz val="11"/>
            <color theme="1"/>
            <rFont val="맑은 고딕"/>
            <family val="3"/>
            <charset val="129"/>
            <scheme val="minor"/>
          </rPr>
          <t>1. 2025/03/04
 Pool -&gt; 전재철 후임 이동</t>
        </r>
      </text>
    </comment>
    <comment ref="N215" authorId="0" shapeId="0" xr:uid="{08743F58-A991-4693-8478-4B1A6C01C63E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)010-3652-9392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 xml:space="preserve">)010-6657-8617
</t>
        </r>
        <r>
          <rPr>
            <sz val="9"/>
            <color indexed="81"/>
            <rFont val="돋움"/>
            <family val="3"/>
            <charset val="129"/>
          </rPr>
          <t>형</t>
        </r>
        <r>
          <rPr>
            <sz val="9"/>
            <color indexed="81"/>
            <rFont val="Tahoma"/>
            <family val="2"/>
          </rPr>
          <t>)010-6313-8617</t>
        </r>
      </text>
    </comment>
    <comment ref="N216" authorId="0" shapeId="0" xr:uid="{6C416C7C-5D3D-4C9B-937C-A97DEF62C0D2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배우자</t>
        </r>
        <r>
          <rPr>
            <sz val="9"/>
            <color indexed="81"/>
            <rFont val="Tahoma"/>
            <family val="2"/>
          </rPr>
          <t xml:space="preserve">)010-7496-6786
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)010-3515-6265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>)010-9358-6265</t>
        </r>
      </text>
    </comment>
    <comment ref="N217" authorId="0" shapeId="0" xr:uid="{722344B8-81FF-4C08-95C5-A25ED893071C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배우자</t>
        </r>
        <r>
          <rPr>
            <sz val="9"/>
            <color indexed="81"/>
            <rFont val="Tahoma"/>
            <family val="2"/>
          </rPr>
          <t>)010-2988-4320</t>
        </r>
      </text>
    </comment>
    <comment ref="N218" authorId="0" shapeId="0" xr:uid="{6D813CB8-087A-4025-B83F-D33DE08B39D5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배우자</t>
        </r>
        <r>
          <rPr>
            <sz val="9"/>
            <color indexed="81"/>
            <rFont val="Tahoma"/>
            <family val="2"/>
          </rPr>
          <t>)010-8670-1682</t>
        </r>
      </text>
    </comment>
    <comment ref="H219" authorId="0" shapeId="0" xr:uid="{D4E3C97F-4C71-4692-A0D8-0826A113D25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22.08</t>
        </r>
        <r>
          <rPr>
            <sz val="9"/>
            <color indexed="81"/>
            <rFont val="돋움"/>
            <family val="3"/>
            <charset val="129"/>
          </rPr>
          <t>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
고능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초급하</t>
        </r>
      </text>
    </comment>
    <comment ref="K219" authorId="0" shapeId="0" xr:uid="{0056B3E4-FA92-4DDD-BA27-F786D95C603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2026.04.01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직무전환
서비스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엔지니어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서버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엔지니어
</t>
        </r>
      </text>
    </comment>
    <comment ref="N219" authorId="0" shapeId="0" xr:uid="{698619BD-F95C-4645-A4E5-233DF5049719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)010-9876-0133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>)010-4188-5180</t>
        </r>
      </text>
    </comment>
    <comment ref="N220" authorId="0" shapeId="0" xr:uid="{898DFD2D-754F-467D-8882-55207029AAE3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)010-4321-7638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 xml:space="preserve">)010-8977-7638
</t>
        </r>
        <r>
          <rPr>
            <sz val="9"/>
            <color indexed="81"/>
            <rFont val="돋움"/>
            <family val="3"/>
            <charset val="129"/>
          </rPr>
          <t>누나</t>
        </r>
        <r>
          <rPr>
            <sz val="9"/>
            <color indexed="81"/>
            <rFont val="Tahoma"/>
            <family val="2"/>
          </rPr>
          <t>)010-5535-7638</t>
        </r>
      </text>
    </comment>
    <comment ref="AL220" authorId="0" shapeId="0" xr:uid="{629E00FB-DFC8-4DC7-A75F-68ACC372083C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17.12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26</t>
        </r>
        <r>
          <rPr>
            <sz val="9"/>
            <color indexed="81"/>
            <rFont val="돋움"/>
            <family val="3"/>
            <charset val="129"/>
          </rPr>
          <t>일부로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판교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정자
근무지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이동
</t>
        </r>
      </text>
    </comment>
    <comment ref="N223" authorId="0" shapeId="0" xr:uid="{9E23C944-6C62-4B49-884C-1733CB8D1ED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)010-2236-3740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 xml:space="preserve">)010-3785-3740
</t>
        </r>
        <r>
          <rPr>
            <sz val="9"/>
            <color indexed="81"/>
            <rFont val="돋움"/>
            <family val="3"/>
            <charset val="129"/>
          </rPr>
          <t>동생</t>
        </r>
        <r>
          <rPr>
            <sz val="9"/>
            <color indexed="81"/>
            <rFont val="Tahoma"/>
            <family val="2"/>
          </rPr>
          <t>)010-5346-3740</t>
        </r>
      </text>
    </comment>
    <comment ref="N224" authorId="0" shapeId="0" xr:uid="{8FCCA5B4-2717-42FF-B1C4-2913178112DE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</t>
        </r>
        <r>
          <rPr>
            <sz val="9"/>
            <color indexed="81"/>
            <rFont val="Tahoma"/>
            <family val="2"/>
          </rPr>
          <t xml:space="preserve">)010-3660-5508
</t>
        </r>
        <r>
          <rPr>
            <sz val="9"/>
            <color indexed="81"/>
            <rFont val="돋움"/>
            <family val="3"/>
            <charset val="129"/>
          </rPr>
          <t>모</t>
        </r>
        <r>
          <rPr>
            <sz val="9"/>
            <color indexed="81"/>
            <rFont val="Tahoma"/>
            <family val="2"/>
          </rPr>
          <t>)010-8234-5580</t>
        </r>
      </text>
    </comment>
  </commentList>
</comments>
</file>

<file path=xl/sharedStrings.xml><?xml version="1.0" encoding="utf-8"?>
<sst xmlns="http://schemas.openxmlformats.org/spreadsheetml/2006/main" count="8251" uniqueCount="2829">
  <si>
    <t>별첨1. DT사업1팀 교대근무자 시간외근로수당 내역 (2026년 4월)</t>
  </si>
  <si>
    <t>No.</t>
  </si>
  <si>
    <t>사번</t>
  </si>
  <si>
    <t>성명</t>
  </si>
  <si>
    <t>직급</t>
  </si>
  <si>
    <t>단위 조직</t>
  </si>
  <si>
    <t>구분</t>
  </si>
  <si>
    <t>근무 날짜</t>
  </si>
  <si>
    <t>근무 시간</t>
  </si>
  <si>
    <t>근로수당 현황</t>
  </si>
  <si>
    <t>통상시급</t>
  </si>
  <si>
    <t>지급 비용</t>
  </si>
  <si>
    <t>기본 근로수당</t>
  </si>
  <si>
    <t>연장 근로수당</t>
  </si>
  <si>
    <t>야간 근로수당</t>
  </si>
  <si>
    <t>시간</t>
  </si>
  <si>
    <t>요율</t>
  </si>
  <si>
    <t>수당</t>
  </si>
  <si>
    <t>2024023</t>
  </si>
  <si>
    <t>박건우</t>
  </si>
  <si>
    <t>-</t>
  </si>
  <si>
    <t>SKB동작국사</t>
  </si>
  <si>
    <t>연장근무</t>
  </si>
  <si>
    <t>2026.04.02</t>
  </si>
  <si>
    <t>2014102</t>
  </si>
  <si>
    <t>박성호</t>
  </si>
  <si>
    <t>2026.04.03</t>
  </si>
  <si>
    <t>2020091</t>
  </si>
  <si>
    <t>고현재</t>
  </si>
  <si>
    <t>2026.04.10</t>
  </si>
  <si>
    <t>2026011</t>
  </si>
  <si>
    <t>주향모</t>
  </si>
  <si>
    <t>2026.04.24</t>
  </si>
  <si>
    <t>2026.04.30</t>
  </si>
  <si>
    <t>소   계</t>
  </si>
  <si>
    <t>합   계</t>
  </si>
  <si>
    <t>합계</t>
  </si>
  <si>
    <t>1. 법정공휴일</t>
  </si>
  <si>
    <t>법정공휴일, 공휴일, 휴일근로로 분류된 근무에 적용됩니다.</t>
  </si>
  <si>
    <t>적용 요율: 2026.2 (2026.7.1 ~ 미정)</t>
  </si>
  <si>
    <t>적용 배수: 기본 x1.5 / 연장 x1.5 / 야간 x1.5</t>
  </si>
  <si>
    <t>계산식 1: 기본수당 = 시급 x 기본시간 x1.5</t>
  </si>
  <si>
    <t>계산식 2: 연장수당 = 시급 x 연장시간 x1.5</t>
  </si>
  <si>
    <t>계산식 3: 야간수당 = 시급 x 야간시간 x1.5</t>
  </si>
  <si>
    <t>2. 평_대체근로수당</t>
  </si>
  <si>
    <t>평일에 발생한 대체근무에 적용됩니다.</t>
  </si>
  <si>
    <t>적용 배수: 기본 x1.5 / 연장 x2 / 야간 x2.5</t>
  </si>
  <si>
    <t>계산식 2: 연장수당 = 시급 x 연장시간 x2</t>
  </si>
  <si>
    <t>계산식 3: 야간수당 = 시급 x 야간시간 x2.5</t>
  </si>
  <si>
    <t>3. 휴_대체근로수당</t>
  </si>
  <si>
    <t>휴일에 발생한 대체근무에 적용됩니다.</t>
  </si>
  <si>
    <t>4. 평_연장근로수당</t>
  </si>
  <si>
    <t>평일 연장근무에 적용됩니다.</t>
  </si>
  <si>
    <t>적용 배수: 기본 x0 / 연장 x1.5 / 야간 x2</t>
  </si>
  <si>
    <t>계산식 1: 기본수당 = 시급 x 기본시간 x0</t>
  </si>
  <si>
    <t>계산식 3: 야간수당 = 시급 x 야간시간 x2</t>
  </si>
  <si>
    <t>5. 휴_연장근로수당</t>
  </si>
  <si>
    <t>휴일 연장근무 분류용 기준이며 현재는 별도 지급 없이 x0 기준을 사용합니다.</t>
  </si>
  <si>
    <t>적용 배수: 기본 x0 / 연장 x0 / 야간 x0</t>
  </si>
  <si>
    <t>계산식 2: 연장수당 = 시급 x 연장시간 x0</t>
  </si>
  <si>
    <t>계산식 3: 야간수당 = 시급 x 야간시간 x0</t>
  </si>
  <si>
    <t>2026년 최저시급</t>
    <phoneticPr fontId="14" type="noConversion"/>
  </si>
  <si>
    <t>No.</t>
    <phoneticPr fontId="20" type="noConversion"/>
  </si>
  <si>
    <t>개인정보제공
동의서 수령</t>
    <phoneticPr fontId="21" type="noConversion"/>
  </si>
  <si>
    <t>사원번호</t>
    <phoneticPr fontId="14" type="noConversion"/>
  </si>
  <si>
    <t>고객사담당자</t>
    <phoneticPr fontId="14" type="noConversion"/>
  </si>
  <si>
    <t>현장대리인</t>
    <phoneticPr fontId="14" type="noConversion"/>
  </si>
  <si>
    <t>성명</t>
    <phoneticPr fontId="14" type="noConversion"/>
  </si>
  <si>
    <t>직급</t>
    <phoneticPr fontId="21" type="noConversion"/>
  </si>
  <si>
    <t>기술등급</t>
    <phoneticPr fontId="21" type="noConversion"/>
  </si>
  <si>
    <t>계약등급</t>
    <phoneticPr fontId="14" type="noConversion"/>
  </si>
  <si>
    <t>계약형태</t>
    <phoneticPr fontId="14" type="noConversion"/>
  </si>
  <si>
    <t>직무명</t>
    <phoneticPr fontId="21" type="noConversion"/>
  </si>
  <si>
    <t>비고</t>
    <phoneticPr fontId="21" type="noConversion"/>
  </si>
  <si>
    <t>사무실</t>
    <phoneticPr fontId="21" type="noConversion"/>
  </si>
  <si>
    <t>핸드폰</t>
    <phoneticPr fontId="21" type="noConversion"/>
  </si>
  <si>
    <t>e메일</t>
    <phoneticPr fontId="21" type="noConversion"/>
  </si>
  <si>
    <t>생년월일</t>
    <phoneticPr fontId="20" type="noConversion"/>
  </si>
  <si>
    <t>경력기준일</t>
    <phoneticPr fontId="21" type="noConversion"/>
  </si>
  <si>
    <t>입사일1</t>
    <phoneticPr fontId="21" type="noConversion"/>
  </si>
  <si>
    <t>입사일2
(플러스 전환)</t>
    <phoneticPr fontId="14" type="noConversion"/>
  </si>
  <si>
    <t>출신교</t>
  </si>
  <si>
    <t>전공학과</t>
  </si>
  <si>
    <t>최종학력</t>
    <phoneticPr fontId="20" type="noConversion"/>
  </si>
  <si>
    <t>자격증 1</t>
    <phoneticPr fontId="20" type="noConversion"/>
  </si>
  <si>
    <t>자격증2</t>
  </si>
  <si>
    <t>자격증 3</t>
    <phoneticPr fontId="20" type="noConversion"/>
  </si>
  <si>
    <t>총경력</t>
    <phoneticPr fontId="21" type="noConversion"/>
  </si>
  <si>
    <t>근속기간</t>
    <phoneticPr fontId="21" type="noConversion"/>
  </si>
  <si>
    <t>퇴사일
or 프리계약 
종료일</t>
    <phoneticPr fontId="21" type="noConversion"/>
  </si>
  <si>
    <t>퇴사사유</t>
    <phoneticPr fontId="14" type="noConversion"/>
  </si>
  <si>
    <t>근무지1</t>
    <phoneticPr fontId="21" type="noConversion"/>
  </si>
  <si>
    <r>
      <t>근무지2</t>
    </r>
    <r>
      <rPr>
        <sz val="11"/>
        <rFont val="맑은 고딕"/>
        <family val="3"/>
        <charset val="129"/>
        <scheme val="minor"/>
      </rPr>
      <t>_최종</t>
    </r>
    <phoneticPr fontId="21" type="noConversion"/>
  </si>
  <si>
    <t>2025
_사업분류</t>
    <phoneticPr fontId="21" type="noConversion"/>
  </si>
  <si>
    <t>2026
_사업분류</t>
    <phoneticPr fontId="21" type="noConversion"/>
  </si>
  <si>
    <t>매출처</t>
    <phoneticPr fontId="21" type="noConversion"/>
  </si>
  <si>
    <t>On-Site</t>
    <phoneticPr fontId="14" type="noConversion"/>
  </si>
  <si>
    <t>의욕관리대상</t>
    <phoneticPr fontId="21" type="noConversion"/>
  </si>
  <si>
    <t>우편번호</t>
    <phoneticPr fontId="21" type="noConversion"/>
  </si>
  <si>
    <t>근무지주소(신)</t>
    <phoneticPr fontId="21" type="noConversion"/>
  </si>
  <si>
    <t>집우편번호</t>
    <phoneticPr fontId="21" type="noConversion"/>
  </si>
  <si>
    <t>집주소(신)</t>
    <phoneticPr fontId="21" type="noConversion"/>
  </si>
  <si>
    <t>고객사소속팀</t>
    <phoneticPr fontId="21" type="noConversion"/>
  </si>
  <si>
    <r>
      <t>P</t>
    </r>
    <r>
      <rPr>
        <sz val="11"/>
        <rFont val="맑은 고딕"/>
        <family val="3"/>
        <charset val="129"/>
        <scheme val="minor"/>
      </rPr>
      <t>art</t>
    </r>
    <phoneticPr fontId="21" type="noConversion"/>
  </si>
  <si>
    <t>담당업무1</t>
    <phoneticPr fontId="21" type="noConversion"/>
  </si>
  <si>
    <t>담당업무2</t>
    <phoneticPr fontId="21" type="noConversion"/>
  </si>
  <si>
    <t>계약명/Pjt명</t>
    <phoneticPr fontId="20" type="noConversion"/>
  </si>
  <si>
    <t>근무유형</t>
    <phoneticPr fontId="21" type="noConversion"/>
  </si>
  <si>
    <t>소속구분</t>
    <phoneticPr fontId="21" type="noConversion"/>
  </si>
  <si>
    <t>소속사</t>
    <phoneticPr fontId="21" type="noConversion"/>
  </si>
  <si>
    <t>월매출단가_직전</t>
    <phoneticPr fontId="14" type="noConversion"/>
  </si>
  <si>
    <t xml:space="preserve">월매출단가_현재 </t>
    <phoneticPr fontId="14" type="noConversion"/>
  </si>
  <si>
    <t>M/M</t>
    <phoneticPr fontId="21" type="noConversion"/>
  </si>
  <si>
    <t>년매출액</t>
    <phoneticPr fontId="21" type="noConversion"/>
  </si>
  <si>
    <t>월외주비
_직전</t>
    <phoneticPr fontId="21" type="noConversion"/>
  </si>
  <si>
    <t>월외주비
_현재</t>
    <phoneticPr fontId="21" type="noConversion"/>
  </si>
  <si>
    <t>마지막 연봉
적용일</t>
    <phoneticPr fontId="14" type="noConversion"/>
  </si>
  <si>
    <t>전전연봉</t>
    <phoneticPr fontId="14" type="noConversion"/>
  </si>
  <si>
    <t>직전 연봉</t>
    <phoneticPr fontId="14" type="noConversion"/>
  </si>
  <si>
    <t>현재 연봉_2026</t>
    <phoneticPr fontId="14" type="noConversion"/>
  </si>
  <si>
    <t>월급여총액</t>
  </si>
  <si>
    <t>기본급/월_신기준</t>
  </si>
  <si>
    <t>기본급
구성시간</t>
  </si>
  <si>
    <t>월 평균 
고정 연장 
근로시간</t>
  </si>
  <si>
    <t>월 평균
고정 야간
근로시간</t>
    <phoneticPr fontId="14" type="noConversion"/>
  </si>
  <si>
    <t>고정연장근로
가산수당</t>
    <phoneticPr fontId="14" type="noConversion"/>
  </si>
  <si>
    <t>고정야간근로
가산수당</t>
    <phoneticPr fontId="14" type="noConversion"/>
  </si>
  <si>
    <t>식대/월</t>
  </si>
  <si>
    <t>원가B:년평균
휴일근로수당</t>
    <phoneticPr fontId="14" type="noConversion"/>
  </si>
  <si>
    <t>최저임금비교</t>
    <phoneticPr fontId="14" type="noConversion"/>
  </si>
  <si>
    <t>비고
(기타지급/월)</t>
    <phoneticPr fontId="14" type="noConversion"/>
  </si>
  <si>
    <t>평균연차수당
(통상:5일기준, 스케줄:100시간기준)</t>
    <phoneticPr fontId="21" type="noConversion"/>
  </si>
  <si>
    <t>퇴직충당</t>
    <phoneticPr fontId="21" type="noConversion"/>
  </si>
  <si>
    <t>국민연금</t>
    <phoneticPr fontId="21" type="noConversion"/>
  </si>
  <si>
    <t>`26_건강보험
(요양보험포함)</t>
    <phoneticPr fontId="21" type="noConversion"/>
  </si>
  <si>
    <t>`26_고용보험(150~1,000미만)</t>
    <phoneticPr fontId="21" type="noConversion"/>
  </si>
  <si>
    <t>`26_산재
보험</t>
    <phoneticPr fontId="21" type="noConversion"/>
  </si>
  <si>
    <t>월인건비_원가</t>
    <phoneticPr fontId="21" type="noConversion"/>
  </si>
  <si>
    <t>직접인건비</t>
    <phoneticPr fontId="21" type="noConversion"/>
  </si>
  <si>
    <t>간접인건비</t>
    <phoneticPr fontId="21" type="noConversion"/>
  </si>
  <si>
    <t>원가A:인건비계(원가)
(정직원:연봉의 1.25배 적용)</t>
    <phoneticPr fontId="21" type="noConversion"/>
  </si>
  <si>
    <t>연간매출이익
(매출액-원가A-원가B*1.21)</t>
    <phoneticPr fontId="21" type="noConversion"/>
  </si>
  <si>
    <t>매출이익률(%)</t>
    <phoneticPr fontId="21" type="noConversion"/>
  </si>
  <si>
    <t>청내공
_만료일</t>
    <phoneticPr fontId="14" type="noConversion"/>
  </si>
  <si>
    <t>학자금 상환
개시일</t>
    <phoneticPr fontId="20" type="noConversion"/>
  </si>
  <si>
    <t>채용경로</t>
    <phoneticPr fontId="14" type="noConversion"/>
  </si>
  <si>
    <t>채용담당</t>
    <phoneticPr fontId="14" type="noConversion"/>
  </si>
  <si>
    <t>장애인/
국가유공자</t>
    <phoneticPr fontId="14" type="noConversion"/>
  </si>
  <si>
    <t>류혜리 M</t>
  </si>
  <si>
    <t>최재유</t>
    <phoneticPr fontId="14" type="noConversion"/>
  </si>
  <si>
    <t>중급상</t>
    <phoneticPr fontId="21" type="noConversion"/>
  </si>
  <si>
    <t>중급기술자</t>
    <phoneticPr fontId="14" type="noConversion"/>
  </si>
  <si>
    <t>유지보수(FTE)</t>
    <phoneticPr fontId="14" type="noConversion"/>
  </si>
  <si>
    <t>응용프로그래머</t>
    <phoneticPr fontId="20" type="noConversion"/>
  </si>
  <si>
    <t>2019_신규</t>
    <phoneticPr fontId="14" type="noConversion"/>
  </si>
  <si>
    <t>010-8585-5281</t>
    <phoneticPr fontId="14" type="noConversion"/>
  </si>
  <si>
    <t>atmnet@naver.com</t>
    <phoneticPr fontId="14" type="noConversion"/>
  </si>
  <si>
    <t>761007-1</t>
  </si>
  <si>
    <t>안동대학교</t>
  </si>
  <si>
    <t>정보통신공학과</t>
  </si>
  <si>
    <t>2. Network Service</t>
  </si>
  <si>
    <t>SK AX</t>
    <phoneticPr fontId="21" type="noConversion"/>
  </si>
  <si>
    <t>SK그룹사(공통)</t>
    <phoneticPr fontId="14" type="noConversion"/>
  </si>
  <si>
    <t>경기도 성남시 분당구 판교로 255번길 46 SK C&amp;C 판교캠퍼스 A동 4층</t>
    <phoneticPr fontId="14" type="noConversion"/>
  </si>
  <si>
    <t>14772</t>
  </si>
  <si>
    <t>경기도 부천시 소사동로72번길 32 소새울역중흥S클래스아파트 409동 304호</t>
  </si>
  <si>
    <t>Network Service팀</t>
    <phoneticPr fontId="14" type="noConversion"/>
  </si>
  <si>
    <t>SK_NOBS MA</t>
    <phoneticPr fontId="14" type="noConversion"/>
  </si>
  <si>
    <t>프로그램 개발</t>
    <phoneticPr fontId="20" type="noConversion"/>
  </si>
  <si>
    <t>고객 요청 대응</t>
    <phoneticPr fontId="20" type="noConversion"/>
  </si>
  <si>
    <t>고객사 공통 / 2026년_회선서비스1(4500303393-01)</t>
    <phoneticPr fontId="20" type="noConversion"/>
  </si>
  <si>
    <t>프리랜서</t>
  </si>
  <si>
    <t>개인(사업소득)</t>
  </si>
  <si>
    <t>이성전 위원</t>
    <phoneticPr fontId="14" type="noConversion"/>
  </si>
  <si>
    <t>박규성</t>
    <phoneticPr fontId="14" type="noConversion"/>
  </si>
  <si>
    <t>김병호</t>
    <phoneticPr fontId="14" type="noConversion"/>
  </si>
  <si>
    <t>차장</t>
    <phoneticPr fontId="14" type="noConversion"/>
  </si>
  <si>
    <t>중급상</t>
    <phoneticPr fontId="14" type="noConversion"/>
  </si>
  <si>
    <t>하도급(M/M)</t>
    <phoneticPr fontId="14" type="noConversion"/>
  </si>
  <si>
    <t>네트워크엔지니어</t>
    <phoneticPr fontId="14" type="noConversion"/>
  </si>
  <si>
    <t>2023-01-11부 프리전환</t>
    <phoneticPr fontId="14" type="noConversion"/>
  </si>
  <si>
    <t>02-6266-2397</t>
    <phoneticPr fontId="14" type="noConversion"/>
  </si>
  <si>
    <t>010-9154-5103</t>
    <phoneticPr fontId="14" type="noConversion"/>
  </si>
  <si>
    <t>howpc80@cnthoth.com</t>
    <phoneticPr fontId="14" type="noConversion"/>
  </si>
  <si>
    <t>800810-1</t>
  </si>
  <si>
    <t>북공고</t>
  </si>
  <si>
    <t>고졸</t>
    <phoneticPr fontId="20" type="noConversion"/>
  </si>
  <si>
    <t>CCNA</t>
  </si>
  <si>
    <t>CCNP</t>
  </si>
  <si>
    <t>SKB 7층_동작</t>
    <phoneticPr fontId="14" type="noConversion"/>
  </si>
  <si>
    <t>서울특별시</t>
    <phoneticPr fontId="14" type="noConversion"/>
  </si>
  <si>
    <t>4. SKB/SK하이닉스 Infra 운영</t>
  </si>
  <si>
    <t>SKB(동작)</t>
    <phoneticPr fontId="14" type="noConversion"/>
  </si>
  <si>
    <t>07063</t>
    <phoneticPr fontId="14" type="noConversion"/>
  </si>
  <si>
    <t>서울시 동작구 여의대방로 74 (신대방동) SK브로드밴드 7층</t>
    <phoneticPr fontId="14" type="noConversion"/>
  </si>
  <si>
    <t>01229</t>
    <phoneticPr fontId="14" type="noConversion"/>
  </si>
  <si>
    <t>서울특별시 강북구 한천로 105길 24, 211동 1320호 (번동, 번동2단지주공아파트)</t>
    <phoneticPr fontId="14" type="noConversion"/>
  </si>
  <si>
    <t>ICT Cloud팀</t>
    <phoneticPr fontId="14" type="noConversion"/>
  </si>
  <si>
    <t>SKB N/W 운영</t>
    <phoneticPr fontId="14" type="noConversion"/>
  </si>
  <si>
    <t>L3 운영</t>
    <phoneticPr fontId="14" type="noConversion"/>
  </si>
  <si>
    <t>에스케이브로드밴드(주) / SKB 26년 IT장비 및 소프트웨어 유지보수_1분기(4500302989-01)</t>
  </si>
  <si>
    <t>통상</t>
    <phoneticPr fontId="14" type="noConversion"/>
  </si>
  <si>
    <t>김태형 M, 이범철 M</t>
    <phoneticPr fontId="14" type="noConversion"/>
  </si>
  <si>
    <t>이규동</t>
    <phoneticPr fontId="14" type="noConversion"/>
  </si>
  <si>
    <t>과장</t>
    <phoneticPr fontId="21" type="noConversion"/>
  </si>
  <si>
    <t>중급상</t>
  </si>
  <si>
    <t>중급기술자</t>
  </si>
  <si>
    <t>하도급(FTE)</t>
    <phoneticPr fontId="14" type="noConversion"/>
  </si>
  <si>
    <t>DBA</t>
    <phoneticPr fontId="14" type="noConversion"/>
  </si>
  <si>
    <t>2023-08-08부 프리전환</t>
    <phoneticPr fontId="14" type="noConversion"/>
  </si>
  <si>
    <t>02-6400-8856</t>
  </si>
  <si>
    <t>010-7574-1133</t>
    <phoneticPr fontId="14" type="noConversion"/>
  </si>
  <si>
    <t>puma7574@cnthoth.com</t>
  </si>
  <si>
    <t>830710-1</t>
  </si>
  <si>
    <t>성남서고등학교</t>
  </si>
  <si>
    <t>고졸</t>
  </si>
  <si>
    <t>분당지웰푸르지오_수내</t>
    <phoneticPr fontId="14" type="noConversion"/>
  </si>
  <si>
    <t>경기도</t>
    <phoneticPr fontId="14" type="noConversion"/>
  </si>
  <si>
    <t>1. Infra 운영</t>
  </si>
  <si>
    <t>경기도 성남시 분당구 수내로 39 분당지웰푸르지오아파트 오피스 6층</t>
    <phoneticPr fontId="14" type="noConversion"/>
  </si>
  <si>
    <t>05849</t>
  </si>
  <si>
    <t>서울특별시 송파구 위례광장로 170, 102동 401호 (장지동, 힐스테이트 송파위례)</t>
  </si>
  <si>
    <t>T Biz. Cloud팀</t>
    <phoneticPr fontId="14" type="noConversion"/>
  </si>
  <si>
    <t>DB 운영</t>
  </si>
  <si>
    <t>Oracle 운영</t>
  </si>
  <si>
    <t>고객 요청 처리</t>
  </si>
  <si>
    <t>고객사 공통 / 2026년_인프라운영_HC12_1분기(4500303380-01)</t>
  </si>
  <si>
    <t>김정훈 M</t>
  </si>
  <si>
    <t>하상국(임명:박현성)</t>
  </si>
  <si>
    <t>박현성</t>
  </si>
  <si>
    <t>과장</t>
  </si>
  <si>
    <t>중급하</t>
  </si>
  <si>
    <t>하도급(M/M)</t>
  </si>
  <si>
    <t>네트워크엔지니어</t>
  </si>
  <si>
    <t>2023-10-01부 프리전환</t>
    <phoneticPr fontId="14" type="noConversion"/>
  </si>
  <si>
    <t>010-2037-1515</t>
  </si>
  <si>
    <t>dortus535@cnthoth.com</t>
  </si>
  <si>
    <t>861001-1</t>
  </si>
  <si>
    <t>방송통신대학교</t>
  </si>
  <si>
    <t>컴퓨터학과</t>
  </si>
  <si>
    <t>대졸예정</t>
  </si>
  <si>
    <t>SK AX A동 4F_판교</t>
    <phoneticPr fontId="14" type="noConversion"/>
  </si>
  <si>
    <t>SKT(판교/SKT성수국사)</t>
  </si>
  <si>
    <t>06611</t>
  </si>
  <si>
    <t xml:space="preserve">서울특별시 서초구 서초대로73길 54, 1412호 (서초동, 서초동 오피스텔) </t>
  </si>
  <si>
    <t>SKT N/W 구축 및 MA</t>
  </si>
  <si>
    <t>구축 및 유지보수</t>
  </si>
  <si>
    <t>에스케이텔레콤(주) / SKT 25년 SDN IP장비 유지보수 용역계약_26년1분기 (4500302287-01)</t>
  </si>
  <si>
    <t>Yes</t>
    <phoneticPr fontId="14" type="noConversion"/>
  </si>
  <si>
    <t>정명호 M</t>
  </si>
  <si>
    <t>김교원</t>
    <phoneticPr fontId="14" type="noConversion"/>
  </si>
  <si>
    <t>부장</t>
    <phoneticPr fontId="14" type="noConversion"/>
  </si>
  <si>
    <t>특급</t>
    <phoneticPr fontId="14" type="noConversion"/>
  </si>
  <si>
    <t>특급기술자</t>
    <phoneticPr fontId="14" type="noConversion"/>
  </si>
  <si>
    <t>PMO</t>
    <phoneticPr fontId="14" type="noConversion"/>
  </si>
  <si>
    <t>2025-01-01부 프리전환</t>
    <phoneticPr fontId="14" type="noConversion"/>
  </si>
  <si>
    <t>010-5470-0657</t>
  </si>
  <si>
    <t>gk03449@cnthoth.com</t>
    <phoneticPr fontId="14" type="noConversion"/>
  </si>
  <si>
    <t>740212-1</t>
    <phoneticPr fontId="14" type="noConversion"/>
  </si>
  <si>
    <t>동서울대학교</t>
  </si>
  <si>
    <t>전자계산학과</t>
  </si>
  <si>
    <t>전문대중퇴</t>
  </si>
  <si>
    <t>SKB_수유 1F</t>
    <phoneticPr fontId="14" type="noConversion"/>
  </si>
  <si>
    <t>3. 콜센터 &amp; 금융 &amp; 기타</t>
  </si>
  <si>
    <t>SKB(수유)</t>
    <phoneticPr fontId="14" type="noConversion"/>
  </si>
  <si>
    <t>01133</t>
    <phoneticPr fontId="14" type="noConversion"/>
  </si>
  <si>
    <t>서울시 강북구 도봉로 238 1층 SKB 미디어운용센터</t>
    <phoneticPr fontId="14" type="noConversion"/>
  </si>
  <si>
    <t>22142</t>
    <phoneticPr fontId="14" type="noConversion"/>
  </si>
  <si>
    <t>인천광역시 미추홀구 주안로205번길 18, 202호 (주안동, 대명리츠빌)</t>
    <phoneticPr fontId="14" type="noConversion"/>
  </si>
  <si>
    <t>PMO</t>
  </si>
  <si>
    <t>에스케이브로드밴드(주) / SKB '25년 미디어 통합 유지보수(4500301890-01)</t>
  </si>
  <si>
    <t>하상국</t>
    <phoneticPr fontId="14" type="noConversion"/>
  </si>
  <si>
    <t>중급하</t>
    <phoneticPr fontId="14" type="noConversion"/>
  </si>
  <si>
    <t>2025-04-01부 프리전환</t>
    <phoneticPr fontId="14" type="noConversion"/>
  </si>
  <si>
    <t>010-5353-0680</t>
    <phoneticPr fontId="14" type="noConversion"/>
  </si>
  <si>
    <t>alina75@cnthoth.com</t>
    <phoneticPr fontId="14" type="noConversion"/>
  </si>
  <si>
    <t>750529-1</t>
    <phoneticPr fontId="14" type="noConversion"/>
  </si>
  <si>
    <t>컴퓨터소프트웨어과</t>
  </si>
  <si>
    <t>전문대졸</t>
    <phoneticPr fontId="20" type="noConversion"/>
  </si>
  <si>
    <t>SK AX_판교 B동</t>
    <phoneticPr fontId="14" type="noConversion"/>
  </si>
  <si>
    <t>경기도 구리시 체육관로 69, 201동 304호 (교문동, 하나아파트)</t>
    <phoneticPr fontId="14" type="noConversion"/>
  </si>
  <si>
    <t>SKT N/W 구축 및 MA</t>
    <phoneticPr fontId="14" type="noConversion"/>
  </si>
  <si>
    <t>구축 및 유지보수</t>
    <phoneticPr fontId="14" type="noConversion"/>
  </si>
  <si>
    <t>지수환 M, 김도현 M</t>
    <phoneticPr fontId="14" type="noConversion"/>
  </si>
  <si>
    <t>이경호</t>
    <phoneticPr fontId="14" type="noConversion"/>
  </si>
  <si>
    <t>홍민지 후임</t>
    <phoneticPr fontId="14" type="noConversion"/>
  </si>
  <si>
    <t>010-2695-6654</t>
    <phoneticPr fontId="14" type="noConversion"/>
  </si>
  <si>
    <t>800117-1</t>
    <phoneticPr fontId="14" type="noConversion"/>
  </si>
  <si>
    <t>성공회대학교</t>
    <phoneticPr fontId="14" type="noConversion"/>
  </si>
  <si>
    <t>전산정보공학과</t>
    <phoneticPr fontId="14" type="noConversion"/>
  </si>
  <si>
    <t>대졸</t>
    <phoneticPr fontId="14" type="noConversion"/>
  </si>
  <si>
    <t>SQL개발자</t>
    <phoneticPr fontId="14" type="noConversion"/>
  </si>
  <si>
    <t>OCP</t>
    <phoneticPr fontId="14" type="noConversion"/>
  </si>
  <si>
    <t>정보처리기사 외</t>
    <phoneticPr fontId="14" type="noConversion"/>
  </si>
  <si>
    <t>파라다이스_퇴계로</t>
    <phoneticPr fontId="14" type="noConversion"/>
  </si>
  <si>
    <t>파라다이스ITO</t>
    <phoneticPr fontId="14" type="noConversion"/>
  </si>
  <si>
    <t>본사 관리</t>
    <phoneticPr fontId="14" type="noConversion"/>
  </si>
  <si>
    <t>04560</t>
    <phoneticPr fontId="14" type="noConversion"/>
  </si>
  <si>
    <t>서울시 중구 퇴계로 299 파라다이스 빌딩 7층</t>
    <phoneticPr fontId="14" type="noConversion"/>
  </si>
  <si>
    <t>06937</t>
    <phoneticPr fontId="14" type="noConversion"/>
  </si>
  <si>
    <t>서울특별시 동작구 상도로15길 131, 601호 (상도동, 상도 휴엔하임)</t>
    <phoneticPr fontId="14" type="noConversion"/>
  </si>
  <si>
    <t>Cloud서비스 2팀</t>
    <phoneticPr fontId="14" type="noConversion"/>
  </si>
  <si>
    <t>파라다이스 ITO</t>
    <phoneticPr fontId="14" type="noConversion"/>
  </si>
  <si>
    <t>DB 운영</t>
    <phoneticPr fontId="14" type="noConversion"/>
  </si>
  <si>
    <t>고객사 공통  2026년_대외운영3(4500303729-01)</t>
    <phoneticPr fontId="14" type="noConversion"/>
  </si>
  <si>
    <t>이민호</t>
    <phoneticPr fontId="20" type="noConversion"/>
  </si>
  <si>
    <t>신항범M</t>
    <phoneticPr fontId="14" type="noConversion"/>
  </si>
  <si>
    <t>이정민77</t>
    <phoneticPr fontId="14" type="noConversion"/>
  </si>
  <si>
    <t>고급상</t>
    <phoneticPr fontId="14" type="noConversion"/>
  </si>
  <si>
    <t>고급기술자</t>
    <phoneticPr fontId="14" type="noConversion"/>
  </si>
  <si>
    <t>서버엔지니어</t>
  </si>
  <si>
    <t>2026_신규</t>
    <phoneticPr fontId="14" type="noConversion"/>
  </si>
  <si>
    <t>010-3769-1325</t>
    <phoneticPr fontId="14" type="noConversion"/>
  </si>
  <si>
    <t>nin1325@cnthoth.com</t>
    <phoneticPr fontId="14" type="noConversion"/>
  </si>
  <si>
    <t>771227-1</t>
    <phoneticPr fontId="14" type="noConversion"/>
  </si>
  <si>
    <t>대건고등학교</t>
    <phoneticPr fontId="14" type="noConversion"/>
  </si>
  <si>
    <t>고졸</t>
    <phoneticPr fontId="14" type="noConversion"/>
  </si>
  <si>
    <t>RHCSA</t>
    <phoneticPr fontId="14" type="noConversion"/>
  </si>
  <si>
    <t>SK하이닉스_충칭</t>
    <phoneticPr fontId="14" type="noConversion"/>
  </si>
  <si>
    <t>중국</t>
    <phoneticPr fontId="14" type="noConversion"/>
  </si>
  <si>
    <t>5. 신규사업</t>
  </si>
  <si>
    <t>SK하이닉스(충칭)</t>
    <phoneticPr fontId="14" type="noConversion"/>
  </si>
  <si>
    <t>22835</t>
    <phoneticPr fontId="14" type="noConversion"/>
  </si>
  <si>
    <t>인천광역시 서구 염곡로 128-7, 3동 102호 (가좌동, 한일빌라)</t>
    <phoneticPr fontId="14" type="noConversion"/>
  </si>
  <si>
    <t>Hynix Cloud팀</t>
  </si>
  <si>
    <t>SK하이닉스_충칭 DR 구축</t>
    <phoneticPr fontId="14" type="noConversion"/>
  </si>
  <si>
    <t>윈도우 서버 구축</t>
    <phoneticPr fontId="14" type="noConversion"/>
  </si>
  <si>
    <t>이정민</t>
    <phoneticPr fontId="14" type="noConversion"/>
  </si>
  <si>
    <t>전원식</t>
    <phoneticPr fontId="14" type="noConversion"/>
  </si>
  <si>
    <t>010-3692-7469</t>
    <phoneticPr fontId="14" type="noConversion"/>
  </si>
  <si>
    <t>wsjeon@cnthoth.com</t>
    <phoneticPr fontId="14" type="noConversion"/>
  </si>
  <si>
    <t>740221-1</t>
    <phoneticPr fontId="14" type="noConversion"/>
  </si>
  <si>
    <t>서울보건대학</t>
    <phoneticPr fontId="14" type="noConversion"/>
  </si>
  <si>
    <t>전산정보처리</t>
    <phoneticPr fontId="14" type="noConversion"/>
  </si>
  <si>
    <t>전문대졸</t>
    <phoneticPr fontId="14" type="noConversion"/>
  </si>
  <si>
    <t>MCDBA</t>
    <phoneticPr fontId="14" type="noConversion"/>
  </si>
  <si>
    <t>30098</t>
    <phoneticPr fontId="14" type="noConversion"/>
  </si>
  <si>
    <t>세종특별자치시 보듬4로 20, 도램마을10단지 1001동 702호</t>
    <phoneticPr fontId="14" type="noConversion"/>
  </si>
  <si>
    <t>리눅스 서버 구축</t>
    <phoneticPr fontId="14" type="noConversion"/>
  </si>
  <si>
    <t>잡코리아</t>
    <phoneticPr fontId="14" type="noConversion"/>
  </si>
  <si>
    <t>이민호</t>
    <phoneticPr fontId="14" type="noConversion"/>
  </si>
  <si>
    <t>허근호</t>
    <phoneticPr fontId="14" type="noConversion"/>
  </si>
  <si>
    <t>Backup/Storage 엔지니어</t>
  </si>
  <si>
    <t>010-5477-8284</t>
    <phoneticPr fontId="14" type="noConversion"/>
  </si>
  <si>
    <t>khhuh@cnthoth.com</t>
    <phoneticPr fontId="14" type="noConversion"/>
  </si>
  <si>
    <t>751023-1</t>
    <phoneticPr fontId="14" type="noConversion"/>
  </si>
  <si>
    <t>명지대학교</t>
    <phoneticPr fontId="14" type="noConversion"/>
  </si>
  <si>
    <t>화학공학과</t>
    <phoneticPr fontId="14" type="noConversion"/>
  </si>
  <si>
    <t>SK AX</t>
    <phoneticPr fontId="14" type="noConversion"/>
  </si>
  <si>
    <t>12924</t>
    <phoneticPr fontId="14" type="noConversion"/>
  </si>
  <si>
    <t>경기도 하남시 미사강변중앙로 90, 101동 2602호 (풍산동, 이편한세상미사)</t>
    <phoneticPr fontId="14" type="noConversion"/>
  </si>
  <si>
    <t>스토리지 구축</t>
    <phoneticPr fontId="14" type="noConversion"/>
  </si>
  <si>
    <t>전성민M</t>
    <phoneticPr fontId="14" type="noConversion"/>
  </si>
  <si>
    <t>이은서</t>
    <phoneticPr fontId="14" type="noConversion"/>
  </si>
  <si>
    <t>이경원</t>
    <phoneticPr fontId="14" type="noConversion"/>
  </si>
  <si>
    <t>M/W 엔지니어</t>
  </si>
  <si>
    <t>2026_추가</t>
    <phoneticPr fontId="14" type="noConversion"/>
  </si>
  <si>
    <t>010-4398-0824</t>
    <phoneticPr fontId="14" type="noConversion"/>
  </si>
  <si>
    <t>campione20@naver.com</t>
    <phoneticPr fontId="14" type="noConversion"/>
  </si>
  <si>
    <t>731015-1</t>
    <phoneticPr fontId="14" type="noConversion"/>
  </si>
  <si>
    <t>단국대(천안)</t>
    <phoneticPr fontId="14" type="noConversion"/>
  </si>
  <si>
    <t>전자계산학과</t>
    <phoneticPr fontId="14" type="noConversion"/>
  </si>
  <si>
    <t xml:space="preserve">정보처리기사 </t>
    <phoneticPr fontId="14" type="noConversion"/>
  </si>
  <si>
    <t>SK하이닉스_이천</t>
  </si>
  <si>
    <t>경기도</t>
  </si>
  <si>
    <t>SK하이닉스(이천)</t>
    <phoneticPr fontId="14" type="noConversion"/>
  </si>
  <si>
    <t>04321</t>
    <phoneticPr fontId="14" type="noConversion"/>
  </si>
  <si>
    <t>서울특별시 용산구 한강대로87길 7-8, 202호 (갈월동)</t>
    <phoneticPr fontId="14" type="noConversion"/>
  </si>
  <si>
    <t>SK하이닉스 인프라 운영</t>
    <phoneticPr fontId="14" type="noConversion"/>
  </si>
  <si>
    <t>미들웨어 운영</t>
    <phoneticPr fontId="14" type="noConversion"/>
  </si>
  <si>
    <t>전성민M/신상선M</t>
    <phoneticPr fontId="14" type="noConversion"/>
  </si>
  <si>
    <t>양재훈</t>
    <phoneticPr fontId="14" type="noConversion"/>
  </si>
  <si>
    <t>시스템엔지니어</t>
  </si>
  <si>
    <t>010-9029-1709</t>
    <phoneticPr fontId="14" type="noConversion"/>
  </si>
  <si>
    <t>jay2248@naver.com</t>
    <phoneticPr fontId="14" type="noConversion"/>
  </si>
  <si>
    <t>690110-1</t>
    <phoneticPr fontId="14" type="noConversion"/>
  </si>
  <si>
    <t>경희대학교</t>
    <phoneticPr fontId="14" type="noConversion"/>
  </si>
  <si>
    <t>전산공학</t>
    <phoneticPr fontId="14" type="noConversion"/>
  </si>
  <si>
    <t>CCNA</t>
    <phoneticPr fontId="14" type="noConversion"/>
  </si>
  <si>
    <t>Ennterprise Architecture Professional</t>
    <phoneticPr fontId="14" type="noConversion"/>
  </si>
  <si>
    <t>Microsoft Aure Fundamentlals</t>
    <phoneticPr fontId="14" type="noConversion"/>
  </si>
  <si>
    <t>SK하이닉스_이천</t>
    <phoneticPr fontId="14" type="noConversion"/>
  </si>
  <si>
    <t>04419</t>
    <phoneticPr fontId="14" type="noConversion"/>
  </si>
  <si>
    <t>서울특별시 용산구 한남대로 60, 7층 A-709호 (한남동, 금호리첸시아)</t>
    <phoneticPr fontId="14" type="noConversion"/>
  </si>
  <si>
    <t>SK하이닉스 인프라 구축</t>
    <phoneticPr fontId="14" type="noConversion"/>
  </si>
  <si>
    <t>용인 DC 구축 TA</t>
    <phoneticPr fontId="14" type="noConversion"/>
  </si>
  <si>
    <t>강윤선 M</t>
    <phoneticPr fontId="14" type="noConversion"/>
  </si>
  <si>
    <t>김진욱</t>
    <phoneticPr fontId="14" type="noConversion"/>
  </si>
  <si>
    <t>2021_신규</t>
    <phoneticPr fontId="14" type="noConversion"/>
  </si>
  <si>
    <t>010-2118-3563</t>
    <phoneticPr fontId="14" type="noConversion"/>
  </si>
  <si>
    <t>jwkim82@cnthoth.com</t>
    <phoneticPr fontId="14" type="noConversion"/>
  </si>
  <si>
    <t>821128-1</t>
  </si>
  <si>
    <t>경기공업대학교</t>
  </si>
  <si>
    <t>컴퓨터응용제어공학</t>
  </si>
  <si>
    <t>대졸</t>
  </si>
  <si>
    <t xml:space="preserve"> CCDA</t>
  </si>
  <si>
    <t>분당두산타워_정자</t>
    <phoneticPr fontId="14" type="noConversion"/>
  </si>
  <si>
    <t>SK하이닉스</t>
    <phoneticPr fontId="14" type="noConversion"/>
  </si>
  <si>
    <t>경기도 성남시 분당구 정자일로 155 분당두산타워 4층</t>
    <phoneticPr fontId="14" type="noConversion"/>
  </si>
  <si>
    <t>16875</t>
    <phoneticPr fontId="14" type="noConversion"/>
  </si>
  <si>
    <t>경기도 용인시 수지구 현암로 125번길 11, 새터마을죽전힐스테이트 722-102호</t>
    <phoneticPr fontId="14" type="noConversion"/>
  </si>
  <si>
    <t>Hynix Cloud팀</t>
    <phoneticPr fontId="14" type="noConversion"/>
  </si>
  <si>
    <t>SK하이닉스 네트워크/교환기</t>
    <phoneticPr fontId="20" type="noConversion"/>
  </si>
  <si>
    <t>네트워크 운영</t>
    <phoneticPr fontId="14" type="noConversion"/>
  </si>
  <si>
    <t>화상회의 시스템, 교환기 등</t>
    <phoneticPr fontId="14" type="noConversion"/>
  </si>
  <si>
    <t>에스케이하이닉스 주식회사 / 26년 Hynix SW개발센터 운영_1분기(4500302431-01)</t>
  </si>
  <si>
    <t>외주_통상</t>
    <phoneticPr fontId="14" type="noConversion"/>
  </si>
  <si>
    <t>협력사</t>
    <phoneticPr fontId="14" type="noConversion"/>
  </si>
  <si>
    <t>㈜인노인</t>
    <phoneticPr fontId="20" type="noConversion"/>
  </si>
  <si>
    <t>양동식 M</t>
    <phoneticPr fontId="14" type="noConversion"/>
  </si>
  <si>
    <t>김성구</t>
    <phoneticPr fontId="14" type="noConversion"/>
  </si>
  <si>
    <t>최종수</t>
    <phoneticPr fontId="21" type="noConversion"/>
  </si>
  <si>
    <t>사원</t>
    <phoneticPr fontId="14" type="noConversion"/>
  </si>
  <si>
    <t>고능</t>
    <phoneticPr fontId="14" type="noConversion"/>
  </si>
  <si>
    <t>고급기능사</t>
  </si>
  <si>
    <t>서비스 관제 엔지니어</t>
    <phoneticPr fontId="21" type="noConversion"/>
  </si>
  <si>
    <t>Pool</t>
    <phoneticPr fontId="14" type="noConversion"/>
  </si>
  <si>
    <t>02-6400-5026</t>
    <phoneticPr fontId="14" type="noConversion"/>
  </si>
  <si>
    <t>010-9740-6321</t>
    <phoneticPr fontId="21" type="noConversion"/>
  </si>
  <si>
    <t>js9876@cnthoth.com</t>
    <phoneticPr fontId="21" type="noConversion"/>
  </si>
  <si>
    <t>960828-1</t>
    <phoneticPr fontId="21" type="noConversion"/>
  </si>
  <si>
    <t>가톨릭대학교</t>
    <phoneticPr fontId="21" type="noConversion"/>
  </si>
  <si>
    <t>정보통신전자공학부</t>
    <phoneticPr fontId="21" type="noConversion"/>
  </si>
  <si>
    <t>대졸</t>
    <phoneticPr fontId="21" type="noConversion"/>
  </si>
  <si>
    <t>SQLD</t>
    <phoneticPr fontId="21" type="noConversion"/>
  </si>
  <si>
    <t>네트워크관리사2급</t>
    <phoneticPr fontId="14" type="noConversion"/>
  </si>
  <si>
    <t>판교DC</t>
  </si>
  <si>
    <t>김성구</t>
    <phoneticPr fontId="21" type="noConversion"/>
  </si>
  <si>
    <t>경기도 성남시 분당구 판교로 255번길 46 SK(주) C&amp;C 판교캠퍼스 A동 1층</t>
    <phoneticPr fontId="14" type="noConversion"/>
  </si>
  <si>
    <t>07975</t>
    <phoneticPr fontId="21" type="noConversion"/>
  </si>
  <si>
    <t>서울특별시 양천구 목동중앙본로20길 20, 파인빌 102호 (목동, 목동다세대주택)</t>
    <phoneticPr fontId="21" type="noConversion"/>
  </si>
  <si>
    <t>CloudControlCenter팀</t>
    <phoneticPr fontId="14" type="noConversion"/>
  </si>
  <si>
    <t>판교 DC 운영</t>
    <phoneticPr fontId="21" type="noConversion"/>
  </si>
  <si>
    <t>H/W 육안점검, 시스템 모니터링 및 장애 전파</t>
  </si>
  <si>
    <t>스케줄</t>
    <phoneticPr fontId="20" type="noConversion"/>
  </si>
  <si>
    <t>정직원</t>
    <phoneticPr fontId="14" type="noConversion"/>
  </si>
  <si>
    <t>씨앤토트플러스㈜</t>
  </si>
  <si>
    <t>사람인</t>
    <phoneticPr fontId="14" type="noConversion"/>
  </si>
  <si>
    <t>장소영</t>
    <phoneticPr fontId="14" type="noConversion"/>
  </si>
  <si>
    <t>Yes</t>
  </si>
  <si>
    <t>김성구</t>
  </si>
  <si>
    <t>부장</t>
  </si>
  <si>
    <t>고급상</t>
  </si>
  <si>
    <t>고급기술자</t>
  </si>
  <si>
    <t>서비스 관제 센터장</t>
    <phoneticPr fontId="21" type="noConversion"/>
  </si>
  <si>
    <t xml:space="preserve"> </t>
    <phoneticPr fontId="14" type="noConversion"/>
  </si>
  <si>
    <t>010-4095-7792</t>
    <phoneticPr fontId="14" type="noConversion"/>
  </si>
  <si>
    <t>skkim@cnthoth.com</t>
    <phoneticPr fontId="14" type="noConversion"/>
  </si>
  <si>
    <t>721222-1</t>
  </si>
  <si>
    <t>서울강동고등학교</t>
    <phoneticPr fontId="14" type="noConversion"/>
  </si>
  <si>
    <t>판교DC_주간</t>
    <phoneticPr fontId="14" type="noConversion"/>
  </si>
  <si>
    <t>경기도 고양시 덕양구 중앙로 558번길 57, 1818동 203호 (행신동, 햇빛마을18단지아파트)</t>
    <phoneticPr fontId="14" type="noConversion"/>
  </si>
  <si>
    <t>센터 총괄 운영</t>
  </si>
  <si>
    <t>고객사 공통 / 2026년_VDI_01_1분기(4500302906-01)</t>
  </si>
  <si>
    <t>씨앤토트플러스㈜</t>
    <phoneticPr fontId="14" type="noConversion"/>
  </si>
  <si>
    <t>박귀진 M, 유석민 M</t>
    <phoneticPr fontId="14" type="noConversion"/>
  </si>
  <si>
    <t>이기홍</t>
    <phoneticPr fontId="14" type="noConversion"/>
  </si>
  <si>
    <t>고급하</t>
  </si>
  <si>
    <t>IT Facility 매니저</t>
    <phoneticPr fontId="21" type="noConversion"/>
  </si>
  <si>
    <t>02-6343-9321</t>
  </si>
  <si>
    <t>010-5327-0922</t>
    <phoneticPr fontId="14" type="noConversion"/>
  </si>
  <si>
    <t>skymonst@cnthoth.com</t>
    <phoneticPr fontId="14" type="noConversion"/>
  </si>
  <si>
    <t>630725-1</t>
  </si>
  <si>
    <t>안양과학대학</t>
  </si>
  <si>
    <t>SKT장안국사_주간</t>
    <phoneticPr fontId="14" type="noConversion"/>
  </si>
  <si>
    <t>SKT(장안콜센터)</t>
  </si>
  <si>
    <t>이기홍</t>
    <phoneticPr fontId="21" type="noConversion"/>
  </si>
  <si>
    <t>02635</t>
  </si>
  <si>
    <t>서울시 동대문구 장한로3길 34 SKT 장안고객센터 구관 2층 시스템 운영실</t>
    <phoneticPr fontId="14" type="noConversion"/>
  </si>
  <si>
    <t>경기도 군포시 용호2로 51, 101동 404호 (당동, 쌍용아파트)</t>
    <phoneticPr fontId="14" type="noConversion"/>
  </si>
  <si>
    <t>SKT_장안 시스템 운영</t>
    <phoneticPr fontId="20" type="noConversion"/>
  </si>
  <si>
    <t>Facility 운영</t>
  </si>
  <si>
    <t>/ 시스템 관제 관리</t>
  </si>
  <si>
    <t>고객사 공통 / 2026년_ICT운영171_1분기(4500303362-01)</t>
  </si>
  <si>
    <t>김현수 M</t>
    <phoneticPr fontId="14" type="noConversion"/>
  </si>
  <si>
    <t>최재유</t>
  </si>
  <si>
    <t>부장</t>
    <phoneticPr fontId="21" type="noConversion"/>
  </si>
  <si>
    <t>02-6400-6080</t>
  </si>
  <si>
    <t>010-3781-9230</t>
    <phoneticPr fontId="14" type="noConversion"/>
  </si>
  <si>
    <t>pelikan.ju@cnthoth.com</t>
    <phoneticPr fontId="14" type="noConversion"/>
  </si>
  <si>
    <t>690507-1</t>
  </si>
  <si>
    <t>강남대학교</t>
  </si>
  <si>
    <t>SK AX B동 4F_판교</t>
  </si>
  <si>
    <t>최재유</t>
    <phoneticPr fontId="21" type="noConversion"/>
  </si>
  <si>
    <t>경기도 성남시 분당구 판교로 255번길 38 SK C&amp;C 판교캠퍼스 B동 4층</t>
    <phoneticPr fontId="14" type="noConversion"/>
  </si>
  <si>
    <t>경기도 성남시 중원구 성남대로 1000, 318동 101호 (여수동, 센트럴타운 3단지)</t>
  </si>
  <si>
    <t>SK공통 N/W 보안 운영</t>
    <phoneticPr fontId="14" type="noConversion"/>
  </si>
  <si>
    <t>NW 일반 운영 및 회선관리</t>
  </si>
  <si>
    <t>고객사 공통 / 2026년_인프라운영_HC11_1분기(4500303149-01)</t>
  </si>
  <si>
    <t>신장 심하지 않은 장애</t>
    <phoneticPr fontId="20" type="noConversion"/>
  </si>
  <si>
    <t>박귀진 M, 송수근 위원</t>
    <phoneticPr fontId="14" type="noConversion"/>
  </si>
  <si>
    <t>조원석</t>
    <phoneticPr fontId="14" type="noConversion"/>
  </si>
  <si>
    <t>조원석</t>
  </si>
  <si>
    <t>02-829-2382</t>
  </si>
  <si>
    <t>010-8706-7076</t>
    <phoneticPr fontId="14" type="noConversion"/>
  </si>
  <si>
    <t>chobung@cnthoth.com</t>
    <phoneticPr fontId="14" type="noConversion"/>
  </si>
  <si>
    <t>701001-1</t>
  </si>
  <si>
    <t>서울 대진고등학교</t>
  </si>
  <si>
    <t>정보처리기사</t>
  </si>
  <si>
    <t>전기산업기사</t>
    <phoneticPr fontId="14" type="noConversion"/>
  </si>
  <si>
    <t>전기기사</t>
    <phoneticPr fontId="14" type="noConversion"/>
  </si>
  <si>
    <t>보라매DC_주간</t>
    <phoneticPr fontId="14" type="noConversion"/>
  </si>
  <si>
    <t>1. Infra 운영</t>
    <phoneticPr fontId="14" type="noConversion"/>
  </si>
  <si>
    <t>SKT(보라매)</t>
    <phoneticPr fontId="14" type="noConversion"/>
  </si>
  <si>
    <t>조원석</t>
    <phoneticPr fontId="21" type="noConversion"/>
  </si>
  <si>
    <t>08708</t>
  </si>
  <si>
    <t>서울시 관악구 보라매로5길 1  SK텔레콤빌딩 6F (봉천동)</t>
    <phoneticPr fontId="14" type="noConversion"/>
  </si>
  <si>
    <t>07704</t>
    <phoneticPr fontId="14" type="noConversion"/>
  </si>
  <si>
    <t>서울특별시 강서구 강서로45다길 30-27, 109동 1002호 (화곡동, 초록아파트)</t>
    <phoneticPr fontId="14" type="noConversion"/>
  </si>
  <si>
    <t>보라매 DC 운영</t>
    <phoneticPr fontId="21" type="noConversion"/>
  </si>
  <si>
    <t>/ 관제 운영</t>
  </si>
  <si>
    <t>박귀진 M, 이범철 M</t>
    <phoneticPr fontId="14" type="noConversion"/>
  </si>
  <si>
    <t>하상영</t>
    <phoneticPr fontId="14" type="noConversion"/>
  </si>
  <si>
    <t>02-6400-6111</t>
  </si>
  <si>
    <t>010-3745-1745</t>
    <phoneticPr fontId="14" type="noConversion"/>
  </si>
  <si>
    <t>hsy403@cnthoth.com</t>
    <phoneticPr fontId="14" type="noConversion"/>
  </si>
  <si>
    <t>670601-1</t>
  </si>
  <si>
    <t>서울 잠실고등학교</t>
  </si>
  <si>
    <t xml:space="preserve">정보처리산업기사 </t>
  </si>
  <si>
    <t>SK AX_판교 B동</t>
  </si>
  <si>
    <t>김홍범</t>
    <phoneticPr fontId="21" type="noConversion"/>
  </si>
  <si>
    <t>경기도 성남시 분당구 판교로 255번길 46 SK C&amp;C 판교캠퍼스 A동 1층</t>
    <phoneticPr fontId="14" type="noConversion"/>
  </si>
  <si>
    <t>05783</t>
    <phoneticPr fontId="14" type="noConversion"/>
  </si>
  <si>
    <t>서울특별시 송파구 동남로18길 9, 2동 405호 (가락동, 극동아파트)</t>
    <phoneticPr fontId="14" type="noConversion"/>
  </si>
  <si>
    <t>제조/환경Cloud팀 </t>
  </si>
  <si>
    <t>Facility 운영</t>
    <phoneticPr fontId="14" type="noConversion"/>
  </si>
  <si>
    <t>고객사 공통 / 2026년_인프라운영_HC22_01_1분기 (4500303129-01)</t>
  </si>
  <si>
    <t>김태형 M</t>
    <phoneticPr fontId="14" type="noConversion"/>
  </si>
  <si>
    <t>정태옥</t>
    <phoneticPr fontId="14" type="noConversion"/>
  </si>
  <si>
    <t>Backup/Storage 엔지니어</t>
    <phoneticPr fontId="20" type="noConversion"/>
  </si>
  <si>
    <t>02-6400-6551</t>
  </si>
  <si>
    <t>010-4948-0954</t>
    <phoneticPr fontId="14" type="noConversion"/>
  </si>
  <si>
    <t>oktojung@cnthoth.com</t>
    <phoneticPr fontId="14" type="noConversion"/>
  </si>
  <si>
    <t>700110-1</t>
  </si>
  <si>
    <t>신흥대학</t>
  </si>
  <si>
    <t>김홍범</t>
  </si>
  <si>
    <t>02248</t>
  </si>
  <si>
    <t>서울특별시 중랑구 동일로 483, 101동 1902호 (면목4동, 두원아파트)</t>
  </si>
  <si>
    <t>Backup/Storage</t>
  </si>
  <si>
    <t>Backup/Restore 관리</t>
  </si>
  <si>
    <t>/ Storage 구축 지원, 운영</t>
  </si>
  <si>
    <t>김태형 M</t>
    <phoneticPr fontId="20" type="noConversion"/>
  </si>
  <si>
    <t>임정재</t>
    <phoneticPr fontId="14" type="noConversion"/>
  </si>
  <si>
    <t>임정재</t>
    <phoneticPr fontId="21" type="noConversion"/>
  </si>
  <si>
    <t>고급하</t>
    <phoneticPr fontId="21" type="noConversion"/>
  </si>
  <si>
    <t>02-6100-2712</t>
  </si>
  <si>
    <t>010-3100-8444</t>
    <phoneticPr fontId="14" type="noConversion"/>
  </si>
  <si>
    <t>netcomm@cnthoth.com</t>
    <phoneticPr fontId="14" type="noConversion"/>
  </si>
  <si>
    <t>720810-1</t>
  </si>
  <si>
    <t>호원대학교</t>
  </si>
  <si>
    <t>SCJP</t>
  </si>
  <si>
    <t>SKT_을지로</t>
    <phoneticPr fontId="14" type="noConversion"/>
  </si>
  <si>
    <t>SKT_T타워(을지로)</t>
    <phoneticPr fontId="14" type="noConversion"/>
  </si>
  <si>
    <t>04539</t>
    <phoneticPr fontId="14" type="noConversion"/>
  </si>
  <si>
    <t>서울시 중구 을지로 65 (을지로2가) SK텔레콤빌딩 9층 IT Infra 그룹</t>
  </si>
  <si>
    <t>03337</t>
    <phoneticPr fontId="14" type="noConversion"/>
  </si>
  <si>
    <t>서울특별시 은평구 통일로 942-11, 202호 (불광동)</t>
    <phoneticPr fontId="14" type="noConversion"/>
  </si>
  <si>
    <t>CloudControlCenter팀</t>
  </si>
  <si>
    <t>SKT 정보보안</t>
  </si>
  <si>
    <t>서비스 종합 장애조치</t>
    <phoneticPr fontId="21" type="noConversion"/>
  </si>
  <si>
    <t>고객사 공통 / 2026년_인프라운영_HC10_21_1분기(4500303124-01)</t>
  </si>
  <si>
    <t>이성전 위원</t>
  </si>
  <si>
    <t>02-6266-6459</t>
    <phoneticPr fontId="14" type="noConversion"/>
  </si>
  <si>
    <t>010-8155-6509</t>
    <phoneticPr fontId="14" type="noConversion"/>
  </si>
  <si>
    <t>gspark12@cnthoth.com</t>
    <phoneticPr fontId="14" type="noConversion"/>
  </si>
  <si>
    <t>701205-1</t>
  </si>
  <si>
    <t>한국정보기능대</t>
  </si>
  <si>
    <t>정보설비기사2급</t>
  </si>
  <si>
    <t>유선설비기사2급</t>
  </si>
  <si>
    <t>박규성</t>
    <phoneticPr fontId="21" type="noConversion"/>
  </si>
  <si>
    <t>서울시 동작구 여의대방로 74 (신대방동) SK브로드밴드 7층</t>
  </si>
  <si>
    <t>07950</t>
    <phoneticPr fontId="20" type="noConversion"/>
  </si>
  <si>
    <t>서울특별시 양천구 목동중앙북로6길 31-1, 2층 (목동)</t>
    <phoneticPr fontId="20" type="noConversion"/>
  </si>
  <si>
    <t>SKB N/W 운영 총괄</t>
  </si>
  <si>
    <t>박규성(임명:신동호)</t>
    <phoneticPr fontId="14" type="noConversion"/>
  </si>
  <si>
    <t>신동호</t>
    <phoneticPr fontId="21" type="noConversion"/>
  </si>
  <si>
    <t>고급상</t>
    <phoneticPr fontId="21" type="noConversion"/>
  </si>
  <si>
    <t>배동환 후임</t>
    <phoneticPr fontId="21" type="noConversion"/>
  </si>
  <si>
    <t>02-6266-6907</t>
  </si>
  <si>
    <t>010-3459-0208</t>
  </si>
  <si>
    <t>sdhcoo@cnthoth.com</t>
  </si>
  <si>
    <t>710208-1</t>
  </si>
  <si>
    <t>한신대학교</t>
  </si>
  <si>
    <t>OCP10g</t>
  </si>
  <si>
    <t>03304</t>
  </si>
  <si>
    <t>서울특별시 은평구 진관4로 78-7, 602동 301호 (진관동)</t>
  </si>
  <si>
    <t>/ Oracle</t>
  </si>
  <si>
    <t>정태옥(임명:배상용)</t>
    <phoneticPr fontId="14" type="noConversion"/>
  </si>
  <si>
    <t>배상용</t>
  </si>
  <si>
    <t>M/W 엔지니어</t>
    <phoneticPr fontId="14" type="noConversion"/>
  </si>
  <si>
    <t>02-6900-7095</t>
  </si>
  <si>
    <t>010-8668-2882</t>
    <phoneticPr fontId="14" type="noConversion"/>
  </si>
  <si>
    <t>hollowmind@cnthoth.com</t>
    <phoneticPr fontId="14" type="noConversion"/>
  </si>
  <si>
    <t>761203-1</t>
  </si>
  <si>
    <t>전북대학교</t>
  </si>
  <si>
    <t>16817</t>
    <phoneticPr fontId="14" type="noConversion"/>
  </si>
  <si>
    <t>경기도 용인시 수지구 신봉2로 26, 108동 504호 (신봉동, 신봉마을엘지자이1차아파트)</t>
    <phoneticPr fontId="14" type="noConversion"/>
  </si>
  <si>
    <t>Middleware 운영</t>
  </si>
  <si>
    <t>WAS 운영</t>
  </si>
  <si>
    <t>민승기 M. 김홍섭 M</t>
  </si>
  <si>
    <t>김홍범</t>
    <phoneticPr fontId="14" type="noConversion"/>
  </si>
  <si>
    <t>시스템엔지니어</t>
    <phoneticPr fontId="21" type="noConversion"/>
  </si>
  <si>
    <t>02-6400-6043</t>
  </si>
  <si>
    <t>010-8685-7893</t>
    <phoneticPr fontId="14" type="noConversion"/>
  </si>
  <si>
    <t>victor20@cnthoth.com</t>
    <phoneticPr fontId="14" type="noConversion"/>
  </si>
  <si>
    <t>710103-1</t>
  </si>
  <si>
    <t>충남전산전문대</t>
  </si>
  <si>
    <t>CSA</t>
    <phoneticPr fontId="20" type="noConversion"/>
  </si>
  <si>
    <t>해상무선통신사</t>
  </si>
  <si>
    <t>정보기기운용기능사</t>
  </si>
  <si>
    <t>SK㈜ U타워_정자</t>
    <phoneticPr fontId="14" type="noConversion"/>
  </si>
  <si>
    <t>경기도 성남시 분당구 성남대로 343번길 9 SK U타워 23층</t>
    <phoneticPr fontId="14" type="noConversion"/>
  </si>
  <si>
    <t>경기도 성남시 분당구 서현로494번길 8-10 (분당동)</t>
    <phoneticPr fontId="14" type="noConversion"/>
  </si>
  <si>
    <t>Cloud VDI팀</t>
    <phoneticPr fontId="14" type="noConversion"/>
  </si>
  <si>
    <t>긴급 장애대응</t>
    <phoneticPr fontId="20" type="noConversion"/>
  </si>
  <si>
    <t>인프라 종합 장애조치</t>
  </si>
  <si>
    <t>고객사 공통 / 2026년_VDI_01_1분기 (4500303359-01)</t>
  </si>
  <si>
    <t>김홍범(임명:서상우)</t>
    <phoneticPr fontId="14" type="noConversion"/>
  </si>
  <si>
    <t>서상우</t>
  </si>
  <si>
    <t>02-6400-6042</t>
  </si>
  <si>
    <t>010-3755-8429</t>
  </si>
  <si>
    <t>unish99@cnthoth.com</t>
  </si>
  <si>
    <t>720718-1</t>
  </si>
  <si>
    <t>현대전산원</t>
  </si>
  <si>
    <t>경기도 화성시 병점2로 141 603동 707호(병점동 안화동마을주공아파트)</t>
  </si>
  <si>
    <t>김명국</t>
    <phoneticPr fontId="14" type="noConversion"/>
  </si>
  <si>
    <t>김명국</t>
  </si>
  <si>
    <t>서버엔지니어</t>
    <phoneticPr fontId="14" type="noConversion"/>
  </si>
  <si>
    <t>010-8923-1140</t>
    <phoneticPr fontId="14" type="noConversion"/>
  </si>
  <si>
    <t>hongtae70@cnthoth.com</t>
    <phoneticPr fontId="20" type="noConversion"/>
  </si>
  <si>
    <t>700911-1</t>
  </si>
  <si>
    <t>동서울대학</t>
  </si>
  <si>
    <t>SK네트웍스</t>
    <phoneticPr fontId="14" type="noConversion"/>
  </si>
  <si>
    <t>개인</t>
    <phoneticPr fontId="14" type="noConversion"/>
  </si>
  <si>
    <t>경기도 성남시 분당구 성남대로 343번길 9 SK U타워 19층</t>
    <phoneticPr fontId="14" type="noConversion"/>
  </si>
  <si>
    <t>04984</t>
    <phoneticPr fontId="14" type="noConversion"/>
  </si>
  <si>
    <t>서울특별시 광진구 아차산로 503-23, 102동 501호 (광장동, 청구아파트)</t>
    <phoneticPr fontId="14" type="noConversion"/>
  </si>
  <si>
    <t>SK네트웍스 서버 운영</t>
    <phoneticPr fontId="14" type="noConversion"/>
  </si>
  <si>
    <t>Unix 서버 운영</t>
  </si>
  <si>
    <t>이창환</t>
    <phoneticPr fontId="14" type="noConversion"/>
  </si>
  <si>
    <t>고급하</t>
    <phoneticPr fontId="14" type="noConversion"/>
  </si>
  <si>
    <t>서버엔지니어</t>
    <phoneticPr fontId="21" type="noConversion"/>
  </si>
  <si>
    <t>031-250-7885</t>
  </si>
  <si>
    <t>010-6264-1021</t>
    <phoneticPr fontId="14" type="noConversion"/>
  </si>
  <si>
    <t>hwanlee@cnthoth.com</t>
    <phoneticPr fontId="14" type="noConversion"/>
  </si>
  <si>
    <t>740814-1</t>
    <phoneticPr fontId="14" type="noConversion"/>
  </si>
  <si>
    <t>서울 송곡고등학교</t>
  </si>
  <si>
    <t>MCP</t>
  </si>
  <si>
    <t>SKC수원공장_수원</t>
    <phoneticPr fontId="14" type="noConversion"/>
  </si>
  <si>
    <t>SKC(수원)</t>
    <phoneticPr fontId="14" type="noConversion"/>
  </si>
  <si>
    <t>개인</t>
    <phoneticPr fontId="21" type="noConversion"/>
  </si>
  <si>
    <t>경기도 수원시 장안구 장안로 309번길 84 SKC수원공장 SKCC_IT지원팀</t>
    <phoneticPr fontId="14" type="noConversion"/>
  </si>
  <si>
    <t>인천광역시 남동구 성리로27번길 3, 202호 (구월동, 성리주택)</t>
    <phoneticPr fontId="14" type="noConversion"/>
  </si>
  <si>
    <t>SKC 서버 운영</t>
    <phoneticPr fontId="20" type="noConversion"/>
  </si>
  <si>
    <t>/ Linux 서버 운영</t>
  </si>
  <si>
    <t>이용재 M, 김현수 M</t>
    <phoneticPr fontId="20" type="noConversion"/>
  </si>
  <si>
    <t>최재유(임명:강윤식)</t>
    <phoneticPr fontId="20" type="noConversion"/>
  </si>
  <si>
    <t>노상필</t>
  </si>
  <si>
    <t>02-6400-6071</t>
  </si>
  <si>
    <t>010-5050-7113</t>
    <phoneticPr fontId="14" type="noConversion"/>
  </si>
  <si>
    <t>nosfeels@cnthoth.com</t>
  </si>
  <si>
    <t>750114-1</t>
  </si>
  <si>
    <t>안산공과대학</t>
  </si>
  <si>
    <t>내외빌딩_을지로</t>
    <phoneticPr fontId="14" type="noConversion"/>
  </si>
  <si>
    <t>서울특별시 중구 을지로2가 6, 14층 (을지로2가, 내외빌딩)</t>
    <phoneticPr fontId="14" type="noConversion"/>
  </si>
  <si>
    <t>04339</t>
  </si>
  <si>
    <t>서울특별시 용산구 신흥로 12길 27, 3층 (용산동2가)</t>
    <phoneticPr fontId="14" type="noConversion"/>
  </si>
  <si>
    <t>SK공통 N/W 운영</t>
    <phoneticPr fontId="14" type="noConversion"/>
  </si>
  <si>
    <t>N/W 장애처리</t>
  </si>
  <si>
    <t>이창훈</t>
    <phoneticPr fontId="14" type="noConversion"/>
  </si>
  <si>
    <t>02-6400-7005</t>
  </si>
  <si>
    <t>010-5254-7095</t>
  </si>
  <si>
    <t>fanta966@cnthoth.com</t>
    <phoneticPr fontId="14" type="noConversion"/>
  </si>
  <si>
    <t>740708-1</t>
  </si>
  <si>
    <t>오산대학</t>
  </si>
  <si>
    <t>판교NOC</t>
  </si>
  <si>
    <t>03301</t>
    <phoneticPr fontId="14" type="noConversion"/>
  </si>
  <si>
    <t>서울특별시 은평구 진관3로 21, 102동 1502호 (진관동, 은평뉴타운엘크루)</t>
    <phoneticPr fontId="14" type="noConversion"/>
  </si>
  <si>
    <t>N/W 모니터링 및 장애처리</t>
  </si>
  <si>
    <t>이현태</t>
  </si>
  <si>
    <t>02-6400-7010</t>
  </si>
  <si>
    <t>010-6424-0729</t>
    <phoneticPr fontId="14" type="noConversion"/>
  </si>
  <si>
    <t>skycall@cnthoth.com</t>
    <phoneticPr fontId="14" type="noConversion"/>
  </si>
  <si>
    <t>710729-1</t>
  </si>
  <si>
    <t>네트워크관리사2급</t>
  </si>
  <si>
    <t>경기도 용인시 기흥구 연원로 42번길 2, 121동 401호 (마북동, 연원마을벽산아파트)</t>
    <phoneticPr fontId="14" type="noConversion"/>
  </si>
  <si>
    <t>최재유(임명:임영준)</t>
    <phoneticPr fontId="14" type="noConversion"/>
  </si>
  <si>
    <t>임영준</t>
  </si>
  <si>
    <t>02-829-2425</t>
  </si>
  <si>
    <t>010-9009-9201</t>
    <phoneticPr fontId="14" type="noConversion"/>
  </si>
  <si>
    <t>netsky88@cnthoth.com</t>
    <phoneticPr fontId="14" type="noConversion"/>
  </si>
  <si>
    <t>771126-1</t>
  </si>
  <si>
    <t>호서전산전문학교</t>
  </si>
  <si>
    <t>전자계산기산업기사</t>
  </si>
  <si>
    <t>SKT_보라매 7F</t>
    <phoneticPr fontId="14" type="noConversion"/>
  </si>
  <si>
    <t>임영준</t>
    <phoneticPr fontId="21" type="noConversion"/>
  </si>
  <si>
    <t>서울시 관악구 보라매로5길 1 SK텔레콤빌딩 7F (봉천동)</t>
    <phoneticPr fontId="14" type="noConversion"/>
  </si>
  <si>
    <t>03964</t>
  </si>
  <si>
    <t>서울특별시 마포구 망원로7길 19-12, 301호 (망원동, 펠리스빌)</t>
  </si>
  <si>
    <t>강윤식</t>
    <phoneticPr fontId="21" type="noConversion"/>
  </si>
  <si>
    <t>02-6400-7009</t>
    <phoneticPr fontId="14" type="noConversion"/>
  </si>
  <si>
    <t>010-9055-0358</t>
    <phoneticPr fontId="14" type="noConversion"/>
  </si>
  <si>
    <t>lokang@cnthoth.com</t>
    <phoneticPr fontId="14" type="noConversion"/>
  </si>
  <si>
    <t>711023-1</t>
  </si>
  <si>
    <t>인하대학</t>
  </si>
  <si>
    <t>경기도 고양시 덕양구 충장로118-30, 226동 1505호 (행신동, 샘터마을2단지아파트)</t>
  </si>
  <si>
    <t>최재유(임명:유재현)</t>
    <phoneticPr fontId="14" type="noConversion"/>
  </si>
  <si>
    <t>유재현</t>
    <phoneticPr fontId="14" type="noConversion"/>
  </si>
  <si>
    <t>네트워크보안엔지니어</t>
    <phoneticPr fontId="14" type="noConversion"/>
  </si>
  <si>
    <t>02-6400-6090</t>
  </si>
  <si>
    <t>010-6671-4145</t>
  </si>
  <si>
    <t>apospace@cnthoth.com</t>
  </si>
  <si>
    <t>760316-1</t>
  </si>
  <si>
    <t>한양대(안산)</t>
  </si>
  <si>
    <t>SK AX A동 1F_판교</t>
  </si>
  <si>
    <t>14092</t>
    <phoneticPr fontId="14" type="noConversion"/>
  </si>
  <si>
    <t>경기도 시흥시 서해안로 1645, 112동 1104호 (대야동, 대야역 두산위브 더파크)</t>
    <phoneticPr fontId="14" type="noConversion"/>
  </si>
  <si>
    <t>N/W 보안 운영</t>
  </si>
  <si>
    <t>/ 방화벽 운영</t>
  </si>
  <si>
    <t>이승열</t>
    <phoneticPr fontId="14" type="noConversion"/>
  </si>
  <si>
    <t>02-6400-7021</t>
    <phoneticPr fontId="14" type="noConversion"/>
  </si>
  <si>
    <t>010-3772-7380</t>
    <phoneticPr fontId="14" type="noConversion"/>
  </si>
  <si>
    <t>july30@cnthoth.com</t>
    <phoneticPr fontId="14" type="noConversion"/>
  </si>
  <si>
    <t>700730-1</t>
  </si>
  <si>
    <t>숭실전자계산원</t>
  </si>
  <si>
    <t>경기도 파주시 교하로 70, 308동 2403호 (목동동, 산내마을3단지아파트)</t>
    <phoneticPr fontId="14" type="noConversion"/>
  </si>
  <si>
    <t>N/W 회선 관리</t>
  </si>
  <si>
    <t>박규성(임명:박정길)</t>
    <phoneticPr fontId="14" type="noConversion"/>
  </si>
  <si>
    <t>박정길</t>
    <phoneticPr fontId="21" type="noConversion"/>
  </si>
  <si>
    <t>중급하</t>
    <phoneticPr fontId="21" type="noConversion"/>
  </si>
  <si>
    <t>02-6266-4237</t>
  </si>
  <si>
    <t>010-8216-5057</t>
  </si>
  <si>
    <t>bardbard@cnthoth.com</t>
  </si>
  <si>
    <t>750617-1</t>
  </si>
  <si>
    <t>부천대학</t>
  </si>
  <si>
    <t>인천광역시 연수구 청능말로 8번길 13, 402호 (청학동, 대심주택)</t>
    <phoneticPr fontId="14" type="noConversion"/>
  </si>
  <si>
    <t>NAC, 무선, 서버 운영</t>
  </si>
  <si>
    <t>/ L3, L4, 방화벽 운영</t>
  </si>
  <si>
    <t>박규성(임명:정재욱)</t>
    <phoneticPr fontId="14" type="noConversion"/>
  </si>
  <si>
    <t>정재욱</t>
    <phoneticPr fontId="21" type="noConversion"/>
  </si>
  <si>
    <t>초급상</t>
  </si>
  <si>
    <t>초급기술자</t>
    <phoneticPr fontId="14" type="noConversion"/>
  </si>
  <si>
    <t>042-340-2451</t>
    <phoneticPr fontId="14" type="noConversion"/>
  </si>
  <si>
    <t>010-6406-6586</t>
    <phoneticPr fontId="21" type="noConversion"/>
  </si>
  <si>
    <t>peridot1140@cnthoth.com</t>
  </si>
  <si>
    <t>배재대학교</t>
  </si>
  <si>
    <t>CISSP</t>
  </si>
  <si>
    <t>정보통신기술사(초급)</t>
  </si>
  <si>
    <t>SKB 3F_대전</t>
    <phoneticPr fontId="14" type="noConversion"/>
  </si>
  <si>
    <t>대전광역시</t>
    <phoneticPr fontId="14" type="noConversion"/>
  </si>
  <si>
    <t>SKB(대전)</t>
    <phoneticPr fontId="14" type="noConversion"/>
  </si>
  <si>
    <t>대전광역시 서구 둔산로62 SK브로드밴드 3층</t>
    <phoneticPr fontId="14" type="noConversion"/>
  </si>
  <si>
    <t>35206</t>
    <phoneticPr fontId="14" type="noConversion"/>
  </si>
  <si>
    <t>대전광역시 서구 청사로 282, 10동 1305호 (둔산동, 수정타운)</t>
    <phoneticPr fontId="14" type="noConversion"/>
  </si>
  <si>
    <t>대전 지역 N/W 운영</t>
  </si>
  <si>
    <t>최종원</t>
    <phoneticPr fontId="21" type="noConversion"/>
  </si>
  <si>
    <t>02-6100-0343</t>
    <phoneticPr fontId="14" type="noConversion"/>
  </si>
  <si>
    <t>010-4108-2333</t>
    <phoneticPr fontId="14" type="noConversion"/>
  </si>
  <si>
    <t>choice1975@cnthoth.com</t>
    <phoneticPr fontId="14" type="noConversion"/>
  </si>
  <si>
    <t>750719-1</t>
  </si>
  <si>
    <t>서울디지털대학교</t>
  </si>
  <si>
    <t>상담심리학과</t>
  </si>
  <si>
    <t>ITIL Foundation V3</t>
  </si>
  <si>
    <t>SKT_을지로</t>
  </si>
  <si>
    <t>서울시 중구 을지로 65 (을지로2가) SK텔레콤빌딩 9층 ICT기술원 인프라Tech.Lab</t>
    <phoneticPr fontId="14" type="noConversion"/>
  </si>
  <si>
    <t>04161</t>
    <phoneticPr fontId="14" type="noConversion"/>
  </si>
  <si>
    <t>서울특별시 마포구 토정로31길 23, 109동 901호 (용강동, 래미안 마포 리버웰)</t>
    <phoneticPr fontId="14" type="noConversion"/>
  </si>
  <si>
    <t>CloudInfraGovernance</t>
  </si>
  <si>
    <t>인프라 자산관리</t>
    <phoneticPr fontId="14" type="noConversion"/>
  </si>
  <si>
    <t>N/W 운영 및 자산 관리</t>
  </si>
  <si>
    <t>고객사 공통 / 2026년_인프라운영_HC13_1분기(4500302965-01)</t>
  </si>
  <si>
    <t>박규성(임명:김용균)</t>
    <phoneticPr fontId="14" type="noConversion"/>
  </si>
  <si>
    <t>김용균</t>
    <phoneticPr fontId="21" type="noConversion"/>
  </si>
  <si>
    <t>02-6266-2486</t>
  </si>
  <si>
    <t>010-3234-4863</t>
  </si>
  <si>
    <t>ca530531@cnthoth.com</t>
  </si>
  <si>
    <t>730422-1</t>
  </si>
  <si>
    <t>서울특별시립대학교</t>
  </si>
  <si>
    <t>HPASE</t>
  </si>
  <si>
    <t>경기도 수원시 팔달구 권광로373, 104동2001호 (우만동, 월드메르디앙아파트)</t>
  </si>
  <si>
    <t>SKB 서버 운영</t>
    <phoneticPr fontId="14" type="noConversion"/>
  </si>
  <si>
    <t>김홍범(임명:최민순)</t>
    <phoneticPr fontId="14" type="noConversion"/>
  </si>
  <si>
    <t>최민순</t>
  </si>
  <si>
    <t>시스템엔지니어</t>
    <phoneticPr fontId="14" type="noConversion"/>
  </si>
  <si>
    <t>02-6400-6047</t>
  </si>
  <si>
    <t>010-3805-7350</t>
    <phoneticPr fontId="14" type="noConversion"/>
  </si>
  <si>
    <t>jasmine07@cnthoth.com</t>
    <phoneticPr fontId="14" type="noConversion"/>
  </si>
  <si>
    <t>780318-2</t>
    <phoneticPr fontId="14" type="noConversion"/>
  </si>
  <si>
    <t>서울여자대학교</t>
  </si>
  <si>
    <t>정보처리기사</t>
    <phoneticPr fontId="20" type="noConversion"/>
  </si>
  <si>
    <t>사무자동화산업기사</t>
  </si>
  <si>
    <t>CCNA</t>
    <phoneticPr fontId="20" type="noConversion"/>
  </si>
  <si>
    <t>경기도 용인시 처인구 모현면 충렬로8번길 47-4 (능원리, 삼화드림빌) 107동 301호</t>
  </si>
  <si>
    <t>자동화 관리</t>
    <phoneticPr fontId="14" type="noConversion"/>
  </si>
  <si>
    <t>자산관리</t>
  </si>
  <si>
    <t>/ 장애 일반 관리</t>
  </si>
  <si>
    <t>박경수</t>
    <phoneticPr fontId="14" type="noConversion"/>
  </si>
  <si>
    <t>박경수</t>
    <phoneticPr fontId="21" type="noConversion"/>
  </si>
  <si>
    <t>02-2049-5912</t>
  </si>
  <si>
    <t>010-9401-1799</t>
    <phoneticPr fontId="20" type="noConversion"/>
  </si>
  <si>
    <t>floyd@cnthoth.com</t>
  </si>
  <si>
    <t>731127-1</t>
  </si>
  <si>
    <t>서울 명덕고등학교</t>
  </si>
  <si>
    <t>워커힐호텔 본관 지하3층_광진</t>
    <phoneticPr fontId="14" type="noConversion"/>
  </si>
  <si>
    <t>워커힐(광장동)</t>
    <phoneticPr fontId="14" type="noConversion"/>
  </si>
  <si>
    <t>04963</t>
    <phoneticPr fontId="14" type="noConversion"/>
  </si>
  <si>
    <t>서울시 광진구 워커힐로 177 쉐라톤 워커힐호텔 본관 지하3층 정보관리팀</t>
    <phoneticPr fontId="14" type="noConversion"/>
  </si>
  <si>
    <t>07902</t>
    <phoneticPr fontId="14" type="noConversion"/>
  </si>
  <si>
    <t>서울특별시 양천구 화곡로3가길 2-1, C동 302호 (신월동, 지오빌)</t>
    <phoneticPr fontId="14" type="noConversion"/>
  </si>
  <si>
    <t>워커힐 서버 운영</t>
    <phoneticPr fontId="20" type="noConversion"/>
  </si>
  <si>
    <t>조창현</t>
    <phoneticPr fontId="14" type="noConversion"/>
  </si>
  <si>
    <t>02-6266-7958</t>
  </si>
  <si>
    <t>010-5422-6135</t>
  </si>
  <si>
    <t>body12@cnthoth.com</t>
    <phoneticPr fontId="14" type="noConversion"/>
  </si>
  <si>
    <t>710228-1</t>
  </si>
  <si>
    <t>광운공고</t>
  </si>
  <si>
    <t>SKB_남산6F</t>
    <phoneticPr fontId="14" type="noConversion"/>
  </si>
  <si>
    <t>SKB(남산)</t>
    <phoneticPr fontId="14" type="noConversion"/>
  </si>
  <si>
    <t>04637</t>
    <phoneticPr fontId="14" type="noConversion"/>
  </si>
  <si>
    <t>서울시 중구 퇴계로24 SK남산그린빌딩 6F</t>
    <phoneticPr fontId="14" type="noConversion"/>
  </si>
  <si>
    <t>01475</t>
  </si>
  <si>
    <t>서울특별시 도봉구 덕릉로 62길 86-6, B-02호 (창동)</t>
    <phoneticPr fontId="14" type="noConversion"/>
  </si>
  <si>
    <t>LAN 설치 및 운영</t>
  </si>
  <si>
    <t>/ OA 고객 대응</t>
  </si>
  <si>
    <t>김용이</t>
    <phoneticPr fontId="14" type="noConversion"/>
  </si>
  <si>
    <t>차장</t>
    <phoneticPr fontId="21" type="noConversion"/>
  </si>
  <si>
    <t>초급하</t>
  </si>
  <si>
    <t>062-450-3112</t>
    <phoneticPr fontId="14" type="noConversion"/>
  </si>
  <si>
    <t>010-4641-6660</t>
  </si>
  <si>
    <t>unsystem@cnthoth.com</t>
  </si>
  <si>
    <t>760209-1</t>
  </si>
  <si>
    <t>서강정보대</t>
  </si>
  <si>
    <t>SKB 5F_광주</t>
    <phoneticPr fontId="14" type="noConversion"/>
  </si>
  <si>
    <t>경기도외</t>
    <phoneticPr fontId="14" type="noConversion"/>
  </si>
  <si>
    <t>SKB(광주)</t>
    <phoneticPr fontId="14" type="noConversion"/>
  </si>
  <si>
    <t>광주광역시 동구 금남로3가 1-11 SK브로드밴드 5층</t>
    <phoneticPr fontId="14" type="noConversion"/>
  </si>
  <si>
    <t>61451</t>
    <phoneticPr fontId="14" type="noConversion"/>
  </si>
  <si>
    <t>광주광역시 동구 지호로86번길 3, 903호 (지산동, 진아하이빌아파트)</t>
    <phoneticPr fontId="14" type="noConversion"/>
  </si>
  <si>
    <t>전라 지역 N/W 운영</t>
  </si>
  <si>
    <t>박규성(이주형)</t>
  </si>
  <si>
    <t>이주형</t>
    <phoneticPr fontId="14" type="noConversion"/>
  </si>
  <si>
    <t>NOC 엔지니어</t>
    <phoneticPr fontId="21" type="noConversion"/>
  </si>
  <si>
    <t>02-6266-3994</t>
  </si>
  <si>
    <t>010-3215-6737</t>
  </si>
  <si>
    <t>ljh2070@cnthoth.com</t>
  </si>
  <si>
    <t>720916-1</t>
  </si>
  <si>
    <t>동남보건대</t>
  </si>
  <si>
    <t>치과기공과</t>
  </si>
  <si>
    <t>MCSE</t>
  </si>
  <si>
    <t>14748</t>
    <phoneticPr fontId="14" type="noConversion"/>
  </si>
  <si>
    <t>경기도 부천시 성주로 186, 101동 502호 (심곡본동, 삼성하이츠빌)</t>
    <phoneticPr fontId="14" type="noConversion"/>
  </si>
  <si>
    <t>N/W 관제, 장애 전파 및 처리, 상황실 NMS 등록/관리</t>
  </si>
  <si>
    <t>천성철</t>
    <phoneticPr fontId="14" type="noConversion"/>
  </si>
  <si>
    <t>051-940-2908</t>
  </si>
  <si>
    <t>010-9266-8094</t>
  </si>
  <si>
    <t>chsach3791@cnthoth.com</t>
  </si>
  <si>
    <t>731120-1</t>
  </si>
  <si>
    <t>경남정보대학</t>
  </si>
  <si>
    <t>전자통신과</t>
  </si>
  <si>
    <t>SKB 5F_부산</t>
    <phoneticPr fontId="14" type="noConversion"/>
  </si>
  <si>
    <t>SKB(부산)</t>
    <phoneticPr fontId="14" type="noConversion"/>
  </si>
  <si>
    <t>부산광역시 연제구 반송로29 SK브로드밴드 5층</t>
  </si>
  <si>
    <t>47562</t>
    <phoneticPr fontId="14" type="noConversion"/>
  </si>
  <si>
    <t>부산광역시 연제구 과정로294번길 10, 102동 1004호 (연산동, 동원베네스트)</t>
    <phoneticPr fontId="14" type="noConversion"/>
  </si>
  <si>
    <t>경남 지역 N/W 운영</t>
  </si>
  <si>
    <t>최재유(임명:이현목)</t>
    <phoneticPr fontId="14" type="noConversion"/>
  </si>
  <si>
    <t>이현목</t>
    <phoneticPr fontId="14" type="noConversion"/>
  </si>
  <si>
    <t>02-6100-0349</t>
  </si>
  <si>
    <t>010-2070-4017</t>
    <phoneticPr fontId="14" type="noConversion"/>
  </si>
  <si>
    <t>verger@cnthoth.com</t>
  </si>
  <si>
    <t>750725-1</t>
  </si>
  <si>
    <t>가톨릭대학교</t>
  </si>
  <si>
    <t>무선설비기사</t>
    <phoneticPr fontId="20" type="noConversion"/>
  </si>
  <si>
    <t>통신선로산업기사</t>
    <phoneticPr fontId="20" type="noConversion"/>
  </si>
  <si>
    <t>전자기기능사 2급</t>
  </si>
  <si>
    <t>14790</t>
    <phoneticPr fontId="14" type="noConversion"/>
  </si>
  <si>
    <t>경기도 부천시 범안로 220, 109동 404호 (옥길동, 옥길호반베르디움)</t>
    <phoneticPr fontId="14" type="noConversion"/>
  </si>
  <si>
    <t>SKT 고객지원</t>
    <phoneticPr fontId="14" type="noConversion"/>
  </si>
  <si>
    <t>SKT ITSM 지원</t>
  </si>
  <si>
    <t>/ SKT N/W 운영</t>
  </si>
  <si>
    <t>조원석(임명:최동일)</t>
    <phoneticPr fontId="14" type="noConversion"/>
  </si>
  <si>
    <t>최동일</t>
    <phoneticPr fontId="21" type="noConversion"/>
  </si>
  <si>
    <t>고경남 후임</t>
    <phoneticPr fontId="14" type="noConversion"/>
  </si>
  <si>
    <t>02-829-2402</t>
  </si>
  <si>
    <t>010-8315-3938</t>
    <phoneticPr fontId="14" type="noConversion"/>
  </si>
  <si>
    <t>tarac10047@cnthoth.com</t>
  </si>
  <si>
    <t>730812-1</t>
  </si>
  <si>
    <t>서울산업대학교</t>
  </si>
  <si>
    <t>CISA/CISSP</t>
  </si>
  <si>
    <t>무선설비산업기사</t>
  </si>
  <si>
    <t>SKT 7F_보라매</t>
    <phoneticPr fontId="14" type="noConversion"/>
  </si>
  <si>
    <t>서울시 관악구 보라매로5길 1  SK텔레콤빌딩 7F (봉천동)</t>
  </si>
  <si>
    <t>07960</t>
  </si>
  <si>
    <t>서울특별시 양천구 목동중앙본로7길 37-20, 101동 802호 (목동, 길성그랑프리텔)</t>
    <phoneticPr fontId="14" type="noConversion"/>
  </si>
  <si>
    <t>SKT 서버 운영</t>
    <phoneticPr fontId="21" type="noConversion"/>
  </si>
  <si>
    <t>Windows 서버 운영</t>
  </si>
  <si>
    <t>최재유(임명:박지현)</t>
    <phoneticPr fontId="14" type="noConversion"/>
  </si>
  <si>
    <t>박지현</t>
  </si>
  <si>
    <t>032-570-5040</t>
  </si>
  <si>
    <t>010-9003-5237</t>
    <phoneticPr fontId="14" type="noConversion"/>
  </si>
  <si>
    <t>parkpd@cnthoth.com</t>
    <phoneticPr fontId="14" type="noConversion"/>
  </si>
  <si>
    <t>760730-1</t>
  </si>
  <si>
    <t>건양대학교</t>
  </si>
  <si>
    <t>SK이노베이션(인천)</t>
    <phoneticPr fontId="14" type="noConversion"/>
  </si>
  <si>
    <t>22135</t>
    <phoneticPr fontId="14" type="noConversion"/>
  </si>
  <si>
    <t>인천광역시 미추홀구 주안동로33, 602호 (주안동, 현대오피스텔)</t>
    <phoneticPr fontId="14" type="noConversion"/>
  </si>
  <si>
    <t>인천CLX N/W 운영</t>
    <phoneticPr fontId="14" type="noConversion"/>
  </si>
  <si>
    <t>/ Voice 운영</t>
  </si>
  <si>
    <t>박규성(임명:이재원)</t>
  </si>
  <si>
    <t>이재원</t>
    <phoneticPr fontId="21" type="noConversion"/>
  </si>
  <si>
    <t>02-6266-6244</t>
  </si>
  <si>
    <t>010-2410-0635</t>
    <phoneticPr fontId="14" type="noConversion"/>
  </si>
  <si>
    <t>ovlee@cnthoth.com</t>
  </si>
  <si>
    <t>761225-1</t>
  </si>
  <si>
    <t>서울디지털 대학교</t>
  </si>
  <si>
    <t>컴퓨터공학</t>
  </si>
  <si>
    <t>RHCE</t>
  </si>
  <si>
    <t>CCDA</t>
  </si>
  <si>
    <t xml:space="preserve"> SCNA</t>
  </si>
  <si>
    <t>15596</t>
    <phoneticPr fontId="14" type="noConversion"/>
  </si>
  <si>
    <t xml:space="preserve">경기도 안산시 상록구 해양5로 17, 209동 3903호 (사동, 그랑시티자이2차) </t>
    <phoneticPr fontId="14" type="noConversion"/>
  </si>
  <si>
    <t>Linux 서버 운영</t>
  </si>
  <si>
    <t>조원석(임명:오장환)</t>
    <phoneticPr fontId="14" type="noConversion"/>
  </si>
  <si>
    <t>오장환</t>
    <phoneticPr fontId="14" type="noConversion"/>
  </si>
  <si>
    <t>02-829-2421</t>
    <phoneticPr fontId="14" type="noConversion"/>
  </si>
  <si>
    <t>010-2005-1640</t>
    <phoneticPr fontId="20" type="noConversion"/>
  </si>
  <si>
    <t>ojhdunk@cnthoth.com</t>
  </si>
  <si>
    <t>770518-1</t>
  </si>
  <si>
    <t>청강문화산업대학</t>
  </si>
  <si>
    <t>서울시 관악구 보라매로5길 1  SK텔레콤빌딩 7F (봉천동)</t>
    <phoneticPr fontId="20" type="noConversion"/>
  </si>
  <si>
    <t>10356</t>
    <phoneticPr fontId="14" type="noConversion"/>
  </si>
  <si>
    <t>경기도 고양시 일산서구 경의로 605, 1210동 1404호 (일산동, 후곡마을12단지)</t>
  </si>
  <si>
    <t>황효성</t>
    <phoneticPr fontId="21" type="noConversion"/>
  </si>
  <si>
    <t>송대희 후임</t>
    <phoneticPr fontId="21" type="noConversion"/>
  </si>
  <si>
    <t>031-250-7884</t>
  </si>
  <si>
    <t>010-6225-8586</t>
  </si>
  <si>
    <t>hsokbary@cnthoth.com</t>
    <phoneticPr fontId="14" type="noConversion"/>
  </si>
  <si>
    <t>790125-1</t>
  </si>
  <si>
    <t>장안대학</t>
  </si>
  <si>
    <t>MCITP</t>
  </si>
  <si>
    <t>OCP</t>
    <phoneticPr fontId="20" type="noConversion"/>
  </si>
  <si>
    <t>경기도 수원시 장안구 장안로 309번길 84 SKC수원공장 SKCC_IT지원팀</t>
  </si>
  <si>
    <t>14081</t>
    <phoneticPr fontId="14" type="noConversion"/>
  </si>
  <si>
    <t>경기도 안양시 동안구 귀인로80번길 5, 101동 102호 (호계동, 금호아파트)</t>
    <phoneticPr fontId="14" type="noConversion"/>
  </si>
  <si>
    <t>김준희</t>
    <phoneticPr fontId="14" type="noConversion"/>
  </si>
  <si>
    <t>053-240-2011</t>
    <phoneticPr fontId="14" type="noConversion"/>
  </si>
  <si>
    <t>010-2654-2443</t>
    <phoneticPr fontId="14" type="noConversion"/>
  </si>
  <si>
    <t>lazymdp@cnthoth.com</t>
  </si>
  <si>
    <t>831217-1</t>
  </si>
  <si>
    <t>대구효성카톨릭대학교</t>
  </si>
  <si>
    <t>SKB 3F_대구</t>
    <phoneticPr fontId="14" type="noConversion"/>
  </si>
  <si>
    <t>SKB(대구)</t>
    <phoneticPr fontId="14" type="noConversion"/>
  </si>
  <si>
    <t>대구광역시 중구 달구벌대로2171 SK브로드밴드 3층</t>
    <phoneticPr fontId="14" type="noConversion"/>
  </si>
  <si>
    <t>38540</t>
    <phoneticPr fontId="14" type="noConversion"/>
  </si>
  <si>
    <t>경상북도 경산시 압량읍 압독로 38-10, 103동 2001호 (e-편한세상 경산신대아파트)</t>
    <phoneticPr fontId="14" type="noConversion"/>
  </si>
  <si>
    <t>경북 지역 N/W 운영</t>
  </si>
  <si>
    <t>박성호</t>
    <phoneticPr fontId="14" type="noConversion"/>
  </si>
  <si>
    <t>02-6266-3994</t>
    <phoneticPr fontId="14" type="noConversion"/>
  </si>
  <si>
    <t>010-2983-7410</t>
    <phoneticPr fontId="14" type="noConversion"/>
  </si>
  <si>
    <t>poxy28@cnthoth.com</t>
  </si>
  <si>
    <t>741026-1</t>
  </si>
  <si>
    <t>명지전문대</t>
  </si>
  <si>
    <t>정보통신</t>
  </si>
  <si>
    <t>12123</t>
    <phoneticPr fontId="14" type="noConversion"/>
  </si>
  <si>
    <t>경기도 남양주시 퇴계원읍 도제원로 19, 101동 201호 (퇴계원읍, 강남아파트)</t>
    <phoneticPr fontId="14" type="noConversion"/>
  </si>
  <si>
    <t>박규성(임명:김계운)</t>
    <phoneticPr fontId="14" type="noConversion"/>
  </si>
  <si>
    <t>김계운</t>
    <phoneticPr fontId="14" type="noConversion"/>
  </si>
  <si>
    <t>010-2748-4773</t>
    <phoneticPr fontId="14" type="noConversion"/>
  </si>
  <si>
    <t>metalkkw@cnthoth.com</t>
  </si>
  <si>
    <t>730515-1</t>
  </si>
  <si>
    <t>경기한경대</t>
  </si>
  <si>
    <t>환경공학</t>
  </si>
  <si>
    <t>05259</t>
  </si>
  <si>
    <t>서울특별시 강동구 구천면로 55길 38, B02호 (암사동)</t>
  </si>
  <si>
    <t>방화벽 운영</t>
  </si>
  <si>
    <t>정현섭 M</t>
    <phoneticPr fontId="14" type="noConversion"/>
  </si>
  <si>
    <t>최재유(임명:김정호)</t>
    <phoneticPr fontId="14" type="noConversion"/>
  </si>
  <si>
    <t>김정호</t>
    <phoneticPr fontId="21" type="noConversion"/>
  </si>
  <si>
    <t>02-6400-6072</t>
    <phoneticPr fontId="14" type="noConversion"/>
  </si>
  <si>
    <t>010-7124-2579</t>
    <phoneticPr fontId="14" type="noConversion"/>
  </si>
  <si>
    <t>windboy6819@cnthoth.com</t>
    <phoneticPr fontId="14" type="noConversion"/>
  </si>
  <si>
    <t>870214-1</t>
  </si>
  <si>
    <t>서일대학</t>
  </si>
  <si>
    <t>경기도 성남시 분당구 성남대로 343번길 9 SK U타워 3층 통신실</t>
    <phoneticPr fontId="14" type="noConversion"/>
  </si>
  <si>
    <t>03361</t>
    <phoneticPr fontId="14" type="noConversion"/>
  </si>
  <si>
    <t>서울특별시 은평구 진흥로19길 26-1, 301호 (불광동, 불광주택)</t>
    <phoneticPr fontId="14" type="noConversion"/>
  </si>
  <si>
    <t>SKC&amp;C, 그룹포탈 고객지원</t>
    <phoneticPr fontId="14" type="noConversion"/>
  </si>
  <si>
    <t>N/W 구축 및 유지보수</t>
  </si>
  <si>
    <t>고객사 공통 / 26년 SKAX Network 운영_1분기(4500302319-01)</t>
  </si>
  <si>
    <t>신상선 M, 진교성 M</t>
    <phoneticPr fontId="20" type="noConversion"/>
  </si>
  <si>
    <t>임봉영</t>
    <phoneticPr fontId="14" type="noConversion"/>
  </si>
  <si>
    <t>유성</t>
    <phoneticPr fontId="14" type="noConversion"/>
  </si>
  <si>
    <t>초급상</t>
    <phoneticPr fontId="14" type="noConversion"/>
  </si>
  <si>
    <t>IT 인프라 현장대응 엔지니어</t>
    <phoneticPr fontId="14" type="noConversion"/>
  </si>
  <si>
    <t xml:space="preserve">031-630-3384 </t>
    <phoneticPr fontId="14" type="noConversion"/>
  </si>
  <si>
    <t>010-8804-1528</t>
    <phoneticPr fontId="14" type="noConversion"/>
  </si>
  <si>
    <t>ryu00304@cnthoth.com</t>
    <phoneticPr fontId="20" type="noConversion"/>
  </si>
  <si>
    <t>870304-1</t>
  </si>
  <si>
    <t>경기과학기술대학</t>
  </si>
  <si>
    <t>이천HN_대응</t>
  </si>
  <si>
    <t>17336</t>
  </si>
  <si>
    <t xml:space="preserve">경기도 이천시 부발읍 경충대로 2091, SK하이닉스 기술지원센터 2층 SKHDC2 </t>
    <phoneticPr fontId="14" type="noConversion"/>
  </si>
  <si>
    <t>17333</t>
    <phoneticPr fontId="20" type="noConversion"/>
  </si>
  <si>
    <t>경기도 이천시 부발읍 경충대로2050번길 103-30, 1동 501호 (부발읍)</t>
    <phoneticPr fontId="14" type="noConversion"/>
  </si>
  <si>
    <t>인프라 장애 긴급 대응</t>
    <phoneticPr fontId="14" type="noConversion"/>
  </si>
  <si>
    <t>인프라 장비 장애 발생시 현장대응</t>
  </si>
  <si>
    <t>에스케이하이닉스(주) / SKHy '26년 ITO_데이타관제_1분기(4500303464-01)</t>
  </si>
  <si>
    <t>엄상경 M, 진교성 M</t>
    <phoneticPr fontId="20" type="noConversion"/>
  </si>
  <si>
    <t>곽경석</t>
    <phoneticPr fontId="14" type="noConversion"/>
  </si>
  <si>
    <t>이태희</t>
    <phoneticPr fontId="14" type="noConversion"/>
  </si>
  <si>
    <t>과장</t>
    <phoneticPr fontId="14" type="noConversion"/>
  </si>
  <si>
    <t>안전관리원</t>
    <phoneticPr fontId="14" type="noConversion"/>
  </si>
  <si>
    <t>박승혁 후임</t>
    <phoneticPr fontId="14" type="noConversion"/>
  </si>
  <si>
    <t>043-280-5802</t>
  </si>
  <si>
    <t>010-4860-3700</t>
    <phoneticPr fontId="14" type="noConversion"/>
  </si>
  <si>
    <t>arzento82@cnthoth.com</t>
  </si>
  <si>
    <t>820527-1</t>
  </si>
  <si>
    <t>충청대학교</t>
  </si>
  <si>
    <t>소프트웨어개발과</t>
  </si>
  <si>
    <t>정보처리산업기사</t>
  </si>
  <si>
    <t>청주HN_OP_주간</t>
    <phoneticPr fontId="14" type="noConversion"/>
  </si>
  <si>
    <t>SK하이닉스(청주)</t>
    <phoneticPr fontId="14" type="noConversion"/>
  </si>
  <si>
    <t>28436</t>
  </si>
  <si>
    <t>충청북도 청주시 흥덕구 직지대로 337 (향정동) , SKHDC4 (M11 3F)</t>
  </si>
  <si>
    <t>충청북도 청주시 상당구 영운천로55번길 43 (영운동)</t>
    <phoneticPr fontId="14" type="noConversion"/>
  </si>
  <si>
    <t>청주 DC 운영</t>
    <phoneticPr fontId="14" type="noConversion"/>
  </si>
  <si>
    <t>일반 안전관리</t>
  </si>
  <si>
    <t>/ 장비 반입반출 안전관리</t>
  </si>
  <si>
    <t>031-5185-3384</t>
    <phoneticPr fontId="14" type="noConversion"/>
  </si>
  <si>
    <t>010-3409-5608</t>
    <phoneticPr fontId="14" type="noConversion"/>
  </si>
  <si>
    <t>bylim@cnthoth.com</t>
    <phoneticPr fontId="14" type="noConversion"/>
  </si>
  <si>
    <t>751223-1</t>
  </si>
  <si>
    <t>경민대학</t>
  </si>
  <si>
    <t>전자계산학과, 학점은행제(학사) 이수</t>
  </si>
  <si>
    <t xml:space="preserve">CCNA </t>
  </si>
  <si>
    <t>이천HN_OP_주간</t>
    <phoneticPr fontId="14" type="noConversion"/>
  </si>
  <si>
    <t>16402</t>
    <phoneticPr fontId="14" type="noConversion"/>
  </si>
  <si>
    <t>경기도 수원시 권선구 호매실로218번길 111, 1302동 1503호 (호매실동,호매실마을13단지)</t>
    <phoneticPr fontId="14" type="noConversion"/>
  </si>
  <si>
    <t>이천 DC 운영</t>
    <phoneticPr fontId="14" type="noConversion"/>
  </si>
  <si>
    <t>이현진</t>
    <phoneticPr fontId="14" type="noConversion"/>
  </si>
  <si>
    <t>김만 후임</t>
    <phoneticPr fontId="14" type="noConversion"/>
  </si>
  <si>
    <t>02-6343-9325</t>
  </si>
  <si>
    <t>010-2980-0063</t>
  </si>
  <si>
    <t>lstfin83@cnthoth.com</t>
  </si>
  <si>
    <t>830617-1</t>
  </si>
  <si>
    <t>경기과학기술대학교</t>
  </si>
  <si>
    <t>컴퓨터정보시스템</t>
  </si>
  <si>
    <t>CSA</t>
  </si>
  <si>
    <t>01764</t>
    <phoneticPr fontId="14" type="noConversion"/>
  </si>
  <si>
    <t>서울특별시 노원구 동일로215길 23, 207동 1109호 (상계동, 상계주공2단지아파트)</t>
    <phoneticPr fontId="14" type="noConversion"/>
  </si>
  <si>
    <t>SKT 서버 운영</t>
    <phoneticPr fontId="20" type="noConversion"/>
  </si>
  <si>
    <t>이정민80</t>
    <phoneticPr fontId="14" type="noConversion"/>
  </si>
  <si>
    <t>고광연 후임</t>
    <phoneticPr fontId="14" type="noConversion"/>
  </si>
  <si>
    <t>02-3700-7227</t>
  </si>
  <si>
    <t>010-5910-3331</t>
    <phoneticPr fontId="14" type="noConversion"/>
  </si>
  <si>
    <t>qassqort@cnthoth.com</t>
  </si>
  <si>
    <t>800606-1</t>
  </si>
  <si>
    <t>신흥대학교</t>
  </si>
  <si>
    <t>오라클8i</t>
  </si>
  <si>
    <t>관훈빌딩_종로</t>
    <phoneticPr fontId="14" type="noConversion"/>
  </si>
  <si>
    <t>SK에코플랜트(종로)</t>
    <phoneticPr fontId="14" type="noConversion"/>
  </si>
  <si>
    <t>03149</t>
    <phoneticPr fontId="14" type="noConversion"/>
  </si>
  <si>
    <t>서울시 종로구 인사동7길 32, SK에코플랜트 관훈빌딩(정보기술팀) 11층</t>
    <phoneticPr fontId="14" type="noConversion"/>
  </si>
  <si>
    <t>04780</t>
    <phoneticPr fontId="14" type="noConversion"/>
  </si>
  <si>
    <t>서울특별시 성동구 뚝섬로3나길 17 (성수동1가)</t>
    <phoneticPr fontId="14" type="noConversion"/>
  </si>
  <si>
    <t>SK 에코플랜트 서버 운영</t>
    <phoneticPr fontId="20" type="noConversion"/>
  </si>
  <si>
    <t>장승정</t>
    <phoneticPr fontId="14" type="noConversion"/>
  </si>
  <si>
    <t>홍순덕 후임</t>
    <phoneticPr fontId="21" type="noConversion"/>
  </si>
  <si>
    <t>02-6400-7020</t>
    <phoneticPr fontId="14" type="noConversion"/>
  </si>
  <si>
    <t>010-2211-0408</t>
  </si>
  <si>
    <t>redclub0408@cnthoth.com</t>
    <phoneticPr fontId="14" type="noConversion"/>
  </si>
  <si>
    <t>880408-1</t>
  </si>
  <si>
    <t>세명대학교</t>
  </si>
  <si>
    <t>컴퓨터학부</t>
  </si>
  <si>
    <t>경기도 부천시 원미구 삼작로 268번길 53-8 주영홈타운 101동 801호</t>
  </si>
  <si>
    <t>SK전체(DHCP, VPN) N/W 보안 운영</t>
    <phoneticPr fontId="14" type="noConversion"/>
  </si>
  <si>
    <t>DNS 서버 관리</t>
  </si>
  <si>
    <t>/ IP 할당 관리</t>
  </si>
  <si>
    <t>정태옥(임명:김지원)</t>
    <phoneticPr fontId="14" type="noConversion"/>
  </si>
  <si>
    <t>김지원</t>
    <phoneticPr fontId="14" type="noConversion"/>
  </si>
  <si>
    <t>2018_신규</t>
    <phoneticPr fontId="14" type="noConversion"/>
  </si>
  <si>
    <t>02-6400-0366</t>
  </si>
  <si>
    <t>010-2088-6182</t>
    <phoneticPr fontId="20" type="noConversion"/>
  </si>
  <si>
    <t>ddoly3@cnthoth.com</t>
    <phoneticPr fontId="20" type="noConversion"/>
  </si>
  <si>
    <t>780727-1</t>
  </si>
  <si>
    <t>한양대학교</t>
  </si>
  <si>
    <t>컴퓨터공학과</t>
  </si>
  <si>
    <t>03166</t>
  </si>
  <si>
    <t>서울특별시 종로구 송월길130 경희궁자이 103동 805호</t>
    <phoneticPr fontId="14" type="noConversion"/>
  </si>
  <si>
    <t>천형준 M</t>
  </si>
  <si>
    <t>윤영원</t>
    <phoneticPr fontId="21" type="noConversion"/>
  </si>
  <si>
    <t>2015_신규</t>
    <phoneticPr fontId="14" type="noConversion"/>
  </si>
  <si>
    <t>010-3254-4852</t>
    <phoneticPr fontId="14" type="noConversion"/>
  </si>
  <si>
    <t>yywchrist@cnthoth.com</t>
    <phoneticPr fontId="14" type="noConversion"/>
  </si>
  <si>
    <t>751225-1</t>
    <phoneticPr fontId="14" type="noConversion"/>
  </si>
  <si>
    <t>단국대학교</t>
  </si>
  <si>
    <t>전산통계학과</t>
  </si>
  <si>
    <t>SKT 6F_성수</t>
    <phoneticPr fontId="21" type="noConversion"/>
  </si>
  <si>
    <t>SKT(성수)</t>
    <phoneticPr fontId="14" type="noConversion"/>
  </si>
  <si>
    <t>04799</t>
    <phoneticPr fontId="14" type="noConversion"/>
  </si>
  <si>
    <t>서울시 성동구 광나루로6길 36(성수동2가) SKT 성수사옥 6층</t>
    <phoneticPr fontId="14" type="noConversion"/>
  </si>
  <si>
    <t>10523</t>
    <phoneticPr fontId="14" type="noConversion"/>
  </si>
  <si>
    <t>경기도 고양시 덕양구 무원로 2, 202호 (행신동,센스빌1차)</t>
    <phoneticPr fontId="14" type="noConversion"/>
  </si>
  <si>
    <t>SKP 서버 운영</t>
    <phoneticPr fontId="20" type="noConversion"/>
  </si>
  <si>
    <t>에스케이 플래닛(주) / SKP 25년 위탁운영 서비스 유지보수_1분기(4500302117-01)</t>
  </si>
  <si>
    <t>이재열 상무</t>
    <phoneticPr fontId="14" type="noConversion"/>
  </si>
  <si>
    <t>이은서(임명:이종배)</t>
    <phoneticPr fontId="14" type="noConversion"/>
  </si>
  <si>
    <t>이종배</t>
    <phoneticPr fontId="14" type="noConversion"/>
  </si>
  <si>
    <t>하도급(직)</t>
    <phoneticPr fontId="14" type="noConversion"/>
  </si>
  <si>
    <t>02-6400-5621</t>
  </si>
  <si>
    <t>010-3398-3958</t>
    <phoneticPr fontId="14" type="noConversion"/>
  </si>
  <si>
    <t>brandon@cnthoth.com</t>
  </si>
  <si>
    <t>Brock University</t>
  </si>
  <si>
    <t>IBM CSE</t>
  </si>
  <si>
    <t>ITIL</t>
  </si>
  <si>
    <t>씨앤토트㈜</t>
    <phoneticPr fontId="21" type="noConversion"/>
  </si>
  <si>
    <t>경기도 이천시 부발읍 경충대로 2091, SK하이닉스</t>
    <phoneticPr fontId="14" type="noConversion"/>
  </si>
  <si>
    <t>경기도 용인시 처인구 한터로  55-30 (1/14), 113동 1404호 (유방동,용인보평역 서희스타힐스 리버파크)</t>
    <phoneticPr fontId="14" type="noConversion"/>
  </si>
  <si>
    <t>Cloud 서비스팀_씨앤토트㈜</t>
  </si>
  <si>
    <t>SK하이닉스 Windows 기술지원</t>
    <phoneticPr fontId="20" type="noConversion"/>
  </si>
  <si>
    <t>SK하이닉스 Microsoft EA (Windows server 기술지원)(미계약)</t>
  </si>
  <si>
    <t>조원석(임명:윤석원)</t>
    <phoneticPr fontId="14" type="noConversion"/>
  </si>
  <si>
    <t>윤석원</t>
    <phoneticPr fontId="20" type="noConversion"/>
  </si>
  <si>
    <t>02-829-2401</t>
    <phoneticPr fontId="14" type="noConversion"/>
  </si>
  <si>
    <t>010-5491-1782</t>
  </si>
  <si>
    <t>yoon0428@cnthoth.com</t>
  </si>
  <si>
    <t>800116-1</t>
  </si>
  <si>
    <t>서울특별시 관악구 보라매로5길 1, 4층 SKC&amp;C (봉천동, SK텔레콤 보라매 사옥)</t>
    <phoneticPr fontId="14" type="noConversion"/>
  </si>
  <si>
    <t>05064</t>
    <phoneticPr fontId="14" type="noConversion"/>
  </si>
  <si>
    <t>서울특별시 광진구 자양번영로 72-7, 401호 (자양동, 해피하우스)</t>
    <phoneticPr fontId="14" type="noConversion"/>
  </si>
  <si>
    <t>SKTelink 서버 운영</t>
    <phoneticPr fontId="14" type="noConversion"/>
  </si>
  <si>
    <t>Unix/Linux 서버 운영</t>
  </si>
  <si>
    <t>/ Windows 서버</t>
  </si>
  <si>
    <t>고객사 공통 / 2026년_인프라운영_HC12_25_1분기(4500303370-01)</t>
  </si>
  <si>
    <t>김성수</t>
    <phoneticPr fontId="21" type="noConversion"/>
  </si>
  <si>
    <t>추승훈 후임</t>
    <phoneticPr fontId="14" type="noConversion"/>
  </si>
  <si>
    <t>010-6384-9769</t>
    <phoneticPr fontId="14" type="noConversion"/>
  </si>
  <si>
    <t>ksstyle@cnthoth.com</t>
  </si>
  <si>
    <t>840226-1</t>
  </si>
  <si>
    <t>명지대학교</t>
  </si>
  <si>
    <t>경영학과</t>
  </si>
  <si>
    <t>08703</t>
  </si>
  <si>
    <t>서울특별시 관악구 신사로26길 38-10, 402호 (신림동, 파크빌)</t>
    <phoneticPr fontId="14" type="noConversion"/>
  </si>
  <si>
    <t>SK공통 NOC 운영</t>
  </si>
  <si>
    <t>N/W 관제, 장애 조치</t>
  </si>
  <si>
    <t>박규성(임명:인장환)</t>
    <phoneticPr fontId="14" type="noConversion"/>
  </si>
  <si>
    <t>인장환</t>
  </si>
  <si>
    <t>02-6266-7479</t>
    <phoneticPr fontId="14" type="noConversion"/>
  </si>
  <si>
    <t>010-8648-7464</t>
    <phoneticPr fontId="14" type="noConversion"/>
  </si>
  <si>
    <t>princein@cnthoth.com</t>
  </si>
  <si>
    <t>750510-1</t>
  </si>
  <si>
    <t>원광대학교</t>
  </si>
  <si>
    <t>Oracle Weblogic Server 10g</t>
  </si>
  <si>
    <t>경기도 고양시 일산 동구 위시티4로 80, 111동 701호 (식사동, 일산자이1단지아파트)</t>
    <phoneticPr fontId="14" type="noConversion"/>
  </si>
  <si>
    <t>박장환</t>
    <phoneticPr fontId="21" type="noConversion"/>
  </si>
  <si>
    <t>2016_신규</t>
    <phoneticPr fontId="14" type="noConversion"/>
  </si>
  <si>
    <t>02-6266-6032</t>
    <phoneticPr fontId="14" type="noConversion"/>
  </si>
  <si>
    <t>010-6391-1661</t>
  </si>
  <si>
    <t>oraclever@cnthoth.com</t>
  </si>
  <si>
    <t>860310-1</t>
  </si>
  <si>
    <t>가천대학교</t>
  </si>
  <si>
    <t>컴퓨터미디어</t>
  </si>
  <si>
    <t>OCP 11g</t>
  </si>
  <si>
    <t>서울시 동작구 여의대방로 74 (신대방동) SK브로드밴드 7층</t>
    <phoneticPr fontId="20" type="noConversion"/>
  </si>
  <si>
    <t>08788</t>
  </si>
  <si>
    <t>서울특별시 관악구 남부순환로228길 28, 401호 (봉천동)</t>
    <phoneticPr fontId="14" type="noConversion"/>
  </si>
  <si>
    <t>한재호</t>
    <phoneticPr fontId="14" type="noConversion"/>
  </si>
  <si>
    <t>초급하</t>
    <phoneticPr fontId="14" type="noConversion"/>
  </si>
  <si>
    <t>인프라 운영지원 엔지니어</t>
    <phoneticPr fontId="14" type="noConversion"/>
  </si>
  <si>
    <t>2023_신규</t>
    <phoneticPr fontId="14" type="noConversion"/>
  </si>
  <si>
    <t>010-9934-0497</t>
  </si>
  <si>
    <t>hjmhim@cnthoth.com</t>
  </si>
  <si>
    <t>910204-1</t>
  </si>
  <si>
    <t>주성대학</t>
  </si>
  <si>
    <t>반도체전자과</t>
  </si>
  <si>
    <t>충청북도 청주시 흥덕구 직지대로 337 (향정동) , SKHDC4 (M11 3F)</t>
    <phoneticPr fontId="14" type="noConversion"/>
  </si>
  <si>
    <t>28780</t>
    <phoneticPr fontId="14" type="noConversion"/>
  </si>
  <si>
    <t>충청북도 청주시 상당구 월평로 243, 101동 1014호 (용암동, 부영1차아파트)</t>
    <phoneticPr fontId="14" type="noConversion"/>
  </si>
  <si>
    <t>인프라 운영 지원</t>
  </si>
  <si>
    <t>허영</t>
    <phoneticPr fontId="14" type="noConversion"/>
  </si>
  <si>
    <t>010-3344-3944</t>
    <phoneticPr fontId="14" type="noConversion"/>
  </si>
  <si>
    <t>her0ja@cnthoth.com</t>
  </si>
  <si>
    <t>851228-1</t>
  </si>
  <si>
    <t>백석대학교</t>
  </si>
  <si>
    <t>소프트웨어공학과</t>
  </si>
  <si>
    <t>컴퓨터활용능력1급</t>
  </si>
  <si>
    <t>워드프로세서1급</t>
  </si>
  <si>
    <t>인터넷정보검색사1급</t>
  </si>
  <si>
    <t>경기도 성남시 분당구 성남대로 343번길 9 SK U타워 6층</t>
    <phoneticPr fontId="14" type="noConversion"/>
  </si>
  <si>
    <t>18473</t>
    <phoneticPr fontId="14" type="noConversion"/>
  </si>
  <si>
    <t>경기도 화성시 동탄대로24길 199, 487동 203호(영천동, 동탄 에듀밸리 사랑으로 부영아파트)</t>
    <phoneticPr fontId="14" type="noConversion"/>
  </si>
  <si>
    <t>김효기</t>
    <phoneticPr fontId="14" type="noConversion"/>
  </si>
  <si>
    <t>대리</t>
    <phoneticPr fontId="14" type="noConversion"/>
  </si>
  <si>
    <t>이은서 후임</t>
    <phoneticPr fontId="14" type="noConversion"/>
  </si>
  <si>
    <t xml:space="preserve">031-630-3384 </t>
  </si>
  <si>
    <t>010-3287-9984</t>
  </si>
  <si>
    <t>gooy12@cnthoth.com</t>
  </si>
  <si>
    <t>931027-1</t>
  </si>
  <si>
    <t>곤지암고등학교</t>
  </si>
  <si>
    <t>컴퓨터정보</t>
  </si>
  <si>
    <t>경기도 광주시 곤지암읍 신만로 69</t>
    <phoneticPr fontId="14" type="noConversion"/>
  </si>
  <si>
    <t>이원동 M</t>
    <phoneticPr fontId="14" type="noConversion"/>
  </si>
  <si>
    <t>명승일</t>
    <phoneticPr fontId="14" type="noConversion"/>
  </si>
  <si>
    <t>심민석</t>
    <phoneticPr fontId="14" type="noConversion"/>
  </si>
  <si>
    <t>초급기술자</t>
  </si>
  <si>
    <t>민영돈 후임</t>
    <phoneticPr fontId="14" type="noConversion"/>
  </si>
  <si>
    <t>010-5077-0417</t>
  </si>
  <si>
    <t>syslog417@cnthoth.com</t>
    <phoneticPr fontId="14" type="noConversion"/>
  </si>
  <si>
    <t>890103-1</t>
  </si>
  <si>
    <t>학점은행제</t>
  </si>
  <si>
    <t>대졸</t>
    <phoneticPr fontId="20" type="noConversion"/>
  </si>
  <si>
    <t>리눅스마스터2급</t>
  </si>
  <si>
    <t>AutoCAD2급</t>
  </si>
  <si>
    <t>SKT_수내</t>
    <phoneticPr fontId="14" type="noConversion"/>
  </si>
  <si>
    <t>SKT(수내)</t>
    <phoneticPr fontId="14" type="noConversion"/>
  </si>
  <si>
    <t>명승일</t>
    <phoneticPr fontId="21" type="noConversion"/>
  </si>
  <si>
    <t xml:space="preserve">경기도 분당구 황새울로 258번길 6 SKT </t>
    <phoneticPr fontId="14" type="noConversion"/>
  </si>
  <si>
    <t>12788</t>
    <phoneticPr fontId="14" type="noConversion"/>
  </si>
  <si>
    <t>경기도 광주시 태성1로 16, 108동 2204호 (고산동, 더샵오포센트럴포레)</t>
    <phoneticPr fontId="14" type="noConversion"/>
  </si>
  <si>
    <t>보안사업개발팀</t>
  </si>
  <si>
    <t>SKT N/W 보안 운영</t>
    <phoneticPr fontId="14" type="noConversion"/>
  </si>
  <si>
    <t>에스케이텔레콤(주)  SKT 25년 SDN 보안장비 기술지원 용역_1분기(4500304018-01)</t>
  </si>
  <si>
    <t>조원석(임명:김길배)</t>
    <phoneticPr fontId="14" type="noConversion"/>
  </si>
  <si>
    <t>김길배</t>
    <phoneticPr fontId="21" type="noConversion"/>
  </si>
  <si>
    <t>차장</t>
  </si>
  <si>
    <t>초급상</t>
    <phoneticPr fontId="21" type="noConversion"/>
  </si>
  <si>
    <t>선승필 후임</t>
    <phoneticPr fontId="14" type="noConversion"/>
  </si>
  <si>
    <t>010-8927-2899</t>
  </si>
  <si>
    <t>yukikaze24@cnthoth.com</t>
  </si>
  <si>
    <t>811207-1</t>
  </si>
  <si>
    <t>백석문화대학교</t>
  </si>
  <si>
    <t>컴퓨터정보학과</t>
  </si>
  <si>
    <t>10g</t>
  </si>
  <si>
    <t>12c</t>
  </si>
  <si>
    <t>서울시 관악구 보라매로5길 1  SK텔레콤빌딩 7F (봉천동)</t>
    <phoneticPr fontId="14" type="noConversion"/>
  </si>
  <si>
    <t>경기도 수원시 영통구 매영로 84, 114동 504호 (매탄동, 한국2차아파트)</t>
  </si>
  <si>
    <t>고객사 공통 / 2026년_인프라운영_HC12_24_1분기(4500303378-01)</t>
  </si>
  <si>
    <t>류해리 M, 이영진 M</t>
  </si>
  <si>
    <t>이종경 후임</t>
    <phoneticPr fontId="14" type="noConversion"/>
  </si>
  <si>
    <t>010-8377-8638</t>
    <phoneticPr fontId="14" type="noConversion"/>
  </si>
  <si>
    <t>rudtjr0414@cnthoth.com</t>
    <phoneticPr fontId="20" type="noConversion"/>
  </si>
  <si>
    <t>930414-1</t>
    <phoneticPr fontId="14" type="noConversion"/>
  </si>
  <si>
    <t>성보정보고</t>
  </si>
  <si>
    <t xml:space="preserve">인터넷정보처리학과    </t>
  </si>
  <si>
    <t>리눅스마스터2급</t>
    <phoneticPr fontId="14" type="noConversion"/>
  </si>
  <si>
    <t>28630</t>
    <phoneticPr fontId="14" type="noConversion"/>
  </si>
  <si>
    <t>충청북도 청주시 서원구 두꺼비로60번길 11-16, 201호 (산남동)</t>
    <phoneticPr fontId="14" type="noConversion"/>
  </si>
  <si>
    <t>김부강</t>
    <phoneticPr fontId="14" type="noConversion"/>
  </si>
  <si>
    <t>김영제</t>
    <phoneticPr fontId="14" type="noConversion"/>
  </si>
  <si>
    <t>010-4531-8968</t>
    <phoneticPr fontId="14" type="noConversion"/>
  </si>
  <si>
    <t>borntorun@cnthoth.com</t>
  </si>
  <si>
    <t>880406-1</t>
  </si>
  <si>
    <t>소프트웨어학과</t>
  </si>
  <si>
    <t>김부강</t>
    <phoneticPr fontId="21" type="noConversion"/>
  </si>
  <si>
    <t>경기도 성남시 분당구 판교로 255번길 38 SK C&amp;C 판교캠퍼스 B동 5층</t>
    <phoneticPr fontId="14" type="noConversion"/>
  </si>
  <si>
    <t>05526</t>
    <phoneticPr fontId="14" type="noConversion"/>
  </si>
  <si>
    <t>서울특별시 송파구 풍성로6가길 14-13, 지층동 101호 (풍납동)</t>
    <phoneticPr fontId="14" type="noConversion"/>
  </si>
  <si>
    <t>박승혁</t>
    <phoneticPr fontId="14" type="noConversion"/>
  </si>
  <si>
    <t>김도형 후임</t>
    <phoneticPr fontId="14" type="noConversion"/>
  </si>
  <si>
    <t>010-9445-4064</t>
    <phoneticPr fontId="14" type="noConversion"/>
  </si>
  <si>
    <t>p4064@cnthoth.com</t>
  </si>
  <si>
    <t>930201-1</t>
  </si>
  <si>
    <t>대전대학교</t>
  </si>
  <si>
    <t>정보보안과</t>
  </si>
  <si>
    <t>청주HN_대응</t>
  </si>
  <si>
    <t>충청북도 청주시 상당구 수영로 328, 208동 1002호(금천동, 장자마을현대아파트)</t>
  </si>
  <si>
    <t>김태형 후임</t>
    <phoneticPr fontId="14" type="noConversion"/>
  </si>
  <si>
    <t>010-8702-3487</t>
    <phoneticPr fontId="14" type="noConversion"/>
  </si>
  <si>
    <t>sicommu@cnthoth.com</t>
    <phoneticPr fontId="14" type="noConversion"/>
  </si>
  <si>
    <t>761106-1</t>
  </si>
  <si>
    <t>한국방송통신대학교</t>
  </si>
  <si>
    <t>컴퓨터과학과</t>
  </si>
  <si>
    <t>정보통신산업기사</t>
  </si>
  <si>
    <t>경기도 용인시 기흥구 흥덕4로30번길 22-13, 301호 (영덕동)</t>
    <phoneticPr fontId="14" type="noConversion"/>
  </si>
  <si>
    <t>김희경</t>
    <phoneticPr fontId="21" type="noConversion"/>
  </si>
  <si>
    <t>박성국 후임</t>
    <phoneticPr fontId="14" type="noConversion"/>
  </si>
  <si>
    <t>02-6400-7017</t>
  </si>
  <si>
    <t>010-5180-4900</t>
  </si>
  <si>
    <t>ehdrb0212@cnthoth.com</t>
  </si>
  <si>
    <t>920212-1</t>
  </si>
  <si>
    <t>대구대학교</t>
  </si>
  <si>
    <t>전산공학과</t>
  </si>
  <si>
    <t>네트워크관리사</t>
  </si>
  <si>
    <t>리눅스마스터</t>
  </si>
  <si>
    <t>08601</t>
    <phoneticPr fontId="14" type="noConversion"/>
  </si>
  <si>
    <t>서울특별시 금천구 벚꽃로 110, 1111호 (독산동, 명남더블레스)</t>
    <phoneticPr fontId="14" type="noConversion"/>
  </si>
  <si>
    <t>고경훈 M</t>
    <phoneticPr fontId="14" type="noConversion"/>
  </si>
  <si>
    <t>고경훈 후임</t>
    <phoneticPr fontId="14" type="noConversion"/>
  </si>
  <si>
    <t>02-6400-4085</t>
  </si>
  <si>
    <t>010-5592-9592</t>
    <phoneticPr fontId="14" type="noConversion"/>
  </si>
  <si>
    <t>kbk0328@cnthoth.com</t>
    <phoneticPr fontId="14" type="noConversion"/>
  </si>
  <si>
    <t>880328-1</t>
  </si>
  <si>
    <t>인제대학교대학원</t>
  </si>
  <si>
    <t>나노융합공학과</t>
  </si>
  <si>
    <t>대학원졸</t>
  </si>
  <si>
    <t>MCSA</t>
    <phoneticPr fontId="20" type="noConversion"/>
  </si>
  <si>
    <t>경기도 성남시 분당구 판교로 255번길 38 SK C&amp;C 판교캠퍼스 B동 5층</t>
  </si>
  <si>
    <t>17149</t>
  </si>
  <si>
    <t>경기도 용인시 처인구 고림로162번길 39, 206동 1303호 (고림동, 힐스테이트 용인 고진역 2단지)</t>
    <phoneticPr fontId="14" type="noConversion"/>
  </si>
  <si>
    <t>Global Cloud 팀</t>
    <phoneticPr fontId="14" type="noConversion"/>
  </si>
  <si>
    <t>고객사 공통 / 2026년_인프라운영_HC10_37_1분기(4500303364-01)</t>
  </si>
  <si>
    <t>박규성(임명:윤정열)</t>
    <phoneticPr fontId="14" type="noConversion"/>
  </si>
  <si>
    <t>윤정열</t>
    <phoneticPr fontId="21" type="noConversion"/>
  </si>
  <si>
    <t>2017_신규</t>
    <phoneticPr fontId="21" type="noConversion"/>
  </si>
  <si>
    <t>02-6266-6562</t>
    <phoneticPr fontId="14" type="noConversion"/>
  </si>
  <si>
    <t>010-4322-1617</t>
    <phoneticPr fontId="21" type="noConversion"/>
  </si>
  <si>
    <t>jyyoon@cnthoth.com</t>
    <phoneticPr fontId="14" type="noConversion"/>
  </si>
  <si>
    <t>860103-1</t>
  </si>
  <si>
    <t>평택대학교</t>
  </si>
  <si>
    <t>정보통신학과</t>
  </si>
  <si>
    <t>10503</t>
    <phoneticPr fontId="14" type="noConversion"/>
  </si>
  <si>
    <t>경기도 고양시 덕양구 백양로 27, 1402동 1201호 (화정동, 옥빛마을14단지아파트)</t>
    <phoneticPr fontId="14" type="noConversion"/>
  </si>
  <si>
    <t>박규성(임명:이현철)</t>
    <phoneticPr fontId="14" type="noConversion"/>
  </si>
  <si>
    <t>이현철</t>
    <phoneticPr fontId="14" type="noConversion"/>
  </si>
  <si>
    <t>010-5032-1440</t>
    <phoneticPr fontId="14" type="noConversion"/>
  </si>
  <si>
    <t>hclee@cnthoth.com</t>
    <phoneticPr fontId="14" type="noConversion"/>
  </si>
  <si>
    <t>840522-1</t>
  </si>
  <si>
    <t>서일전문대</t>
  </si>
  <si>
    <t>인터넷정보과</t>
  </si>
  <si>
    <t>정보처리기능사</t>
  </si>
  <si>
    <t>07063</t>
  </si>
  <si>
    <t>경기도 광명시 광명로 888번길 26-13, 201호(금강빌라)</t>
  </si>
  <si>
    <t>/ 클라우드 인프라 운영</t>
  </si>
  <si>
    <t>박규성(임명:맹완호)</t>
    <phoneticPr fontId="14" type="noConversion"/>
  </si>
  <si>
    <t>맹완호</t>
    <phoneticPr fontId="21" type="noConversion"/>
  </si>
  <si>
    <t>조동순 후임</t>
    <phoneticPr fontId="14" type="noConversion"/>
  </si>
  <si>
    <t>02-6266-2383</t>
    <phoneticPr fontId="14" type="noConversion"/>
  </si>
  <si>
    <t>010-6500-8067</t>
    <phoneticPr fontId="14" type="noConversion"/>
  </si>
  <si>
    <t>maeng16@cnthoth.com</t>
    <phoneticPr fontId="14" type="noConversion"/>
  </si>
  <si>
    <t>820323-1</t>
  </si>
  <si>
    <t>정보통신과</t>
  </si>
  <si>
    <t>SCSA</t>
  </si>
  <si>
    <t>OCNA</t>
  </si>
  <si>
    <t>07765</t>
  </si>
  <si>
    <t>서울특별시 강서구 가로공원로82길 41-21, B동 201호 (화곡동, 경인빌라)</t>
    <phoneticPr fontId="14" type="noConversion"/>
  </si>
  <si>
    <t>Unix(솔라리스) 운영</t>
  </si>
  <si>
    <t>송찬호</t>
    <phoneticPr fontId="14" type="noConversion"/>
  </si>
  <si>
    <t>김영수93 후임</t>
    <phoneticPr fontId="14" type="noConversion"/>
  </si>
  <si>
    <t>010-8215-1504</t>
    <phoneticPr fontId="14" type="noConversion"/>
  </si>
  <si>
    <t>cksgh1504@cnthoth.com</t>
    <phoneticPr fontId="14" type="noConversion"/>
  </si>
  <si>
    <t>930323-1</t>
  </si>
  <si>
    <t>상명대학교(천안)</t>
  </si>
  <si>
    <t>컴퓨터시스템공학과</t>
  </si>
  <si>
    <t>SK AX A동 1F_판교</t>
    <phoneticPr fontId="14" type="noConversion"/>
  </si>
  <si>
    <t>17033</t>
    <phoneticPr fontId="14" type="noConversion"/>
  </si>
  <si>
    <t>경기도 용인시 처인구 모현읍 문현로 326, 203동 603호 (모현읍, 효천마을신안인스빌)</t>
    <phoneticPr fontId="14" type="noConversion"/>
  </si>
  <si>
    <t>허균</t>
    <phoneticPr fontId="14" type="noConversion"/>
  </si>
  <si>
    <t>초급하</t>
    <phoneticPr fontId="21" type="noConversion"/>
  </si>
  <si>
    <t>한성훈 후임</t>
    <phoneticPr fontId="14" type="noConversion"/>
  </si>
  <si>
    <t>010-8978-9202</t>
    <phoneticPr fontId="14" type="noConversion"/>
  </si>
  <si>
    <t>toy0137@cnthoth.com</t>
    <phoneticPr fontId="14" type="noConversion"/>
  </si>
  <si>
    <t>920217-1</t>
  </si>
  <si>
    <t>김포대학교</t>
  </si>
  <si>
    <t>항공전기전자학과</t>
  </si>
  <si>
    <t>06952</t>
  </si>
  <si>
    <t>서울특별시 동작구 상도로 99-15 성대하이츠빌301호(상도3동)</t>
    <phoneticPr fontId="14" type="noConversion"/>
  </si>
  <si>
    <t>VPN 운영</t>
  </si>
  <si>
    <t>최재유(임명:이인표)</t>
    <phoneticPr fontId="14" type="noConversion"/>
  </si>
  <si>
    <t>이인표</t>
    <phoneticPr fontId="14" type="noConversion"/>
  </si>
  <si>
    <t>최지웅 후임</t>
    <phoneticPr fontId="14" type="noConversion"/>
  </si>
  <si>
    <t>070-7800-2270</t>
  </si>
  <si>
    <t>010-3238-4096</t>
    <phoneticPr fontId="14" type="noConversion"/>
  </si>
  <si>
    <t>lip2234@cnthoth.com</t>
    <phoneticPr fontId="14" type="noConversion"/>
  </si>
  <si>
    <t>840225-1</t>
  </si>
  <si>
    <t>한라대학교</t>
  </si>
  <si>
    <t>경영정보학과</t>
  </si>
  <si>
    <t>CCNPIPRouting</t>
  </si>
  <si>
    <t>삼일빌딩 26F_종로</t>
    <phoneticPr fontId="14" type="noConversion"/>
  </si>
  <si>
    <t>서울시 종로구 청계천로 85 삼일빌딩 26층</t>
    <phoneticPr fontId="14" type="noConversion"/>
  </si>
  <si>
    <t>02701</t>
    <phoneticPr fontId="14" type="noConversion"/>
  </si>
  <si>
    <t>서울시 성북구 보국문로30길 28, 405호(정릉동,태솔에버빌)</t>
    <phoneticPr fontId="14" type="noConversion"/>
  </si>
  <si>
    <t>SK네트웍스, SK네트웍스 자회사(워커힐) 고객지원</t>
    <phoneticPr fontId="14" type="noConversion"/>
  </si>
  <si>
    <t>N/W 고객요청 처리</t>
  </si>
  <si>
    <t>김대권M</t>
    <phoneticPr fontId="14" type="noConversion"/>
  </si>
  <si>
    <t>010-9919-1274</t>
    <phoneticPr fontId="14" type="noConversion"/>
  </si>
  <si>
    <t>leeseo4614@cnthoth.com</t>
    <phoneticPr fontId="14" type="noConversion"/>
  </si>
  <si>
    <t>950913-1</t>
  </si>
  <si>
    <t>여주대학교</t>
  </si>
  <si>
    <t>컴퓨터정보과</t>
  </si>
  <si>
    <t xml:space="preserve">경기도 이천시 부발읍 경충대로 2091, SK하이닉스 기술지원센터 6층 SKHDC2 </t>
  </si>
  <si>
    <t>경기도 여주시 현암3길 45, B동 306호 (현암동, 현암강변빌라)</t>
    <phoneticPr fontId="14" type="noConversion"/>
  </si>
  <si>
    <t>SK하이닉스 서버 운영</t>
    <phoneticPr fontId="20" type="noConversion"/>
  </si>
  <si>
    <t>에스케이하이닉스(주) / SKHy '26년 ITO_인프라_1분기(4500303686-01)</t>
  </si>
  <si>
    <t>최도원</t>
  </si>
  <si>
    <t>2024_신규</t>
    <phoneticPr fontId="14" type="noConversion"/>
  </si>
  <si>
    <t>010-8977-9402</t>
    <phoneticPr fontId="14" type="noConversion"/>
  </si>
  <si>
    <t>arkpl88@cnthoth.com</t>
    <phoneticPr fontId="14" type="noConversion"/>
  </si>
  <si>
    <t>960720-1</t>
  </si>
  <si>
    <t>경기도 여주시 세종로 173-65, 102동 1401호 (홍문동, 상우아파트)</t>
    <phoneticPr fontId="14" type="noConversion"/>
  </si>
  <si>
    <t>탁오현</t>
    <phoneticPr fontId="14" type="noConversion"/>
  </si>
  <si>
    <t>송규인 후임</t>
    <phoneticPr fontId="14" type="noConversion"/>
  </si>
  <si>
    <t>010-9869-6915</t>
    <phoneticPr fontId="14" type="noConversion"/>
  </si>
  <si>
    <t>ohhyun@cnthoth.com</t>
    <phoneticPr fontId="14" type="noConversion"/>
  </si>
  <si>
    <t>931102-1</t>
  </si>
  <si>
    <t>양영디지털고등학교</t>
  </si>
  <si>
    <t>로봇전자과</t>
  </si>
  <si>
    <t>13544</t>
    <phoneticPr fontId="14" type="noConversion"/>
  </si>
  <si>
    <t>경기도 성남시 분당구 판교대장로5길 58, 1107동 1403호 (대장동, 더샵 판교포레스트 11단지)</t>
    <phoneticPr fontId="14" type="noConversion"/>
  </si>
  <si>
    <t>SKHC, SK바이오텍, SK바이오팜, SKMS, SK스페셜티(자회사 포함 : 머티리얼즈, SK에어가스, SK트리켐, SK에버텍엔터프라이즈, SKJNC, SK쇼와덴코) 고객지원</t>
    <phoneticPr fontId="14" type="noConversion"/>
  </si>
  <si>
    <t>정혜진</t>
    <phoneticPr fontId="14" type="noConversion"/>
  </si>
  <si>
    <t>대리</t>
    <phoneticPr fontId="20" type="noConversion"/>
  </si>
  <si>
    <t>서비스 관제 엔지니어</t>
    <phoneticPr fontId="14" type="noConversion"/>
  </si>
  <si>
    <t>허회국 후임</t>
    <phoneticPr fontId="14" type="noConversion"/>
  </si>
  <si>
    <t>010-3909-5173</t>
    <phoneticPr fontId="14" type="noConversion"/>
  </si>
  <si>
    <t>ekfhd5173@cnthoth.com</t>
    <phoneticPr fontId="14" type="noConversion"/>
  </si>
  <si>
    <t>961125-2</t>
  </si>
  <si>
    <t>부경대학교</t>
    <phoneticPr fontId="20" type="noConversion"/>
  </si>
  <si>
    <t>방송영상영화과</t>
  </si>
  <si>
    <t>AZ-900</t>
    <phoneticPr fontId="14" type="noConversion"/>
  </si>
  <si>
    <t>10406</t>
    <phoneticPr fontId="14" type="noConversion"/>
  </si>
  <si>
    <t>경기도 고양시 일산동구 일산로380번길 43-15 (정발산동)</t>
    <phoneticPr fontId="14" type="noConversion"/>
  </si>
  <si>
    <t>황창선 M, 현석무 M</t>
    <phoneticPr fontId="14" type="noConversion"/>
  </si>
  <si>
    <t>강연길</t>
    <phoneticPr fontId="14" type="noConversion"/>
  </si>
  <si>
    <t>010-9765-9113</t>
    <phoneticPr fontId="14" type="noConversion"/>
  </si>
  <si>
    <t>kyk84@cnthoth.com</t>
    <phoneticPr fontId="14" type="noConversion"/>
  </si>
  <si>
    <t>841117-1</t>
  </si>
  <si>
    <t>경원대학교</t>
  </si>
  <si>
    <t>컴퓨터소프트웨어</t>
  </si>
  <si>
    <t>SKT 5F_수내</t>
    <phoneticPr fontId="14" type="noConversion"/>
  </si>
  <si>
    <t>경기도 분당구 황새울로 258번길 6 SKT 5F</t>
    <phoneticPr fontId="14" type="noConversion"/>
  </si>
  <si>
    <t>12790</t>
    <phoneticPr fontId="20" type="noConversion"/>
  </si>
  <si>
    <t>경기도 광주시 고산별빛1로 11 오포자이디오브 301동 502호</t>
    <phoneticPr fontId="14" type="noConversion"/>
  </si>
  <si>
    <t>SKT 서버 운영</t>
    <phoneticPr fontId="14" type="noConversion"/>
  </si>
  <si>
    <t>에스케이텔레콤(주) / SKT 25년 부가문자음성 유지보수_26년1분기(4500302136-01)</t>
  </si>
  <si>
    <t>김요한</t>
    <phoneticPr fontId="14" type="noConversion"/>
  </si>
  <si>
    <t>김지훈 후임</t>
    <phoneticPr fontId="14" type="noConversion"/>
  </si>
  <si>
    <t>02-6400-7609</t>
  </si>
  <si>
    <t>010-2873-0850</t>
    <phoneticPr fontId="14" type="noConversion"/>
  </si>
  <si>
    <t>yohan.kim@cnthoth.com</t>
    <phoneticPr fontId="14" type="noConversion"/>
  </si>
  <si>
    <t>871015-1</t>
  </si>
  <si>
    <t>목포대학교</t>
  </si>
  <si>
    <t>정보통신공학</t>
  </si>
  <si>
    <t>12821</t>
    <phoneticPr fontId="14" type="noConversion"/>
  </si>
  <si>
    <t>경기도 광주시 새말길 239, 303호 (신현동)</t>
    <phoneticPr fontId="20" type="noConversion"/>
  </si>
  <si>
    <t>N/A</t>
    <phoneticPr fontId="14" type="noConversion"/>
  </si>
  <si>
    <t>박시성 팀장</t>
    <phoneticPr fontId="20" type="noConversion"/>
  </si>
  <si>
    <t>엄홍열</t>
    <phoneticPr fontId="14" type="noConversion"/>
  </si>
  <si>
    <t>2020_신규</t>
    <phoneticPr fontId="14" type="noConversion"/>
  </si>
  <si>
    <t>010-2557-7358</t>
    <phoneticPr fontId="14" type="noConversion"/>
  </si>
  <si>
    <t>bluefit2@cnthoth.com</t>
    <phoneticPr fontId="14" type="noConversion"/>
  </si>
  <si>
    <t>711020-1</t>
  </si>
  <si>
    <t>제천제일고등학교</t>
  </si>
  <si>
    <t>SK증권_주간</t>
    <phoneticPr fontId="14" type="noConversion"/>
  </si>
  <si>
    <t>SK증권</t>
    <phoneticPr fontId="21" type="noConversion"/>
  </si>
  <si>
    <t>SK증권(여의도)</t>
    <phoneticPr fontId="14" type="noConversion"/>
  </si>
  <si>
    <t>엄홍열</t>
  </si>
  <si>
    <t>07332</t>
    <phoneticPr fontId="14" type="noConversion"/>
  </si>
  <si>
    <t xml:space="preserve">서울시 영등포구 국제금융로8길 31, SK증권 </t>
    <phoneticPr fontId="14" type="noConversion"/>
  </si>
  <si>
    <t>04950</t>
    <phoneticPr fontId="14" type="noConversion"/>
  </si>
  <si>
    <t>서울특별시 광진구 용마산로4길 6, 501호 (중곡동, 나폴리움)</t>
  </si>
  <si>
    <t>SK 증권</t>
  </si>
  <si>
    <t>관제 총괄 운영</t>
  </si>
  <si>
    <t>2025년 SK증권 통합운영 도급 계약</t>
  </si>
  <si>
    <t>김영민</t>
    <phoneticPr fontId="14" type="noConversion"/>
  </si>
  <si>
    <t>고급기능사</t>
    <phoneticPr fontId="14" type="noConversion"/>
  </si>
  <si>
    <t>010-8582-0773</t>
    <phoneticPr fontId="14" type="noConversion"/>
  </si>
  <si>
    <t>lixm@cnthoth.com</t>
    <phoneticPr fontId="14" type="noConversion"/>
  </si>
  <si>
    <t>740228-1</t>
  </si>
  <si>
    <t>광주상업고등학교</t>
  </si>
  <si>
    <t>SK증권</t>
  </si>
  <si>
    <t>서울시 영등포구 국제금융로8길 31, SK증권</t>
  </si>
  <si>
    <t>06906</t>
  </si>
  <si>
    <t>서울특별시 동작구 매봉로 156, 107호 (본동, 극동아파트)</t>
    <phoneticPr fontId="14" type="noConversion"/>
  </si>
  <si>
    <t>SK증권 DC 운영</t>
    <phoneticPr fontId="20" type="noConversion"/>
  </si>
  <si>
    <t>이영규</t>
    <phoneticPr fontId="14" type="noConversion"/>
  </si>
  <si>
    <t>박찬원 후임</t>
    <phoneticPr fontId="14" type="noConversion"/>
  </si>
  <si>
    <t>010-8841-4923</t>
    <phoneticPr fontId="14" type="noConversion"/>
  </si>
  <si>
    <t>lykymk@cnthoth.com</t>
    <phoneticPr fontId="14" type="noConversion"/>
  </si>
  <si>
    <t>860906-1</t>
  </si>
  <si>
    <t>대전과학기술대학교</t>
  </si>
  <si>
    <t>청주HN_OP</t>
  </si>
  <si>
    <t>28538</t>
    <phoneticPr fontId="14" type="noConversion"/>
  </si>
  <si>
    <t>충청북도 청주시 청원구 사북로149번길 31-1, 301호 (우암동, 세진빌)</t>
    <phoneticPr fontId="14" type="noConversion"/>
  </si>
  <si>
    <t>오영빈</t>
    <phoneticPr fontId="14" type="noConversion"/>
  </si>
  <si>
    <t>중능</t>
    <phoneticPr fontId="14" type="noConversion"/>
  </si>
  <si>
    <t>중급기능사</t>
    <phoneticPr fontId="14" type="noConversion"/>
  </si>
  <si>
    <t>010-5522-4059</t>
    <phoneticPr fontId="14" type="noConversion"/>
  </si>
  <si>
    <t>mayax@cnthoth.com</t>
    <phoneticPr fontId="14" type="noConversion"/>
  </si>
  <si>
    <t>840509-1</t>
  </si>
  <si>
    <t>선린인터넷고등학교</t>
  </si>
  <si>
    <t>04300</t>
    <phoneticPr fontId="14" type="noConversion"/>
  </si>
  <si>
    <t>서울특별시 용산구 만리재로36길 4 (서계동)</t>
    <phoneticPr fontId="14" type="noConversion"/>
  </si>
  <si>
    <t>조현행</t>
    <phoneticPr fontId="14" type="noConversion"/>
  </si>
  <si>
    <t>초능</t>
    <phoneticPr fontId="14" type="noConversion"/>
  </si>
  <si>
    <t>초급기능사</t>
    <phoneticPr fontId="14" type="noConversion"/>
  </si>
  <si>
    <t>010-3394-1482</t>
    <phoneticPr fontId="14" type="noConversion"/>
  </si>
  <si>
    <t>jhh88@cnthoth.com</t>
    <phoneticPr fontId="14" type="noConversion"/>
  </si>
  <si>
    <t>880219-1</t>
  </si>
  <si>
    <t>서정대학교</t>
  </si>
  <si>
    <t>인터넷정보학</t>
  </si>
  <si>
    <t>02425</t>
    <phoneticPr fontId="14" type="noConversion"/>
  </si>
  <si>
    <t>서울시 동대문구 한천로61길 11-7 (이문동)</t>
    <phoneticPr fontId="14" type="noConversion"/>
  </si>
  <si>
    <t>조준환</t>
    <phoneticPr fontId="14" type="noConversion"/>
  </si>
  <si>
    <t>010-5572-1214</t>
    <phoneticPr fontId="14" type="noConversion"/>
  </si>
  <si>
    <t>jhcho@cnthoth.com</t>
    <phoneticPr fontId="14" type="noConversion"/>
  </si>
  <si>
    <t>871214-1</t>
  </si>
  <si>
    <t>경희고등학교</t>
  </si>
  <si>
    <t>02405</t>
    <phoneticPr fontId="14" type="noConversion"/>
  </si>
  <si>
    <t>서울특별시 동대문구 천장산로4가길 20</t>
    <phoneticPr fontId="14" type="noConversion"/>
  </si>
  <si>
    <t>신종철</t>
    <phoneticPr fontId="14" type="noConversion"/>
  </si>
  <si>
    <t>010-9918-6931</t>
    <phoneticPr fontId="14" type="noConversion"/>
  </si>
  <si>
    <t>sjc_2002@cnthoth.com</t>
    <phoneticPr fontId="14" type="noConversion"/>
  </si>
  <si>
    <t>870110-1</t>
  </si>
  <si>
    <t>단국대학교</t>
    <phoneticPr fontId="14" type="noConversion"/>
  </si>
  <si>
    <t>전자공학과</t>
  </si>
  <si>
    <t>14916</t>
    <phoneticPr fontId="14" type="noConversion"/>
  </si>
  <si>
    <t>경기도 시흥시 은행로 122, 104동 303호 (은행동, 대우아파트)</t>
    <phoneticPr fontId="14" type="noConversion"/>
  </si>
  <si>
    <t>최재유(임명:엄지용)</t>
    <phoneticPr fontId="14" type="noConversion"/>
  </si>
  <si>
    <t>엄지용</t>
    <phoneticPr fontId="14" type="noConversion"/>
  </si>
  <si>
    <t>네트워크엔지니어</t>
    <phoneticPr fontId="21" type="noConversion"/>
  </si>
  <si>
    <t>2022_신규</t>
    <phoneticPr fontId="14" type="noConversion"/>
  </si>
  <si>
    <t>010-4732-9311</t>
    <phoneticPr fontId="20" type="noConversion"/>
  </si>
  <si>
    <t>dsdsds323@cnthoth.com</t>
    <phoneticPr fontId="14" type="noConversion"/>
  </si>
  <si>
    <t>960530-1</t>
  </si>
  <si>
    <t>ICT폴리텍대학</t>
  </si>
  <si>
    <t>스마트통신학과</t>
  </si>
  <si>
    <t>경기도 성남시 분당구 판교로 255번길 38 SK C&amp;C 판교캠퍼스 B동</t>
    <phoneticPr fontId="20" type="noConversion"/>
  </si>
  <si>
    <t>경기도 성남시 분당구 장안로15, 126동 404호 (분당동, 건영아파트)</t>
    <phoneticPr fontId="14" type="noConversion"/>
  </si>
  <si>
    <t>SK쉴더스 고객지원</t>
    <phoneticPr fontId="14" type="noConversion"/>
  </si>
  <si>
    <t>에스케이쉴더스 주식회사 / SK쉴더스 26년 IT Infra. 유지보수 통합운영 (NW 운영+MA)(4500304175-01)</t>
  </si>
  <si>
    <t>엄기현</t>
    <phoneticPr fontId="14" type="noConversion"/>
  </si>
  <si>
    <t>대리</t>
  </si>
  <si>
    <t>김정민 후임</t>
    <phoneticPr fontId="14" type="noConversion"/>
  </si>
  <si>
    <t>010-9735-6400</t>
    <phoneticPr fontId="14" type="noConversion"/>
  </si>
  <si>
    <t>gpen01@cnthoth.com</t>
    <phoneticPr fontId="14" type="noConversion"/>
  </si>
  <si>
    <t>921112-1</t>
  </si>
  <si>
    <t>게임공학과</t>
  </si>
  <si>
    <t>28417</t>
    <phoneticPr fontId="14" type="noConversion"/>
  </si>
  <si>
    <t>충청북도 청주시 흥덕구 짐대로46번길 21, 206호 (복대동)</t>
    <phoneticPr fontId="14" type="noConversion"/>
  </si>
  <si>
    <t>이영현</t>
    <phoneticPr fontId="14" type="noConversion"/>
  </si>
  <si>
    <t>하도급(FTE)</t>
  </si>
  <si>
    <t>이주렬 후임</t>
    <phoneticPr fontId="14" type="noConversion"/>
  </si>
  <si>
    <t>02-3700-7206</t>
  </si>
  <si>
    <t>010-2907-9309</t>
    <phoneticPr fontId="20" type="noConversion"/>
  </si>
  <si>
    <t>lyh20@cnthoth.com</t>
  </si>
  <si>
    <t>930923-1</t>
  </si>
  <si>
    <t>상명대학교</t>
  </si>
  <si>
    <t>게임학과</t>
  </si>
  <si>
    <t>02533</t>
  </si>
  <si>
    <t>서울특별시 동대문구 사가정로 190, 6동 605호 (전논동, 전농1차우성아파트)</t>
    <phoneticPr fontId="14" type="noConversion"/>
  </si>
  <si>
    <t>김원준</t>
    <phoneticPr fontId="14" type="noConversion"/>
  </si>
  <si>
    <t>고능</t>
  </si>
  <si>
    <t>김용민 후임</t>
    <phoneticPr fontId="14" type="noConversion"/>
  </si>
  <si>
    <t>02-6343-8282</t>
  </si>
  <si>
    <t>010-9950-6519</t>
    <phoneticPr fontId="14" type="noConversion"/>
  </si>
  <si>
    <t>a110911@cnthoth.com</t>
    <phoneticPr fontId="14" type="noConversion"/>
  </si>
  <si>
    <t>930819-1</t>
  </si>
  <si>
    <t>부경대학교</t>
  </si>
  <si>
    <t>금속공학과</t>
  </si>
  <si>
    <t>SKT장안국사</t>
  </si>
  <si>
    <t>05583</t>
  </si>
  <si>
    <t>서울특별시 송파구 백제고분로28길 8-12, 202호 (삼전동)</t>
  </si>
  <si>
    <t>SKT_장안 콜센터 운영</t>
  </si>
  <si>
    <t>최재유(임명:유재현)</t>
  </si>
  <si>
    <t>조정열</t>
  </si>
  <si>
    <t>장순영 후임</t>
    <phoneticPr fontId="14" type="noConversion"/>
  </si>
  <si>
    <t>010-3357-9743</t>
    <phoneticPr fontId="14" type="noConversion"/>
  </si>
  <si>
    <t>jdjy24@cnthoth.com</t>
    <phoneticPr fontId="14" type="noConversion"/>
  </si>
  <si>
    <t>930324-1</t>
  </si>
  <si>
    <t>전자공학</t>
  </si>
  <si>
    <t>SK그룹사(공통)</t>
  </si>
  <si>
    <t>13284</t>
    <phoneticPr fontId="14" type="noConversion"/>
  </si>
  <si>
    <t>경기도 성남시 수정구 태평동 859, 1층</t>
    <phoneticPr fontId="14" type="noConversion"/>
  </si>
  <si>
    <t>IP 할당, / SSL VPN 운영</t>
  </si>
  <si>
    <t>문경철</t>
    <phoneticPr fontId="14" type="noConversion"/>
  </si>
  <si>
    <t>박재현 후임</t>
    <phoneticPr fontId="14" type="noConversion"/>
  </si>
  <si>
    <t>010-5241-9495</t>
    <phoneticPr fontId="14" type="noConversion"/>
  </si>
  <si>
    <t>m9495@cnthoth.com</t>
    <phoneticPr fontId="14" type="noConversion"/>
  </si>
  <si>
    <t>930525-1</t>
  </si>
  <si>
    <t>안산강서고등학교</t>
  </si>
  <si>
    <t xml:space="preserve">네트워크관리사2급 </t>
  </si>
  <si>
    <t>경기도 성남시 수정구 탄리로132번길 15-8 (태평동)</t>
    <phoneticPr fontId="14" type="noConversion"/>
  </si>
  <si>
    <t>김기황</t>
    <phoneticPr fontId="14" type="noConversion"/>
  </si>
  <si>
    <t>박상혁 후임</t>
    <phoneticPr fontId="14" type="noConversion"/>
  </si>
  <si>
    <t>010-9547-9959</t>
    <phoneticPr fontId="14" type="noConversion"/>
  </si>
  <si>
    <t>chosimkkh89@cnthoth.com</t>
    <phoneticPr fontId="14" type="noConversion"/>
  </si>
  <si>
    <t>891119-1</t>
  </si>
  <si>
    <t>경북대학교</t>
  </si>
  <si>
    <t>컴퓨터시스템공학과</t>
    <phoneticPr fontId="20" type="noConversion"/>
  </si>
  <si>
    <t>충청북도 청주시 서원구 모충로26번길 60, 202동 804호 (개신동, 두산한솔2차아파트)</t>
    <phoneticPr fontId="14" type="noConversion"/>
  </si>
  <si>
    <t>김명환</t>
    <phoneticPr fontId="14" type="noConversion"/>
  </si>
  <si>
    <t>010-4100-6973</t>
    <phoneticPr fontId="14" type="noConversion"/>
  </si>
  <si>
    <t>kmh4100@cnthoth.com</t>
    <phoneticPr fontId="14" type="noConversion"/>
  </si>
  <si>
    <t>950915-1</t>
  </si>
  <si>
    <t>한국폴리텍대학(청주캠퍼스)</t>
  </si>
  <si>
    <t>정보통신시스템과</t>
  </si>
  <si>
    <t>충청북도 청주시 서원구 흥덕로 34-1 (사직동)</t>
    <phoneticPr fontId="14" type="noConversion"/>
  </si>
  <si>
    <t>강병구</t>
    <phoneticPr fontId="14" type="noConversion"/>
  </si>
  <si>
    <t>010-6516-4774</t>
    <phoneticPr fontId="14" type="noConversion"/>
  </si>
  <si>
    <t>kbkkms147@cnthoth.com</t>
  </si>
  <si>
    <t>940308-1</t>
  </si>
  <si>
    <t>품질경영과</t>
  </si>
  <si>
    <t>충청북도 청주시 흥덕구 송화로116번길 11-8, 401호 (송절동)</t>
    <phoneticPr fontId="14" type="noConversion"/>
  </si>
  <si>
    <t>곽노훈</t>
    <phoneticPr fontId="14" type="noConversion"/>
  </si>
  <si>
    <t>김용후 후임</t>
    <phoneticPr fontId="14" type="noConversion"/>
  </si>
  <si>
    <t>010-4263-7797</t>
    <phoneticPr fontId="14" type="noConversion"/>
  </si>
  <si>
    <t>tk1135@cnthoth.com</t>
    <phoneticPr fontId="14" type="noConversion"/>
  </si>
  <si>
    <t>951026-1</t>
  </si>
  <si>
    <t>충청북도 청주시 영운천로91번길 57, 304동 107호 (금천동, 삼일아파트)</t>
    <phoneticPr fontId="14" type="noConversion"/>
  </si>
  <si>
    <t>김경 M, 김회창 M</t>
    <phoneticPr fontId="14" type="noConversion"/>
  </si>
  <si>
    <t>최종범</t>
  </si>
  <si>
    <t>VDI 엔지니어</t>
    <phoneticPr fontId="21" type="noConversion"/>
  </si>
  <si>
    <t>010-7764-6580</t>
    <phoneticPr fontId="14" type="noConversion"/>
  </si>
  <si>
    <t>dhrhd6580@cnthoth.com</t>
    <phoneticPr fontId="14" type="noConversion"/>
  </si>
  <si>
    <t>931018-1</t>
  </si>
  <si>
    <t>국가평생교육진흥원</t>
    <phoneticPr fontId="21" type="noConversion"/>
  </si>
  <si>
    <t>경기도 성남시 분당구 성남대로 343번길 9 SK U 타워 19층 VDI 센터</t>
    <phoneticPr fontId="14" type="noConversion"/>
  </si>
  <si>
    <t>05629</t>
    <phoneticPr fontId="14" type="noConversion"/>
  </si>
  <si>
    <t>서울특별시 송파구 백제고분로50길 30-26, 202호 (방이동)</t>
    <phoneticPr fontId="14" type="noConversion"/>
  </si>
  <si>
    <t>SKT/SKI VDI 운영</t>
  </si>
  <si>
    <t>VDI 구축 및 운영</t>
  </si>
  <si>
    <t>SKT담당</t>
  </si>
  <si>
    <t>최성경</t>
    <phoneticPr fontId="14" type="noConversion"/>
  </si>
  <si>
    <t>010-6727-7032</t>
    <phoneticPr fontId="14" type="noConversion"/>
  </si>
  <si>
    <t>choi@cnthoth.com</t>
    <phoneticPr fontId="14" type="noConversion"/>
  </si>
  <si>
    <t>950706-1</t>
  </si>
  <si>
    <t>국제평생교육진행원</t>
    <phoneticPr fontId="14" type="noConversion"/>
  </si>
  <si>
    <t>컴퓨터공학과</t>
    <phoneticPr fontId="20" type="noConversion"/>
  </si>
  <si>
    <t>17097</t>
    <phoneticPr fontId="14" type="noConversion"/>
  </si>
  <si>
    <t>경기도 용인시 기흥구 덕영대로2033번길 62, 2층 203호 (하갈동)</t>
    <phoneticPr fontId="14" type="noConversion"/>
  </si>
  <si>
    <t>SK네트웍스 담당</t>
    <phoneticPr fontId="14" type="noConversion"/>
  </si>
  <si>
    <t>고현재</t>
    <phoneticPr fontId="14" type="noConversion"/>
  </si>
  <si>
    <t>고능</t>
    <phoneticPr fontId="21" type="noConversion"/>
  </si>
  <si>
    <t>허균 후임</t>
    <phoneticPr fontId="21" type="noConversion"/>
  </si>
  <si>
    <t>010-5026-5184</t>
    <phoneticPr fontId="14" type="noConversion"/>
  </si>
  <si>
    <t>gomi1201@cnthoth.com</t>
    <phoneticPr fontId="14" type="noConversion"/>
  </si>
  <si>
    <t>950508-1</t>
  </si>
  <si>
    <t>유원대학교</t>
  </si>
  <si>
    <t>스마트IT학과</t>
  </si>
  <si>
    <t>12030</t>
    <phoneticPr fontId="14" type="noConversion"/>
  </si>
  <si>
    <t>경기도 남양주시 수동면 비룡로782번길 113-17 (수동면)</t>
    <phoneticPr fontId="14" type="noConversion"/>
  </si>
  <si>
    <t>이수용</t>
    <phoneticPr fontId="14" type="noConversion"/>
  </si>
  <si>
    <t>010-5746-4406</t>
    <phoneticPr fontId="14" type="noConversion"/>
  </si>
  <si>
    <t>qwe98759@cnthoth.com</t>
    <phoneticPr fontId="14" type="noConversion"/>
  </si>
  <si>
    <t>980304-1</t>
  </si>
  <si>
    <t>01799</t>
    <phoneticPr fontId="20" type="noConversion"/>
  </si>
  <si>
    <t>서울특별시 노원구 화랑로51길 78, 504동 202호 (공릉동, 비선아파트)</t>
    <phoneticPr fontId="20" type="noConversion"/>
  </si>
  <si>
    <t>한석규</t>
    <phoneticPr fontId="14" type="noConversion"/>
  </si>
  <si>
    <t>사원</t>
    <phoneticPr fontId="23" type="noConversion"/>
  </si>
  <si>
    <t>유기원 후임</t>
    <phoneticPr fontId="21" type="noConversion"/>
  </si>
  <si>
    <t>010-4830-2801</t>
    <phoneticPr fontId="14" type="noConversion"/>
  </si>
  <si>
    <t>mingginu01@cnthoth.com</t>
    <phoneticPr fontId="14" type="noConversion"/>
  </si>
  <si>
    <t>961112-1</t>
  </si>
  <si>
    <t>폴리텍대학</t>
  </si>
  <si>
    <t>모바일정보통신학과</t>
  </si>
  <si>
    <t>서울시 동대문구 장한로3길 34 SKT 장안고객센터 구관 2층 시스템 운영실</t>
  </si>
  <si>
    <t>12239</t>
    <phoneticPr fontId="14" type="noConversion"/>
  </si>
  <si>
    <t>경기도 남양주시 홍유릉로248번길 21, 102동 1501호 (금곡동, 금강아파트)</t>
    <phoneticPr fontId="14" type="noConversion"/>
  </si>
  <si>
    <t>조완기 M, 권오인 M</t>
    <phoneticPr fontId="14" type="noConversion"/>
  </si>
  <si>
    <t>박정수</t>
    <phoneticPr fontId="14" type="noConversion"/>
  </si>
  <si>
    <t>010-6799-2795</t>
    <phoneticPr fontId="14" type="noConversion"/>
  </si>
  <si>
    <t>jungsooz@cnthoth.com</t>
    <phoneticPr fontId="14" type="noConversion"/>
  </si>
  <si>
    <t>880803-1</t>
  </si>
  <si>
    <t>동의과학대</t>
  </si>
  <si>
    <t>관광중국어</t>
  </si>
  <si>
    <t>SK이노베이션</t>
  </si>
  <si>
    <t>13609</t>
    <phoneticPr fontId="14" type="noConversion"/>
  </si>
  <si>
    <t>경기도 성남시 분당구 백현로156번길 24-1, 302호 (정자동)</t>
    <phoneticPr fontId="14" type="noConversion"/>
  </si>
  <si>
    <t>고객사 공통 / 2026년_인프라운영_HC14_1분기(4500303329-01)</t>
  </si>
  <si>
    <t>권도완</t>
    <phoneticPr fontId="14" type="noConversion"/>
  </si>
  <si>
    <t>천상환 후임</t>
    <phoneticPr fontId="14" type="noConversion"/>
  </si>
  <si>
    <t>010-2815-8979</t>
    <phoneticPr fontId="14" type="noConversion"/>
  </si>
  <si>
    <t>dowan0612@cnthoth.com</t>
    <phoneticPr fontId="14" type="noConversion"/>
  </si>
  <si>
    <t>930612-1</t>
  </si>
  <si>
    <t>영진전문대학교</t>
  </si>
  <si>
    <t>41713</t>
    <phoneticPr fontId="14" type="noConversion"/>
  </si>
  <si>
    <t>대구광역시 서구 달서천로49안길 35-7, 3층 (비산동)</t>
    <phoneticPr fontId="14" type="noConversion"/>
  </si>
  <si>
    <t>이상우</t>
    <phoneticPr fontId="14" type="noConversion"/>
  </si>
  <si>
    <t>김대영 후임</t>
    <phoneticPr fontId="14" type="noConversion"/>
  </si>
  <si>
    <t>010-5960-7758</t>
    <phoneticPr fontId="14" type="noConversion"/>
  </si>
  <si>
    <t>cdcdy9553@cnthoth.com</t>
    <phoneticPr fontId="14" type="noConversion"/>
  </si>
  <si>
    <t>930730-1</t>
  </si>
  <si>
    <t>동원대학교</t>
  </si>
  <si>
    <t>냉동공조설비과</t>
  </si>
  <si>
    <t>AZ-900</t>
  </si>
  <si>
    <t>SC-900</t>
  </si>
  <si>
    <t>AZ-305</t>
    <phoneticPr fontId="14" type="noConversion"/>
  </si>
  <si>
    <t>08775</t>
    <phoneticPr fontId="14" type="noConversion"/>
  </si>
  <si>
    <t>서울특별시 관악구 신림로53길 15-10, 402호 (신림동, 소원하이빌)</t>
    <phoneticPr fontId="14" type="noConversion"/>
  </si>
  <si>
    <t>사람인</t>
  </si>
  <si>
    <t>이승민</t>
  </si>
  <si>
    <t>김성욱</t>
    <phoneticPr fontId="14" type="noConversion"/>
  </si>
  <si>
    <t>사원</t>
    <phoneticPr fontId="21" type="noConversion"/>
  </si>
  <si>
    <t>양정완 후임</t>
    <phoneticPr fontId="14" type="noConversion"/>
  </si>
  <si>
    <t>010-2690-9804</t>
    <phoneticPr fontId="14" type="noConversion"/>
  </si>
  <si>
    <t>ksw7644@cnthoth.com</t>
    <phoneticPr fontId="14" type="noConversion"/>
  </si>
  <si>
    <t>900228-1</t>
  </si>
  <si>
    <t>충북보건과학대학교</t>
  </si>
  <si>
    <t>자동차학과</t>
  </si>
  <si>
    <t>충청북도 청주시 상당구 호미로201번길 19, 204호 (용정동, 하늘채빌)</t>
    <phoneticPr fontId="14" type="noConversion"/>
  </si>
  <si>
    <t>박규성(조현하)</t>
    <phoneticPr fontId="14" type="noConversion"/>
  </si>
  <si>
    <t>조현하</t>
    <phoneticPr fontId="14" type="noConversion"/>
  </si>
  <si>
    <t>L3 운영</t>
    <phoneticPr fontId="20" type="noConversion"/>
  </si>
  <si>
    <t>010-5543-3342</t>
    <phoneticPr fontId="14" type="noConversion"/>
  </si>
  <si>
    <t>hyunha@cnthoth.com</t>
  </si>
  <si>
    <t>961021-1</t>
  </si>
  <si>
    <t>부산카톨릭대학</t>
  </si>
  <si>
    <t>소프트웨어공학</t>
  </si>
  <si>
    <t>16046</t>
  </si>
  <si>
    <t>경기도 의왕시 어내들로 5, 107동 2403호 (오전동, 의왕 더샵 캐슬)</t>
    <phoneticPr fontId="14" type="noConversion"/>
  </si>
  <si>
    <t>이인준</t>
    <phoneticPr fontId="14" type="noConversion"/>
  </si>
  <si>
    <t>대리</t>
    <phoneticPr fontId="21" type="noConversion"/>
  </si>
  <si>
    <t>권오철 후임</t>
    <phoneticPr fontId="14" type="noConversion"/>
  </si>
  <si>
    <t>010-4447-1620</t>
    <phoneticPr fontId="14" type="noConversion"/>
  </si>
  <si>
    <t>sineria@cnthoth.com</t>
  </si>
  <si>
    <t>870430-1</t>
  </si>
  <si>
    <t>광운대학교</t>
  </si>
  <si>
    <t>16930</t>
    <phoneticPr fontId="14" type="noConversion"/>
  </si>
  <si>
    <t>경기도 용인시 수지구 만현로 107, 709동 1404호 (상현동, 만현마을쌍용1차아파트)</t>
    <phoneticPr fontId="14" type="noConversion"/>
  </si>
  <si>
    <t>SKC, SKE&amp;S, SKI 고객지원</t>
    <phoneticPr fontId="14" type="noConversion"/>
  </si>
  <si>
    <t>이승민</t>
    <phoneticPr fontId="14" type="noConversion"/>
  </si>
  <si>
    <t>김세영</t>
    <phoneticPr fontId="14" type="noConversion"/>
  </si>
  <si>
    <t>이광호</t>
    <phoneticPr fontId="14" type="noConversion"/>
  </si>
  <si>
    <t>010-7696-1211</t>
    <phoneticPr fontId="14" type="noConversion"/>
  </si>
  <si>
    <t>LKH803@cnthoth.com</t>
    <phoneticPr fontId="14" type="noConversion"/>
  </si>
  <si>
    <t>940107-1</t>
  </si>
  <si>
    <t>영남대학교</t>
  </si>
  <si>
    <t>신소재공학</t>
  </si>
  <si>
    <t>SK하이닉스_청주</t>
  </si>
  <si>
    <t>충청북도 청주시 흥덕구 내수동로42번길 21, 304호 (복대동, 은혜빌)</t>
    <phoneticPr fontId="14" type="noConversion"/>
  </si>
  <si>
    <t>청주 DC 서버 운영</t>
    <phoneticPr fontId="14" type="noConversion"/>
  </si>
  <si>
    <t>통상</t>
  </si>
  <si>
    <t>내부추천</t>
    <phoneticPr fontId="14" type="noConversion"/>
  </si>
  <si>
    <t>최의헌</t>
    <phoneticPr fontId="14" type="noConversion"/>
  </si>
  <si>
    <t>사원</t>
  </si>
  <si>
    <t>류제호 후임</t>
    <phoneticPr fontId="14" type="noConversion"/>
  </si>
  <si>
    <t>010-2724-7123</t>
    <phoneticPr fontId="14" type="noConversion"/>
  </si>
  <si>
    <t>cuh0309@cnthoth.com</t>
    <phoneticPr fontId="14" type="noConversion"/>
  </si>
  <si>
    <t>960916-1</t>
  </si>
  <si>
    <t>청강문화산업대학교</t>
  </si>
  <si>
    <t>모바일보안학</t>
  </si>
  <si>
    <t>17013</t>
    <phoneticPr fontId="14" type="noConversion"/>
  </si>
  <si>
    <t>경기도 용인시 기흥구 동백중앙로 41, 5301동 601호 (중동, 초당마을주공아파트)</t>
    <phoneticPr fontId="14" type="noConversion"/>
  </si>
  <si>
    <t>잡코리아</t>
  </si>
  <si>
    <t>김강산</t>
    <phoneticPr fontId="14" type="noConversion"/>
  </si>
  <si>
    <t>네트워크보안엔지니어</t>
    <phoneticPr fontId="20" type="noConversion"/>
  </si>
  <si>
    <t>신지헌 후임</t>
    <phoneticPr fontId="14" type="noConversion"/>
  </si>
  <si>
    <t>010-8579-4038</t>
    <phoneticPr fontId="14" type="noConversion"/>
  </si>
  <si>
    <t>kk2218@cnthoth.com</t>
    <phoneticPr fontId="14" type="noConversion"/>
  </si>
  <si>
    <t>951117-1</t>
  </si>
  <si>
    <t>국가평생교육진흥원</t>
    <phoneticPr fontId="14" type="noConversion"/>
  </si>
  <si>
    <t>건축공학</t>
    <phoneticPr fontId="14" type="noConversion"/>
  </si>
  <si>
    <t>12797</t>
    <phoneticPr fontId="14" type="noConversion"/>
  </si>
  <si>
    <t>경기도 광주시 오포읍 양촌안길 35-17, 105동 504호 (오포읍, 양벌리세양청마루아파트)</t>
    <phoneticPr fontId="14" type="noConversion"/>
  </si>
  <si>
    <t>서칭</t>
    <phoneticPr fontId="14" type="noConversion"/>
  </si>
  <si>
    <t>김진선</t>
    <phoneticPr fontId="14" type="noConversion"/>
  </si>
  <si>
    <t>권용상 후임</t>
    <phoneticPr fontId="14" type="noConversion"/>
  </si>
  <si>
    <t>010-3002-7464</t>
    <phoneticPr fontId="14" type="noConversion"/>
  </si>
  <si>
    <t>keyanai@cnthoth.com</t>
    <phoneticPr fontId="14" type="noConversion"/>
  </si>
  <si>
    <t>861118-1</t>
  </si>
  <si>
    <t>장호원고등학교</t>
  </si>
  <si>
    <t>17394</t>
    <phoneticPr fontId="14" type="noConversion"/>
  </si>
  <si>
    <t>경기도 이천시 호법면 이섭대천로537번길 34-13, 1동 112호 (호법면)</t>
    <phoneticPr fontId="14" type="noConversion"/>
  </si>
  <si>
    <t>김남영</t>
    <phoneticPr fontId="14" type="noConversion"/>
  </si>
  <si>
    <t>010-2915-3028</t>
    <phoneticPr fontId="14" type="noConversion"/>
  </si>
  <si>
    <t>mysteryzero@cnthoth.com</t>
    <phoneticPr fontId="14" type="noConversion"/>
  </si>
  <si>
    <t>971117-1</t>
  </si>
  <si>
    <t>덕계고등학교</t>
  </si>
  <si>
    <t>임영준</t>
    <phoneticPr fontId="14" type="noConversion"/>
  </si>
  <si>
    <t>08706</t>
    <phoneticPr fontId="14" type="noConversion"/>
  </si>
  <si>
    <t>서울특별시 관악구 관천로18길 31, 1동 202호 (신림동, 신영빌라)</t>
    <phoneticPr fontId="14" type="noConversion"/>
  </si>
  <si>
    <t>김종도</t>
    <phoneticPr fontId="14" type="noConversion"/>
  </si>
  <si>
    <t>조석희</t>
    <phoneticPr fontId="14" type="noConversion"/>
  </si>
  <si>
    <t>이영재 후임</t>
    <phoneticPr fontId="14" type="noConversion"/>
  </si>
  <si>
    <t>010-4820-5233</t>
    <phoneticPr fontId="14" type="noConversion"/>
  </si>
  <si>
    <t>iridescent@cnthoth.com</t>
    <phoneticPr fontId="14" type="noConversion"/>
  </si>
  <si>
    <t>900323-1</t>
  </si>
  <si>
    <t>13590</t>
    <phoneticPr fontId="14" type="noConversion"/>
  </si>
  <si>
    <t>경기도 성남시 분당구 서현로 170, C동 802호 (서현동, 풍림아이원플러스)</t>
    <phoneticPr fontId="14" type="noConversion"/>
  </si>
  <si>
    <t>SK플래닛, SOC 담당</t>
    <phoneticPr fontId="14" type="noConversion"/>
  </si>
  <si>
    <t>김영준</t>
    <phoneticPr fontId="14" type="noConversion"/>
  </si>
  <si>
    <t>L3 운영, L2구축 겸임</t>
    <phoneticPr fontId="20" type="noConversion"/>
  </si>
  <si>
    <t>010-8893-7943</t>
    <phoneticPr fontId="21" type="noConversion"/>
  </si>
  <si>
    <t>jwe6208@cnthoth.com</t>
    <phoneticPr fontId="14" type="noConversion"/>
  </si>
  <si>
    <t>880726-1</t>
  </si>
  <si>
    <t>컴퓨터학과</t>
    <phoneticPr fontId="20" type="noConversion"/>
  </si>
  <si>
    <t>SKB홈앤서비스(동작)</t>
    <phoneticPr fontId="14" type="noConversion"/>
  </si>
  <si>
    <t>경기도 부천시 원미구 도약로 146, 206동1806호 (중동, 덕유마을주공4단지아파트)</t>
    <phoneticPr fontId="14" type="noConversion"/>
  </si>
  <si>
    <t>L3, L4 IP 할당 담당</t>
  </si>
  <si>
    <t>/ 방화벽, VPN 운영</t>
  </si>
  <si>
    <t>홈앤서비스 주식회사 / 홈앤서비스 26년 시스템 유지보수_Infra_1분기(4500303398-01)</t>
  </si>
  <si>
    <t>현창수 M, 김성수 M</t>
  </si>
  <si>
    <t>박현서</t>
    <phoneticPr fontId="14" type="noConversion"/>
  </si>
  <si>
    <t>초급하</t>
    <phoneticPr fontId="20" type="noConversion"/>
  </si>
  <si>
    <t>초급기술자</t>
    <phoneticPr fontId="20" type="noConversion"/>
  </si>
  <si>
    <t>Azure Iaas 엔지니어</t>
    <phoneticPr fontId="14" type="noConversion"/>
  </si>
  <si>
    <t>010-9479-1841</t>
    <phoneticPr fontId="14" type="noConversion"/>
  </si>
  <si>
    <t>canopus@cnthoth.com</t>
    <phoneticPr fontId="14" type="noConversion"/>
  </si>
  <si>
    <t>881002-1</t>
  </si>
  <si>
    <t>충남대학교</t>
  </si>
  <si>
    <t>전자과</t>
  </si>
  <si>
    <t>대학교중퇴</t>
    <phoneticPr fontId="20" type="noConversion"/>
  </si>
  <si>
    <t>계약 종료 예정(6개월 연장)</t>
    <phoneticPr fontId="14" type="noConversion"/>
  </si>
  <si>
    <t>배재빌딩 6F(AIA생명)_서소문로</t>
    <phoneticPr fontId="14" type="noConversion"/>
  </si>
  <si>
    <t>AIA생명</t>
    <phoneticPr fontId="14" type="noConversion"/>
  </si>
  <si>
    <t>04516</t>
    <phoneticPr fontId="14" type="noConversion"/>
  </si>
  <si>
    <t>서울시 중구 서소문로 103 배재빌딩 613호</t>
    <phoneticPr fontId="14" type="noConversion"/>
  </si>
  <si>
    <t>03691</t>
    <phoneticPr fontId="14" type="noConversion"/>
  </si>
  <si>
    <t>서울특별시 서대문구 거북골로18길 6-3 (북가좌동)</t>
    <phoneticPr fontId="14" type="noConversion"/>
  </si>
  <si>
    <t>AIA생명 클라우드인프라운영</t>
    <phoneticPr fontId="20" type="noConversion"/>
  </si>
  <si>
    <t>MS Azure IaaS 운영</t>
    <phoneticPr fontId="20" type="noConversion"/>
  </si>
  <si>
    <t>에이아이에이생명보험 주식회사 / AIA생명 26년 CMS(Cloud Managed Service) 운영사업(4500304280-01)</t>
  </si>
  <si>
    <t>전재철</t>
    <phoneticPr fontId="14" type="noConversion"/>
  </si>
  <si>
    <t>조재용 후임</t>
    <phoneticPr fontId="14" type="noConversion"/>
  </si>
  <si>
    <t>010-2887-9175</t>
    <phoneticPr fontId="14" type="noConversion"/>
  </si>
  <si>
    <t>jaecheol@cnthoth.com</t>
    <phoneticPr fontId="14" type="noConversion"/>
  </si>
  <si>
    <t>990325-1</t>
  </si>
  <si>
    <t>스마트미디어학</t>
  </si>
  <si>
    <t>전자기기기능사</t>
  </si>
  <si>
    <t>경기도 이천시 부발읍 신아로92번길 74-25, 703동 1603호 (부발읍, 아미리7차현대아파트)</t>
    <phoneticPr fontId="14" type="noConversion"/>
  </si>
  <si>
    <t>우성현</t>
    <phoneticPr fontId="14" type="noConversion"/>
  </si>
  <si>
    <t>김학성</t>
    <phoneticPr fontId="14" type="noConversion"/>
  </si>
  <si>
    <t>010-2084-7354</t>
    <phoneticPr fontId="14" type="noConversion"/>
  </si>
  <si>
    <t>haksung99@cnthoth.com</t>
  </si>
  <si>
    <t>931126-1</t>
  </si>
  <si>
    <t>경기도 성남시 분당구 판교로 255번길 46 SK C&amp;C 판교캠퍼스 A동 4층</t>
    <phoneticPr fontId="20" type="noConversion"/>
  </si>
  <si>
    <t>경기도 안산시 상록구 해양4로 31, 112동 2603호 (사동, 그랑시티자이)</t>
    <phoneticPr fontId="14" type="noConversion"/>
  </si>
  <si>
    <t>김진우</t>
    <phoneticPr fontId="14" type="noConversion"/>
  </si>
  <si>
    <t>홍성표 후임</t>
    <phoneticPr fontId="14" type="noConversion"/>
  </si>
  <si>
    <t>010-5322-8181</t>
    <phoneticPr fontId="14" type="noConversion"/>
  </si>
  <si>
    <t>ssonagi@cnthoth.com</t>
    <phoneticPr fontId="14" type="noConversion"/>
  </si>
  <si>
    <t>840918-1</t>
  </si>
  <si>
    <t>경동대학교</t>
  </si>
  <si>
    <t>토목공학과</t>
  </si>
  <si>
    <t>13275</t>
    <phoneticPr fontId="14" type="noConversion"/>
  </si>
  <si>
    <t>경기도 성남시 수정구 시민로258번길 5 (태평동)</t>
    <phoneticPr fontId="14" type="noConversion"/>
  </si>
  <si>
    <t>인프라 장애조치</t>
  </si>
  <si>
    <t>내부추천</t>
  </si>
  <si>
    <t>변호윤</t>
    <phoneticPr fontId="14" type="noConversion"/>
  </si>
  <si>
    <t>이수용 후임</t>
    <phoneticPr fontId="14" type="noConversion"/>
  </si>
  <si>
    <t>010-4194-7267</t>
    <phoneticPr fontId="14" type="noConversion"/>
  </si>
  <si>
    <t>hybyun@cnthoth.com</t>
    <phoneticPr fontId="14" type="noConversion"/>
  </si>
  <si>
    <t>990222-1</t>
  </si>
  <si>
    <t>강동대학교</t>
  </si>
  <si>
    <t>사회복지학과</t>
  </si>
  <si>
    <t>이천HN_OP</t>
  </si>
  <si>
    <t>경기도 광주시 마루들길 276, 105동 907호 (양벌동, 대주파크빌1차A블럭)</t>
    <phoneticPr fontId="14" type="noConversion"/>
  </si>
  <si>
    <t>노준호M</t>
    <phoneticPr fontId="14" type="noConversion"/>
  </si>
  <si>
    <t>한진범</t>
    <phoneticPr fontId="21" type="noConversion"/>
  </si>
  <si>
    <t>박열 후임</t>
    <phoneticPr fontId="14" type="noConversion"/>
  </si>
  <si>
    <t>010-8299-5499</t>
    <phoneticPr fontId="14" type="noConversion"/>
  </si>
  <si>
    <t>jb0602@cnthoth.com</t>
    <phoneticPr fontId="14" type="noConversion"/>
  </si>
  <si>
    <t>951007-1</t>
  </si>
  <si>
    <t>고려사이버대학교</t>
  </si>
  <si>
    <t>전기전자공학</t>
  </si>
  <si>
    <t>SK C타워_충무로</t>
    <phoneticPr fontId="14" type="noConversion"/>
  </si>
  <si>
    <t>04554</t>
    <phoneticPr fontId="14" type="noConversion"/>
  </si>
  <si>
    <r>
      <t>서울</t>
    </r>
    <r>
      <rPr>
        <sz val="11"/>
        <color rgb="FF000000"/>
        <rFont val="맑은 고딕"/>
        <family val="3"/>
        <charset val="129"/>
        <scheme val="minor"/>
      </rPr>
      <t xml:space="preserve"> 중구 충무로 3가 43 (SK C 타워)</t>
    </r>
    <phoneticPr fontId="14" type="noConversion"/>
  </si>
  <si>
    <t>11469</t>
    <phoneticPr fontId="20" type="noConversion"/>
  </si>
  <si>
    <t>경기도 양주시 옥정서로5길 60, 108동 1203호 (옥정동, 양주옥정 린파밀리에)</t>
    <phoneticPr fontId="20" type="noConversion"/>
  </si>
  <si>
    <t>SKI담당</t>
    <phoneticPr fontId="14" type="noConversion"/>
  </si>
  <si>
    <t>고객사 공통 / 2026년_VDI_03_1분기(4500304009-01)</t>
  </si>
  <si>
    <t>이준범</t>
    <phoneticPr fontId="21" type="noConversion"/>
  </si>
  <si>
    <t>사원</t>
    <phoneticPr fontId="20" type="noConversion"/>
  </si>
  <si>
    <t>허영86 후임</t>
    <phoneticPr fontId="14" type="noConversion"/>
  </si>
  <si>
    <t>010-9105-1639</t>
    <phoneticPr fontId="20" type="noConversion"/>
  </si>
  <si>
    <t>gx2045@cnthoth.com</t>
    <phoneticPr fontId="20" type="noConversion"/>
  </si>
  <si>
    <t>941110-1</t>
  </si>
  <si>
    <t>성일정보고등학교</t>
  </si>
  <si>
    <t>13285</t>
    <phoneticPr fontId="20" type="noConversion"/>
  </si>
  <si>
    <t>경기도 성남시 수정구 남문로107번길 28, 2층 (태평동)</t>
    <phoneticPr fontId="20" type="noConversion"/>
  </si>
  <si>
    <t>이승민</t>
    <phoneticPr fontId="20" type="noConversion"/>
  </si>
  <si>
    <t>유연용 M</t>
    <phoneticPr fontId="14" type="noConversion"/>
  </si>
  <si>
    <t>최재유(임명:송선호)</t>
    <phoneticPr fontId="14" type="noConversion"/>
  </si>
  <si>
    <t>송선호</t>
    <phoneticPr fontId="14" type="noConversion"/>
  </si>
  <si>
    <t>오현도 후임</t>
    <phoneticPr fontId="20" type="noConversion"/>
  </si>
  <si>
    <t>010-2426-6545</t>
    <phoneticPr fontId="20" type="noConversion"/>
  </si>
  <si>
    <t>songsun0107@cnthoth.com</t>
    <phoneticPr fontId="20" type="noConversion"/>
  </si>
  <si>
    <t>990107-1</t>
    <phoneticPr fontId="14" type="noConversion"/>
  </si>
  <si>
    <t>학점은행제</t>
    <phoneticPr fontId="20" type="noConversion"/>
  </si>
  <si>
    <t>정보통신공학과</t>
    <phoneticPr fontId="20" type="noConversion"/>
  </si>
  <si>
    <t>03190</t>
    <phoneticPr fontId="14" type="noConversion"/>
  </si>
  <si>
    <t>10956</t>
    <phoneticPr fontId="20" type="noConversion"/>
  </si>
  <si>
    <t>경기도 파주시 심학산로 234, 812동 1602호 (동패동, 초롱꽃마을8단지)</t>
    <phoneticPr fontId="20" type="noConversion"/>
  </si>
  <si>
    <t>SK랜터카, SK매직 고객지원</t>
    <phoneticPr fontId="14" type="noConversion"/>
  </si>
  <si>
    <t>방화벽 요청 처리</t>
  </si>
  <si>
    <t>고객사 공통 / SKIX 26년 온프렘(HW,SW) 운영_1분기 (4500303678-01)</t>
  </si>
  <si>
    <t>김종도</t>
  </si>
  <si>
    <t>김영서</t>
    <phoneticPr fontId="20" type="noConversion"/>
  </si>
  <si>
    <t>이휘중 후임</t>
    <phoneticPr fontId="14" type="noConversion"/>
  </si>
  <si>
    <t>010-5732-4219</t>
    <phoneticPr fontId="20" type="noConversion"/>
  </si>
  <si>
    <t>kimys9374219@cnthoth.com</t>
    <phoneticPr fontId="20" type="noConversion"/>
  </si>
  <si>
    <t>000329-3</t>
    <phoneticPr fontId="20" type="noConversion"/>
  </si>
  <si>
    <t>인천재능대학교</t>
    <phoneticPr fontId="20" type="noConversion"/>
  </si>
  <si>
    <t>AI컴퓨터정보과</t>
    <phoneticPr fontId="20" type="noConversion"/>
  </si>
  <si>
    <t>14548</t>
    <phoneticPr fontId="20" type="noConversion"/>
  </si>
  <si>
    <t>경기도 부천시 길주로 246, 1014호 (중동, 부천중동리슈빌엔클래스)</t>
    <phoneticPr fontId="20" type="noConversion"/>
  </si>
  <si>
    <t>외부추천</t>
  </si>
  <si>
    <t>우성현</t>
    <phoneticPr fontId="20" type="noConversion"/>
  </si>
  <si>
    <t>박재환</t>
    <phoneticPr fontId="20" type="noConversion"/>
  </si>
  <si>
    <t>이진영 후임</t>
    <phoneticPr fontId="14" type="noConversion"/>
  </si>
  <si>
    <t>010-2966-1712</t>
    <phoneticPr fontId="20" type="noConversion"/>
  </si>
  <si>
    <t>jaehwan@cnthoth.com</t>
    <phoneticPr fontId="14" type="noConversion"/>
  </si>
  <si>
    <t>020717-3</t>
    <phoneticPr fontId="20" type="noConversion"/>
  </si>
  <si>
    <t>보평고등학교</t>
    <phoneticPr fontId="14" type="noConversion"/>
  </si>
  <si>
    <t>13523</t>
    <phoneticPr fontId="14" type="noConversion"/>
  </si>
  <si>
    <t>경기도 성남시 분당구 판교로 430, 109동 1703호 (이매동, 아름마을건영한성태영아파트)</t>
    <phoneticPr fontId="14" type="noConversion"/>
  </si>
  <si>
    <t>박준하</t>
    <phoneticPr fontId="14" type="noConversion"/>
  </si>
  <si>
    <t>임대현 후임</t>
    <phoneticPr fontId="14" type="noConversion"/>
  </si>
  <si>
    <t>02-6400-5026</t>
  </si>
  <si>
    <t>010-7581-7079</t>
    <phoneticPr fontId="14" type="noConversion"/>
  </si>
  <si>
    <t>junha7079@cnthoth.com</t>
    <phoneticPr fontId="14" type="noConversion"/>
  </si>
  <si>
    <t>960327-1</t>
    <phoneticPr fontId="14" type="noConversion"/>
  </si>
  <si>
    <t>경북대학교</t>
    <phoneticPr fontId="14" type="noConversion"/>
  </si>
  <si>
    <t>항공위성시스템공학과</t>
    <phoneticPr fontId="14" type="noConversion"/>
  </si>
  <si>
    <t>대학교중퇴</t>
  </si>
  <si>
    <t>16522</t>
    <phoneticPr fontId="14" type="noConversion"/>
  </si>
  <si>
    <t>경기도 수원시 영통구 삼성로268번길 25, 아트빌 705호 (원천동)</t>
    <phoneticPr fontId="14" type="noConversion"/>
  </si>
  <si>
    <t>김현규</t>
    <phoneticPr fontId="14" type="noConversion"/>
  </si>
  <si>
    <t>2025_신규</t>
    <phoneticPr fontId="14" type="noConversion"/>
  </si>
  <si>
    <t>010-2911-2058</t>
    <phoneticPr fontId="20" type="noConversion"/>
  </si>
  <si>
    <t>hkkim@cnthoth.com</t>
    <phoneticPr fontId="20" type="noConversion"/>
  </si>
  <si>
    <t>921031-1</t>
    <phoneticPr fontId="20" type="noConversion"/>
  </si>
  <si>
    <t>명지대학교</t>
    <phoneticPr fontId="20" type="noConversion"/>
  </si>
  <si>
    <t>행정학과</t>
    <phoneticPr fontId="20" type="noConversion"/>
  </si>
  <si>
    <t>17338</t>
    <phoneticPr fontId="20" type="noConversion"/>
  </si>
  <si>
    <t>경기도 이천시 대월면 사동로159번길 9-6, 305호 (대월면, 다행빌리지)</t>
    <phoneticPr fontId="20" type="noConversion"/>
  </si>
  <si>
    <t>서칭</t>
  </si>
  <si>
    <t>우성현</t>
  </si>
  <si>
    <t>정명인</t>
    <phoneticPr fontId="20" type="noConversion"/>
  </si>
  <si>
    <t>초급상</t>
    <phoneticPr fontId="20" type="noConversion"/>
  </si>
  <si>
    <t>010-5955-0669</t>
    <phoneticPr fontId="20" type="noConversion"/>
  </si>
  <si>
    <t>ssill00@cnthoth.com</t>
    <phoneticPr fontId="20" type="noConversion"/>
  </si>
  <si>
    <t>940819-1</t>
    <phoneticPr fontId="20" type="noConversion"/>
  </si>
  <si>
    <t>성남방송고등학교</t>
    <phoneticPr fontId="20" type="noConversion"/>
  </si>
  <si>
    <t>12793</t>
    <phoneticPr fontId="20" type="noConversion"/>
  </si>
  <si>
    <t>경기도 광주시 마루들길 253-46, 402호 (양벌동, 해오름)</t>
    <phoneticPr fontId="20" type="noConversion"/>
  </si>
  <si>
    <t>SK렌터카</t>
    <phoneticPr fontId="14" type="noConversion"/>
  </si>
  <si>
    <t>이상곤</t>
    <phoneticPr fontId="14" type="noConversion"/>
  </si>
  <si>
    <t>장재홍 후임</t>
    <phoneticPr fontId="14" type="noConversion"/>
  </si>
  <si>
    <t>010-8869-4063</t>
    <phoneticPr fontId="20" type="noConversion"/>
  </si>
  <si>
    <t>lsk778@cnthoth.com</t>
    <phoneticPr fontId="20" type="noConversion"/>
  </si>
  <si>
    <t>930508-1</t>
    <phoneticPr fontId="20" type="noConversion"/>
  </si>
  <si>
    <t>경기기계공업고등학교</t>
    <phoneticPr fontId="20" type="noConversion"/>
  </si>
  <si>
    <t>로봇과</t>
    <phoneticPr fontId="20" type="noConversion"/>
  </si>
  <si>
    <t>PC정비사2급</t>
    <phoneticPr fontId="20" type="noConversion"/>
  </si>
  <si>
    <t>01460</t>
    <phoneticPr fontId="14" type="noConversion"/>
  </si>
  <si>
    <t>서울특별시 도봉구 도봉로104번길 61-23, 나동 6층 601호 (창동)</t>
    <phoneticPr fontId="14" type="noConversion"/>
  </si>
  <si>
    <t>채정균</t>
    <phoneticPr fontId="14" type="noConversion"/>
  </si>
  <si>
    <t>김영환 후임</t>
    <phoneticPr fontId="20" type="noConversion"/>
  </si>
  <si>
    <t>010-8535-6580</t>
    <phoneticPr fontId="20" type="noConversion"/>
  </si>
  <si>
    <t>jungkyun@cnthoth.com</t>
    <phoneticPr fontId="14" type="noConversion"/>
  </si>
  <si>
    <t>891201-1</t>
    <phoneticPr fontId="20" type="noConversion"/>
  </si>
  <si>
    <t>대구한의대학교</t>
    <phoneticPr fontId="20" type="noConversion"/>
  </si>
  <si>
    <t>한약재약리</t>
    <phoneticPr fontId="20" type="noConversion"/>
  </si>
  <si>
    <t>12764</t>
    <phoneticPr fontId="20" type="noConversion"/>
  </si>
  <si>
    <t>경기도 광주시 광주역8로 14, 201동 1904호 (역동, 경기광주역 행복주택)</t>
    <phoneticPr fontId="20" type="noConversion"/>
  </si>
  <si>
    <t>이기홍</t>
  </si>
  <si>
    <t>황도훈</t>
    <phoneticPr fontId="14" type="noConversion"/>
  </si>
  <si>
    <t>이영현 후임</t>
    <phoneticPr fontId="14" type="noConversion"/>
  </si>
  <si>
    <t>010-9024-5059</t>
    <phoneticPr fontId="14" type="noConversion"/>
  </si>
  <si>
    <t>doh135@cnthoth.com</t>
    <phoneticPr fontId="14" type="noConversion"/>
  </si>
  <si>
    <t>000223-3</t>
    <phoneticPr fontId="14" type="noConversion"/>
  </si>
  <si>
    <t>한국폴리텍대학</t>
    <phoneticPr fontId="14" type="noConversion"/>
  </si>
  <si>
    <t>스마트정보통신과</t>
    <phoneticPr fontId="14" type="noConversion"/>
  </si>
  <si>
    <t>04903</t>
    <phoneticPr fontId="14" type="noConversion"/>
  </si>
  <si>
    <t>서울특별시 광진구 답십리로86길 15, 101호 (중곡동)</t>
    <phoneticPr fontId="14" type="noConversion"/>
  </si>
  <si>
    <t>우현욱</t>
    <phoneticPr fontId="20" type="noConversion"/>
  </si>
  <si>
    <t>이영문 후임</t>
    <phoneticPr fontId="20" type="noConversion"/>
  </si>
  <si>
    <t>010-7452-2905</t>
    <phoneticPr fontId="14" type="noConversion"/>
  </si>
  <si>
    <t>woo2905@cnthoth.com</t>
    <phoneticPr fontId="14" type="noConversion"/>
  </si>
  <si>
    <t>981203-1</t>
    <phoneticPr fontId="14" type="noConversion"/>
  </si>
  <si>
    <t>인제대학교</t>
    <phoneticPr fontId="14" type="noConversion"/>
  </si>
  <si>
    <t>정보통신학과</t>
    <phoneticPr fontId="14" type="noConversion"/>
  </si>
  <si>
    <t>이직</t>
    <phoneticPr fontId="14" type="noConversion"/>
  </si>
  <si>
    <t>17332</t>
    <phoneticPr fontId="14" type="noConversion"/>
  </si>
  <si>
    <t>경기도 이천시 부발읍 경충대로 2096-44, 1동 914호 (부발읍)</t>
    <phoneticPr fontId="14" type="noConversion"/>
  </si>
  <si>
    <t>이상혁</t>
    <phoneticPr fontId="14" type="noConversion"/>
  </si>
  <si>
    <t>홍순빈 후임</t>
    <phoneticPr fontId="14" type="noConversion"/>
  </si>
  <si>
    <t>010-2480-4263</t>
    <phoneticPr fontId="14" type="noConversion"/>
  </si>
  <si>
    <t>sanghk2@cnthoth.com</t>
    <phoneticPr fontId="14" type="noConversion"/>
  </si>
  <si>
    <t>941107-1</t>
    <phoneticPr fontId="14" type="noConversion"/>
  </si>
  <si>
    <t>양영디지털고등학교</t>
    <phoneticPr fontId="14" type="noConversion"/>
  </si>
  <si>
    <t>네트워크과</t>
    <phoneticPr fontId="14" type="noConversion"/>
  </si>
  <si>
    <t>17035</t>
    <phoneticPr fontId="14" type="noConversion"/>
  </si>
  <si>
    <t>경기도 용인시 처인구 모현읍 왕산로 14, 211동 5층 502호 (모현읍, 힐스테이트 몬테로이 2단지)</t>
    <phoneticPr fontId="14" type="noConversion"/>
  </si>
  <si>
    <t xml:space="preserve">박갑철M, </t>
  </si>
  <si>
    <t>이은서(임명:심규창)</t>
    <phoneticPr fontId="14" type="noConversion"/>
  </si>
  <si>
    <t>심규창</t>
    <phoneticPr fontId="14" type="noConversion"/>
  </si>
  <si>
    <t>010-4911-5596</t>
    <phoneticPr fontId="14" type="noConversion"/>
  </si>
  <si>
    <t>sgc6514@cnthoth.com</t>
    <phoneticPr fontId="14" type="noConversion"/>
  </si>
  <si>
    <t>951225-1</t>
    <phoneticPr fontId="14" type="noConversion"/>
  </si>
  <si>
    <t>세명대학교</t>
    <phoneticPr fontId="14" type="noConversion"/>
  </si>
  <si>
    <t>소방학과</t>
    <phoneticPr fontId="14" type="noConversion"/>
  </si>
  <si>
    <t>26441</t>
    <phoneticPr fontId="14" type="noConversion"/>
  </si>
  <si>
    <t>강원특별자치도 원주시 남원로 661, 2동 409호 (명륜동, 세경아파트(1차))</t>
    <phoneticPr fontId="14" type="noConversion"/>
  </si>
  <si>
    <t>SK하이닉스 네트워크 운영</t>
    <phoneticPr fontId="20" type="noConversion"/>
  </si>
  <si>
    <t>N/W 운영</t>
    <phoneticPr fontId="21" type="noConversion"/>
  </si>
  <si>
    <t>/ NW 구축지원, 자산관리</t>
    <phoneticPr fontId="21" type="noConversion"/>
  </si>
  <si>
    <t>지성근</t>
    <phoneticPr fontId="14" type="noConversion"/>
  </si>
  <si>
    <t>IT 인프라 현장대응 엔지니어</t>
    <phoneticPr fontId="21" type="noConversion"/>
  </si>
  <si>
    <t>김현규 후임</t>
    <phoneticPr fontId="14" type="noConversion"/>
  </si>
  <si>
    <t>010-8817-6401</t>
    <phoneticPr fontId="14" type="noConversion"/>
  </si>
  <si>
    <t>cellulargo@cnthoth.com</t>
    <phoneticPr fontId="14" type="noConversion"/>
  </si>
  <si>
    <t>940819-1</t>
    <phoneticPr fontId="14" type="noConversion"/>
  </si>
  <si>
    <t>학점은행제</t>
    <phoneticPr fontId="14" type="noConversion"/>
  </si>
  <si>
    <t>정보보안과</t>
    <phoneticPr fontId="14" type="noConversion"/>
  </si>
  <si>
    <t>17357</t>
    <phoneticPr fontId="14" type="noConversion"/>
  </si>
  <si>
    <t>경기도 이천시 이섭대천로 1304-19, B동 302호 (창전동, 창전빌라)</t>
    <phoneticPr fontId="14" type="noConversion"/>
  </si>
  <si>
    <t>조예덕</t>
    <phoneticPr fontId="14" type="noConversion"/>
  </si>
  <si>
    <t>김경호 후임</t>
    <phoneticPr fontId="14" type="noConversion"/>
  </si>
  <si>
    <t>010-8772-6752</t>
    <phoneticPr fontId="14" type="noConversion"/>
  </si>
  <si>
    <t>Zafuki@cnthoth.com</t>
    <phoneticPr fontId="14" type="noConversion"/>
  </si>
  <si>
    <t>990507-1</t>
    <phoneticPr fontId="14" type="noConversion"/>
  </si>
  <si>
    <t>동서울대학교</t>
    <phoneticPr fontId="14" type="noConversion"/>
  </si>
  <si>
    <t>정보통신과</t>
    <phoneticPr fontId="14" type="noConversion"/>
  </si>
  <si>
    <t>리눅스마스터 2급</t>
    <phoneticPr fontId="14" type="noConversion"/>
  </si>
  <si>
    <t>02211</t>
    <phoneticPr fontId="14" type="noConversion"/>
  </si>
  <si>
    <t>서울특별시 중랑구 면목로44마길 36-1 (면목동)</t>
    <phoneticPr fontId="14" type="noConversion"/>
  </si>
  <si>
    <t>오의영</t>
    <phoneticPr fontId="14" type="noConversion"/>
  </si>
  <si>
    <t>이한웅 후임</t>
    <phoneticPr fontId="14" type="noConversion"/>
  </si>
  <si>
    <t>010-8954-6063</t>
    <phoneticPr fontId="14" type="noConversion"/>
  </si>
  <si>
    <t>ouy520@cnthoth.com</t>
    <phoneticPr fontId="14" type="noConversion"/>
  </si>
  <si>
    <t>990609-1</t>
    <phoneticPr fontId="14" type="noConversion"/>
  </si>
  <si>
    <t>서원대학교</t>
    <phoneticPr fontId="14" type="noConversion"/>
  </si>
  <si>
    <t>정보통신공학과</t>
    <phoneticPr fontId="14" type="noConversion"/>
  </si>
  <si>
    <t>대전광역시 대덕구 대청로64번길 41, 201동 502호 (신탄진동, 대우새여울아파트)</t>
    <phoneticPr fontId="14" type="noConversion"/>
  </si>
  <si>
    <t>유승현</t>
    <phoneticPr fontId="14" type="noConversion"/>
  </si>
  <si>
    <t>유호진 후임</t>
    <phoneticPr fontId="14" type="noConversion"/>
  </si>
  <si>
    <t>010-4153-7579</t>
    <phoneticPr fontId="14" type="noConversion"/>
  </si>
  <si>
    <t>yush97@cnthoth.com</t>
    <phoneticPr fontId="14" type="noConversion"/>
  </si>
  <si>
    <t>970311-1</t>
    <phoneticPr fontId="14" type="noConversion"/>
  </si>
  <si>
    <t>대구가톨릭대학교</t>
    <phoneticPr fontId="14" type="noConversion"/>
  </si>
  <si>
    <t>스마트IOT공학부</t>
    <phoneticPr fontId="14" type="noConversion"/>
  </si>
  <si>
    <t>정보통신기사</t>
    <phoneticPr fontId="14" type="noConversion"/>
  </si>
  <si>
    <t>41426</t>
    <phoneticPr fontId="14" type="noConversion"/>
  </si>
  <si>
    <t>대구광역시 북구 동천로24길 12, 207동 601호 (동천동, 부영그린타운)</t>
    <phoneticPr fontId="14" type="noConversion"/>
  </si>
  <si>
    <t>권태우</t>
    <phoneticPr fontId="14" type="noConversion"/>
  </si>
  <si>
    <t>고미르 후임</t>
    <phoneticPr fontId="14" type="noConversion"/>
  </si>
  <si>
    <t>010-9006-0289</t>
    <phoneticPr fontId="14" type="noConversion"/>
  </si>
  <si>
    <t>wotbi@cnthoth.com</t>
    <phoneticPr fontId="14" type="noConversion"/>
  </si>
  <si>
    <t>990528-1</t>
  </si>
  <si>
    <t>17371</t>
    <phoneticPr fontId="14" type="noConversion"/>
  </si>
  <si>
    <t>경기도 이천시 애련정로96번길 5-1, 2층 (창전동)</t>
    <phoneticPr fontId="14" type="noConversion"/>
  </si>
  <si>
    <t>김규민</t>
    <phoneticPr fontId="14" type="noConversion"/>
  </si>
  <si>
    <t>박주현 후임</t>
    <phoneticPr fontId="14" type="noConversion"/>
  </si>
  <si>
    <t>010-4684-1678</t>
    <phoneticPr fontId="14" type="noConversion"/>
  </si>
  <si>
    <t>gyumin@cnthoth.com</t>
    <phoneticPr fontId="14" type="noConversion"/>
  </si>
  <si>
    <t>020327-3</t>
    <phoneticPr fontId="14" type="noConversion"/>
  </si>
  <si>
    <t>유한공업고등학교</t>
    <phoneticPr fontId="14" type="noConversion"/>
  </si>
  <si>
    <t>보라매DC</t>
  </si>
  <si>
    <t>SKT(보라매)</t>
  </si>
  <si>
    <t>14998</t>
    <phoneticPr fontId="14" type="noConversion"/>
  </si>
  <si>
    <t>경기도 시흥시 시청로68번길 30, 504호 (장현동, 이즈라이프)</t>
    <phoneticPr fontId="14" type="noConversion"/>
  </si>
  <si>
    <t>보라매 DC 운영</t>
  </si>
  <si>
    <t>엄상경 M, 강승수 M</t>
    <phoneticPr fontId="20" type="noConversion"/>
  </si>
  <si>
    <t>곽경석</t>
  </si>
  <si>
    <t>정명훈</t>
    <phoneticPr fontId="14" type="noConversion"/>
  </si>
  <si>
    <t>김태윤 후임</t>
    <phoneticPr fontId="14" type="noConversion"/>
  </si>
  <si>
    <t>010-4145-4528</t>
    <phoneticPr fontId="14" type="noConversion"/>
  </si>
  <si>
    <t>katan15@cnthoth.com</t>
    <phoneticPr fontId="14" type="noConversion"/>
  </si>
  <si>
    <t>990110-1</t>
    <phoneticPr fontId="14" type="noConversion"/>
  </si>
  <si>
    <t>청주대학교</t>
    <phoneticPr fontId="14" type="noConversion"/>
  </si>
  <si>
    <t>지적학과</t>
    <phoneticPr fontId="14" type="noConversion"/>
  </si>
  <si>
    <t>28453</t>
    <phoneticPr fontId="14" type="noConversion"/>
  </si>
  <si>
    <t>충청북도 청주시 흥덕구 월명로 114, 201호 (봉명동, 극동주얼리아파트)</t>
    <phoneticPr fontId="14" type="noConversion"/>
  </si>
  <si>
    <t>010-2652-4879</t>
    <phoneticPr fontId="14" type="noConversion"/>
  </si>
  <si>
    <t>syk2754@cnthoth.com</t>
    <phoneticPr fontId="14" type="noConversion"/>
  </si>
  <si>
    <t>940809-1</t>
    <phoneticPr fontId="14" type="noConversion"/>
  </si>
  <si>
    <t>경영정보학과</t>
    <phoneticPr fontId="14" type="noConversion"/>
  </si>
  <si>
    <t>SK하이닉스_청주</t>
    <phoneticPr fontId="14" type="noConversion"/>
  </si>
  <si>
    <t>30072</t>
    <phoneticPr fontId="14" type="noConversion"/>
  </si>
  <si>
    <t>세종특별자치시 부강면 용포돈촌길 23-3</t>
    <phoneticPr fontId="14" type="noConversion"/>
  </si>
  <si>
    <t>윤준식</t>
    <phoneticPr fontId="14" type="noConversion"/>
  </si>
  <si>
    <t>010-3630-5921</t>
    <phoneticPr fontId="14" type="noConversion"/>
  </si>
  <si>
    <t>yoonjs8@cnthoth.com</t>
    <phoneticPr fontId="14" type="noConversion"/>
  </si>
  <si>
    <t>880411-1</t>
    <phoneticPr fontId="14" type="noConversion"/>
  </si>
  <si>
    <t>동양미래대학교</t>
    <phoneticPr fontId="14" type="noConversion"/>
  </si>
  <si>
    <t>자동화시스템학과</t>
    <phoneticPr fontId="14" type="noConversion"/>
  </si>
  <si>
    <t>SKB_남산13F</t>
    <phoneticPr fontId="14" type="noConversion"/>
  </si>
  <si>
    <t>서울시 중구 퇴계로24 SK남산그린빌딩 13F</t>
    <phoneticPr fontId="14" type="noConversion"/>
  </si>
  <si>
    <t>03482</t>
    <phoneticPr fontId="14" type="noConversion"/>
  </si>
  <si>
    <t>서울특별시 은평구 가좌로7라길 12-24 (응암동)</t>
    <phoneticPr fontId="14" type="noConversion"/>
  </si>
  <si>
    <t>VoIP 전화기,  L3/백본장비 운영</t>
  </si>
  <si>
    <t>김정우</t>
    <phoneticPr fontId="14" type="noConversion"/>
  </si>
  <si>
    <t>박주용 후임</t>
    <phoneticPr fontId="14" type="noConversion"/>
  </si>
  <si>
    <t>010-8542-9379</t>
    <phoneticPr fontId="14" type="noConversion"/>
  </si>
  <si>
    <t>JW0507@cnthoth.com</t>
    <phoneticPr fontId="14" type="noConversion"/>
  </si>
  <si>
    <t>920923-1</t>
  </si>
  <si>
    <t>충청북도 청주시 흥덕구 2순환로 1053-9, 뜨란채 109동 202호 (비하동)</t>
    <phoneticPr fontId="14" type="noConversion"/>
  </si>
  <si>
    <t>박건우</t>
    <phoneticPr fontId="14" type="noConversion"/>
  </si>
  <si>
    <t>김병우 후임</t>
    <phoneticPr fontId="21" type="noConversion"/>
  </si>
  <si>
    <t>010-5065-6306</t>
    <phoneticPr fontId="14" type="noConversion"/>
  </si>
  <si>
    <t>rnvkf@cnthoth.com</t>
    <phoneticPr fontId="14" type="noConversion"/>
  </si>
  <si>
    <t>980913-1</t>
    <phoneticPr fontId="14" type="noConversion"/>
  </si>
  <si>
    <t>가톨릭대학교</t>
    <phoneticPr fontId="14" type="noConversion"/>
  </si>
  <si>
    <t>정보통신공학</t>
    <phoneticPr fontId="14" type="noConversion"/>
  </si>
  <si>
    <t>06964</t>
    <phoneticPr fontId="14" type="noConversion"/>
  </si>
  <si>
    <t>서울특별시 동작구 상도로30길 40, 203동 701호 (상도동, 상도2차두산위브트레지움아파트)</t>
    <phoneticPr fontId="14" type="noConversion"/>
  </si>
  <si>
    <t>장재환 M</t>
    <phoneticPr fontId="14" type="noConversion"/>
  </si>
  <si>
    <t>한성희</t>
    <phoneticPr fontId="20" type="noConversion"/>
  </si>
  <si>
    <t>과장</t>
    <phoneticPr fontId="20" type="noConversion"/>
  </si>
  <si>
    <t>김시빈 후임</t>
    <phoneticPr fontId="21" type="noConversion"/>
  </si>
  <si>
    <t>010-9160-9897</t>
  </si>
  <si>
    <t>hansh@cnthoth.com</t>
    <phoneticPr fontId="14" type="noConversion"/>
  </si>
  <si>
    <t>821205-1</t>
    <phoneticPr fontId="20" type="noConversion"/>
  </si>
  <si>
    <t>배재고등학교</t>
    <phoneticPr fontId="20" type="noConversion"/>
  </si>
  <si>
    <t>리눅스마스터2급</t>
    <phoneticPr fontId="20" type="noConversion"/>
  </si>
  <si>
    <t>서울시 동작구 여의대방로 74 (신대방동) SK브로드밴드 9층</t>
    <phoneticPr fontId="20" type="noConversion"/>
  </si>
  <si>
    <t>05284</t>
    <phoneticPr fontId="14" type="noConversion"/>
  </si>
  <si>
    <t>서울특별시 강동구 상암로81길 7, 101동 104호 (상일동, 상일동아아파트)</t>
    <phoneticPr fontId="14" type="noConversion"/>
  </si>
  <si>
    <t>SKB 서버 구축 및 MA</t>
    <phoneticPr fontId="14" type="noConversion"/>
  </si>
  <si>
    <t>서버 구축 지원</t>
  </si>
  <si>
    <t>에스케이브로드밴드(주) / SKB 25년 IP백본장비 통합 유지보수 용역 계약_26년1분기(4500302124-01)</t>
  </si>
  <si>
    <t>외부추천</t>
    <phoneticPr fontId="14" type="noConversion"/>
  </si>
  <si>
    <t>장애 5급</t>
    <phoneticPr fontId="14" type="noConversion"/>
  </si>
  <si>
    <t>차완균 M, 변재관 M</t>
    <phoneticPr fontId="14" type="noConversion"/>
  </si>
  <si>
    <t>김형근</t>
    <phoneticPr fontId="14" type="noConversion"/>
  </si>
  <si>
    <t>010-2064-3238</t>
    <phoneticPr fontId="14" type="noConversion"/>
  </si>
  <si>
    <t>kiohg@cnthoth.com</t>
    <phoneticPr fontId="14" type="noConversion"/>
  </si>
  <si>
    <t>870414-1</t>
    <phoneticPr fontId="14" type="noConversion"/>
  </si>
  <si>
    <t>대림전문대학교</t>
    <phoneticPr fontId="14" type="noConversion"/>
  </si>
  <si>
    <t>전기과</t>
    <phoneticPr fontId="14" type="noConversion"/>
  </si>
  <si>
    <t>전문대중퇴</t>
    <phoneticPr fontId="14" type="noConversion"/>
  </si>
  <si>
    <t>CCNP</t>
    <phoneticPr fontId="14" type="noConversion"/>
  </si>
  <si>
    <t>정보처리산업기사, 리눅스마스터2급, 네트워크관리사2급</t>
    <phoneticPr fontId="14" type="noConversion"/>
  </si>
  <si>
    <t>SK플래닛_판교</t>
    <phoneticPr fontId="14" type="noConversion"/>
  </si>
  <si>
    <t>SK플래닛㈜</t>
    <phoneticPr fontId="21" type="noConversion"/>
  </si>
  <si>
    <t>SK플래닛(판교)</t>
    <phoneticPr fontId="14" type="noConversion"/>
  </si>
  <si>
    <t>경기도 성남시 분당구 판교로 264 SK플래닛 판교 사옥</t>
    <phoneticPr fontId="14" type="noConversion"/>
  </si>
  <si>
    <t>16443</t>
    <phoneticPr fontId="14" type="noConversion"/>
  </si>
  <si>
    <t>경기도 수원시 팔달구 동말로13번길 47, 5동 201호 (화서동, 광일빌라)</t>
    <phoneticPr fontId="14" type="noConversion"/>
  </si>
  <si>
    <t>Infra Engineering팀</t>
  </si>
  <si>
    <t>SKP 네트워크 운영</t>
    <phoneticPr fontId="14" type="noConversion"/>
  </si>
  <si>
    <t>N/W L2, L3 운영</t>
  </si>
  <si>
    <t>2025년 오피스네트워크 운영 용역(PCT2500155)</t>
  </si>
  <si>
    <t>김무겸</t>
    <phoneticPr fontId="14" type="noConversion"/>
  </si>
  <si>
    <t>권준성 후임</t>
    <phoneticPr fontId="14" type="noConversion"/>
  </si>
  <si>
    <t>010-4862-9523</t>
    <phoneticPr fontId="14" type="noConversion"/>
  </si>
  <si>
    <t>rlaanrua98@cnthoth.com</t>
    <phoneticPr fontId="14" type="noConversion"/>
  </si>
  <si>
    <t>980718-1</t>
    <phoneticPr fontId="14" type="noConversion"/>
  </si>
  <si>
    <t>한남대학교</t>
    <phoneticPr fontId="14" type="noConversion"/>
  </si>
  <si>
    <t>전기전자공학과</t>
    <phoneticPr fontId="14" type="noConversion"/>
  </si>
  <si>
    <t xml:space="preserve">경기도 이천시 부발읍 경충대로 2091, SK하이닉스 기술지원센터 6층 SKHDC2 </t>
    <phoneticPr fontId="14" type="noConversion"/>
  </si>
  <si>
    <t>경기도 이천시 대월면 사동로159번길 9-5, 1동 301호 (대월면, 다행빌리지)</t>
    <phoneticPr fontId="14" type="noConversion"/>
  </si>
  <si>
    <t>엄상경 M, 강승수 M</t>
  </si>
  <si>
    <t>서형주</t>
    <phoneticPr fontId="14" type="noConversion"/>
  </si>
  <si>
    <t>전재훈 후임</t>
    <phoneticPr fontId="14" type="noConversion"/>
  </si>
  <si>
    <t>010-2360-5010</t>
    <phoneticPr fontId="14" type="noConversion"/>
  </si>
  <si>
    <t>shj95@cnthoth.com</t>
    <phoneticPr fontId="14" type="noConversion"/>
  </si>
  <si>
    <t>950127-1</t>
    <phoneticPr fontId="14" type="noConversion"/>
  </si>
  <si>
    <t>원광대학교</t>
    <phoneticPr fontId="14" type="noConversion"/>
  </si>
  <si>
    <t>소프트웨어 공학과</t>
    <phoneticPr fontId="14" type="noConversion"/>
  </si>
  <si>
    <t>정보처리기사</t>
    <phoneticPr fontId="14" type="noConversion"/>
  </si>
  <si>
    <t>컴퓨터활용능력2급</t>
    <phoneticPr fontId="14" type="noConversion"/>
  </si>
  <si>
    <t>SK하이닉스(청주)</t>
  </si>
  <si>
    <t>충청북도 청주시 흥덕구 짐대로38번길 18, 청온빌 202호 (복대동)</t>
    <phoneticPr fontId="14" type="noConversion"/>
  </si>
  <si>
    <t>청주 DC 운영</t>
  </si>
  <si>
    <t>권준성</t>
    <phoneticPr fontId="14" type="noConversion"/>
  </si>
  <si>
    <t>010-2851-0410</t>
    <phoneticPr fontId="14" type="noConversion"/>
  </si>
  <si>
    <t>kjoonseong2851@cnthoth.com</t>
    <phoneticPr fontId="14" type="noConversion"/>
  </si>
  <si>
    <t>980422-1</t>
    <phoneticPr fontId="14" type="noConversion"/>
  </si>
  <si>
    <t>청강문화산업대학교</t>
    <phoneticPr fontId="14" type="noConversion"/>
  </si>
  <si>
    <t>게임컨텐츠학과</t>
    <phoneticPr fontId="14" type="noConversion"/>
  </si>
  <si>
    <t>정보처리산업기사</t>
    <phoneticPr fontId="14" type="noConversion"/>
  </si>
  <si>
    <t>경기도 이천시 부발읍 가좌로103번길 113-9 (부발읍)</t>
    <phoneticPr fontId="14" type="noConversion"/>
  </si>
  <si>
    <t>양동식 M</t>
    <phoneticPr fontId="20" type="noConversion"/>
  </si>
  <si>
    <t>이동희</t>
    <phoneticPr fontId="14" type="noConversion"/>
  </si>
  <si>
    <t>정현우 후임</t>
    <phoneticPr fontId="14" type="noConversion"/>
  </si>
  <si>
    <t>010-4346-5826</t>
    <phoneticPr fontId="14" type="noConversion"/>
  </si>
  <si>
    <t>donghui99@cnthoth.com</t>
    <phoneticPr fontId="14" type="noConversion"/>
  </si>
  <si>
    <t>990518-1</t>
    <phoneticPr fontId="14" type="noConversion"/>
  </si>
  <si>
    <t>수원과학대학교</t>
    <phoneticPr fontId="14" type="noConversion"/>
  </si>
  <si>
    <t>컴퓨터정보과</t>
    <phoneticPr fontId="14" type="noConversion"/>
  </si>
  <si>
    <t>16333</t>
    <phoneticPr fontId="14" type="noConversion"/>
  </si>
  <si>
    <t>경기도 수원시 장안구 대평로89번길 32, 563동 1606호 (정자동, 백설 에듀빌)</t>
    <phoneticPr fontId="14" type="noConversion"/>
  </si>
  <si>
    <t>내부추천(권도완)</t>
  </si>
  <si>
    <t>정진현</t>
  </si>
  <si>
    <t>박태준 후임</t>
  </si>
  <si>
    <t>010-4217-2274</t>
  </si>
  <si>
    <t>syj6452@cnthoth.com</t>
    <phoneticPr fontId="14" type="noConversion"/>
  </si>
  <si>
    <t>970827-1</t>
  </si>
  <si>
    <t>13109</t>
    <phoneticPr fontId="14" type="noConversion"/>
  </si>
  <si>
    <t>경기도 성남시 수정구 모란로133번길 7 (태평동)</t>
    <phoneticPr fontId="14" type="noConversion"/>
  </si>
  <si>
    <t>SKGas, SK건설, SK케미컬, SK바이오사이언스, SKAD, SKI(물류센터 및 방화벽) 고객지원</t>
    <phoneticPr fontId="14" type="noConversion"/>
  </si>
  <si>
    <t>이민호</t>
  </si>
  <si>
    <t>김용현 차장</t>
    <phoneticPr fontId="14" type="noConversion"/>
  </si>
  <si>
    <t>유호근</t>
    <phoneticPr fontId="14" type="noConversion"/>
  </si>
  <si>
    <t>초급</t>
    <phoneticPr fontId="14" type="noConversion"/>
  </si>
  <si>
    <t>보안솔루션 운영원</t>
    <phoneticPr fontId="14" type="noConversion"/>
  </si>
  <si>
    <t>010-8697-8978</t>
    <phoneticPr fontId="14" type="noConversion"/>
  </si>
  <si>
    <t>YHG1028@cnthoth.com</t>
    <phoneticPr fontId="14" type="noConversion"/>
  </si>
  <si>
    <t>891227-1</t>
    <phoneticPr fontId="14" type="noConversion"/>
  </si>
  <si>
    <t>한국교통대학교</t>
    <phoneticPr fontId="14" type="noConversion"/>
  </si>
  <si>
    <t>SK쉴더스_판교</t>
    <phoneticPr fontId="14" type="noConversion"/>
  </si>
  <si>
    <t>SK쉴더스(판교)</t>
    <phoneticPr fontId="14" type="noConversion"/>
  </si>
  <si>
    <t>경기도 성남시 분당구 판교로 227번길 23, 4층</t>
    <phoneticPr fontId="14" type="noConversion"/>
  </si>
  <si>
    <t>12652</t>
    <phoneticPr fontId="14" type="noConversion"/>
  </si>
  <si>
    <t>경기도 여주시 세종로 254-16, 107동 505호 (교동, 호반리젠시빌아파트)</t>
    <phoneticPr fontId="14" type="noConversion"/>
  </si>
  <si>
    <t>SK쉴더스 보안운영팀</t>
    <phoneticPr fontId="14" type="noConversion"/>
  </si>
  <si>
    <t>정보보안솔루션 운영</t>
    <phoneticPr fontId="14" type="noConversion"/>
  </si>
  <si>
    <t>보안 솔루션 운영</t>
  </si>
  <si>
    <t>SK쉴더스 정보보안솔루션 운영(25-10-1001)</t>
  </si>
  <si>
    <t>이영훈</t>
    <phoneticPr fontId="14" type="noConversion"/>
  </si>
  <si>
    <t>박세혁 후임</t>
    <phoneticPr fontId="14" type="noConversion"/>
  </si>
  <si>
    <t>010-5410-7138</t>
    <phoneticPr fontId="14" type="noConversion"/>
  </si>
  <si>
    <t>LYH0505@cnthoth.com</t>
    <phoneticPr fontId="14" type="noConversion"/>
  </si>
  <si>
    <t>910505-1</t>
    <phoneticPr fontId="14" type="noConversion"/>
  </si>
  <si>
    <t>ICT폴리텍대학교</t>
    <phoneticPr fontId="14" type="noConversion"/>
  </si>
  <si>
    <t>클라우드인터넷학과</t>
    <phoneticPr fontId="14" type="noConversion"/>
  </si>
  <si>
    <t>사무자동화산업기사</t>
    <phoneticPr fontId="14" type="noConversion"/>
  </si>
  <si>
    <t>경기도 용인시 처인구 낙은로 100-31, 205동 201호 (역북동, 서희스타힐스 포레스트)</t>
    <phoneticPr fontId="14" type="noConversion"/>
  </si>
  <si>
    <t>이호정</t>
    <phoneticPr fontId="14" type="noConversion"/>
  </si>
  <si>
    <t>K8s 엔지니어</t>
    <phoneticPr fontId="14" type="noConversion"/>
  </si>
  <si>
    <t>010-6692-9679</t>
    <phoneticPr fontId="14" type="noConversion"/>
  </si>
  <si>
    <t>Leehj@cnthoth.com</t>
    <phoneticPr fontId="14" type="noConversion"/>
  </si>
  <si>
    <t>920527-1</t>
    <phoneticPr fontId="14" type="noConversion"/>
  </si>
  <si>
    <t>국가평생진흥교육원</t>
    <phoneticPr fontId="14" type="noConversion"/>
  </si>
  <si>
    <t>컴퓨터공학</t>
    <phoneticPr fontId="14" type="noConversion"/>
  </si>
  <si>
    <t>컴퓨터활용능력1급</t>
    <phoneticPr fontId="14" type="noConversion"/>
  </si>
  <si>
    <t>CKA, CKAD</t>
    <phoneticPr fontId="14" type="noConversion"/>
  </si>
  <si>
    <t>개인사유(이직)</t>
    <phoneticPr fontId="14" type="noConversion"/>
  </si>
  <si>
    <t>02034</t>
    <phoneticPr fontId="14" type="noConversion"/>
  </si>
  <si>
    <t>서울특별시 중랑구 공릉로2나길 35 202호 (묵동)</t>
    <phoneticPr fontId="14" type="noConversion"/>
  </si>
  <si>
    <t>클라우드 K8S 운영</t>
    <phoneticPr fontId="20" type="noConversion"/>
  </si>
  <si>
    <t>박귀진 M, 송수근 위원</t>
  </si>
  <si>
    <t>권민우</t>
    <phoneticPr fontId="14" type="noConversion"/>
  </si>
  <si>
    <t>신선영 후임</t>
    <phoneticPr fontId="14" type="noConversion"/>
  </si>
  <si>
    <t>010-3805-6295</t>
    <phoneticPr fontId="14" type="noConversion"/>
  </si>
  <si>
    <t>lyarid2@cnthoth.com</t>
    <phoneticPr fontId="14" type="noConversion"/>
  </si>
  <si>
    <t>991201-1</t>
    <phoneticPr fontId="14" type="noConversion"/>
  </si>
  <si>
    <t>보라매DC</t>
    <phoneticPr fontId="14" type="noConversion"/>
  </si>
  <si>
    <t>경기도 의정부시 추동로 12, 110동 708호 (신곡동, 신곡은하수아파트)</t>
    <phoneticPr fontId="14" type="noConversion"/>
  </si>
  <si>
    <t>강우빈</t>
    <phoneticPr fontId="14" type="noConversion"/>
  </si>
  <si>
    <t>풍기웅 후임</t>
    <phoneticPr fontId="14" type="noConversion"/>
  </si>
  <si>
    <t>010-6344-6399</t>
    <phoneticPr fontId="14" type="noConversion"/>
  </si>
  <si>
    <t>hskang@cnthoth.com</t>
    <phoneticPr fontId="14" type="noConversion"/>
  </si>
  <si>
    <t>961015-1</t>
    <phoneticPr fontId="14" type="noConversion"/>
  </si>
  <si>
    <t>전남도립대학교</t>
    <phoneticPr fontId="14" type="noConversion"/>
  </si>
  <si>
    <t>한옥건축학과</t>
    <phoneticPr fontId="14" type="noConversion"/>
  </si>
  <si>
    <t>12764</t>
    <phoneticPr fontId="14" type="noConversion"/>
  </si>
  <si>
    <t>경기도 광주시 광주역5로 18, 108동 2601호 (역동, 광주역자연앤자이)</t>
    <phoneticPr fontId="14" type="noConversion"/>
  </si>
  <si>
    <t>황제성 M</t>
    <phoneticPr fontId="14" type="noConversion"/>
  </si>
  <si>
    <t>노영재</t>
  </si>
  <si>
    <t>이수빈 후임</t>
  </si>
  <si>
    <t>010-5193-4742</t>
  </si>
  <si>
    <t>winrise@cnthoth.com</t>
    <phoneticPr fontId="14" type="noConversion"/>
  </si>
  <si>
    <t>930214_1</t>
  </si>
  <si>
    <t>SK서린빌딩_종로</t>
    <phoneticPr fontId="14" type="noConversion"/>
  </si>
  <si>
    <t>SK이노베이션</t>
    <phoneticPr fontId="14" type="noConversion"/>
  </si>
  <si>
    <t>03188</t>
    <phoneticPr fontId="14" type="noConversion"/>
  </si>
  <si>
    <t>서울시 종로구 종로 26 (서린동) SK서린빌딩</t>
    <phoneticPr fontId="14" type="noConversion"/>
  </si>
  <si>
    <t>03448</t>
    <phoneticPr fontId="14" type="noConversion"/>
  </si>
  <si>
    <t>서울특별시 은평구 증산로15가길 8, 401호 (신사동)</t>
    <phoneticPr fontId="14" type="noConversion"/>
  </si>
  <si>
    <t>SKI, SKON 고객지원</t>
    <phoneticPr fontId="14" type="noConversion"/>
  </si>
  <si>
    <t>신상선M, 진교성 M</t>
  </si>
  <si>
    <t>조상현</t>
    <phoneticPr fontId="14" type="noConversion"/>
  </si>
  <si>
    <t>010-5590-3585</t>
    <phoneticPr fontId="14" type="noConversion"/>
  </si>
  <si>
    <t>pioneer@cnthoth.com</t>
    <phoneticPr fontId="14" type="noConversion"/>
  </si>
  <si>
    <t>000425-3</t>
    <phoneticPr fontId="14" type="noConversion"/>
  </si>
  <si>
    <t>한경국립대학교</t>
  </si>
  <si>
    <t>컴퓨터정보보안과</t>
  </si>
  <si>
    <t>전문대졸</t>
  </si>
  <si>
    <t>AWS SAA</t>
  </si>
  <si>
    <t>임봉영</t>
    <phoneticPr fontId="21" type="noConversion"/>
  </si>
  <si>
    <t>17338</t>
    <phoneticPr fontId="14" type="noConversion"/>
  </si>
  <si>
    <t>경기도 이천시 대월면 사동로159번길 9-6, 402호 (대월면, 다행빌리지)</t>
    <phoneticPr fontId="14" type="noConversion"/>
  </si>
  <si>
    <t>이천 DC 운영</t>
    <phoneticPr fontId="21" type="noConversion"/>
  </si>
  <si>
    <t>유용상B</t>
  </si>
  <si>
    <t>이원영</t>
    <phoneticPr fontId="14" type="noConversion"/>
  </si>
  <si>
    <t>이원영</t>
  </si>
  <si>
    <t>IT 서비스 데스크 엔지니어</t>
    <phoneticPr fontId="14" type="noConversion"/>
  </si>
  <si>
    <t>2025_신규</t>
  </si>
  <si>
    <t>010-7233-5900</t>
  </si>
  <si>
    <t>Marin@cnthoth.com</t>
    <phoneticPr fontId="14" type="noConversion"/>
  </si>
  <si>
    <t>951006-1</t>
    <phoneticPr fontId="14" type="noConversion"/>
  </si>
  <si>
    <t>건설환경철도공학</t>
  </si>
  <si>
    <t>ITQ(Word)</t>
  </si>
  <si>
    <t>ITQ(excel)</t>
  </si>
  <si>
    <t>ITQ(PPT)</t>
  </si>
  <si>
    <t>씨앤토트플러스 9층_이수</t>
    <phoneticPr fontId="14" type="noConversion"/>
  </si>
  <si>
    <t>대우건설</t>
  </si>
  <si>
    <t>06675</t>
    <phoneticPr fontId="14" type="noConversion"/>
  </si>
  <si>
    <t>서울시 서초구 방배천로91, 구산타워 9층</t>
  </si>
  <si>
    <t>07936</t>
    <phoneticPr fontId="14" type="noConversion"/>
  </si>
  <si>
    <t>서울특별시 양천구 오목로11길 9, 나동 201호 (신월동, 우정쉐르빌)</t>
    <phoneticPr fontId="14" type="noConversion"/>
  </si>
  <si>
    <t>씨앤토트㈜ SmartWork팀</t>
    <phoneticPr fontId="14" type="noConversion"/>
  </si>
  <si>
    <t>대우건설 M365 HelpDesk</t>
    <phoneticPr fontId="14" type="noConversion"/>
  </si>
  <si>
    <t>M365 기술지원</t>
  </si>
  <si>
    <t>대우건설 M365 HelpDesk 운영(25-03-1002)</t>
  </si>
  <si>
    <t>송민재</t>
    <phoneticPr fontId="14" type="noConversion"/>
  </si>
  <si>
    <t>송민재</t>
  </si>
  <si>
    <t>IT 데스크탑 엔지니어</t>
    <phoneticPr fontId="14" type="noConversion"/>
  </si>
  <si>
    <t>010-7347-1520</t>
    <phoneticPr fontId="14" type="noConversion"/>
  </si>
  <si>
    <t>sigcojin@cnthoth.com</t>
    <phoneticPr fontId="14" type="noConversion"/>
  </si>
  <si>
    <t>790701-1</t>
  </si>
  <si>
    <t>학점은행제(학사학위취득)</t>
  </si>
  <si>
    <t>정보통신보안</t>
  </si>
  <si>
    <t>컴퓨터활용능력2급</t>
  </si>
  <si>
    <t>육상무선통신사</t>
  </si>
  <si>
    <t>파라다이스시티</t>
    <phoneticPr fontId="14" type="noConversion"/>
  </si>
  <si>
    <t>인천시 중구 영종해안남로321번길 186 (파라다이스시티)</t>
  </si>
  <si>
    <t>22143</t>
  </si>
  <si>
    <t>인천광역시 미추홀구 경원대로 884, 101동 1803호 (주안동, 주안더월드스테이트)</t>
    <phoneticPr fontId="14" type="noConversion"/>
  </si>
  <si>
    <t>파라다이스CT OA운영</t>
  </si>
  <si>
    <t>PC, 키오스크, POS 장비 운용</t>
  </si>
  <si>
    <t>고객사 공통  2026년_대외운영3(4500303729-01)</t>
  </si>
  <si>
    <t>스케줄_파라</t>
    <phoneticPr fontId="14" type="noConversion"/>
  </si>
  <si>
    <t>유연용 M, 강광훈 M</t>
    <phoneticPr fontId="14" type="noConversion"/>
  </si>
  <si>
    <t>이윤재</t>
  </si>
  <si>
    <t>010-4844-7429</t>
  </si>
  <si>
    <t>yjlee@cnthoth.com</t>
    <phoneticPr fontId="14" type="noConversion"/>
  </si>
  <si>
    <t>920703-1</t>
  </si>
  <si>
    <t>서울호서전문학교</t>
  </si>
  <si>
    <t>경영정보학</t>
  </si>
  <si>
    <t>AWS CSA</t>
  </si>
  <si>
    <t>Azure AA</t>
  </si>
  <si>
    <t xml:space="preserve">경기도 성남시 분당구 판교로 255번길 38 SK C&amp;C 판교캠퍼스 B동 </t>
    <phoneticPr fontId="14" type="noConversion"/>
  </si>
  <si>
    <t>07022</t>
    <phoneticPr fontId="14" type="noConversion"/>
  </si>
  <si>
    <t>서울특별시 동작구 사당로16길 107, 404호 (사당동, 노블캐슬)</t>
    <phoneticPr fontId="14" type="noConversion"/>
  </si>
  <si>
    <t>에너지물류 N/W AWS운영</t>
  </si>
  <si>
    <t>AWS N/W 운영</t>
  </si>
  <si>
    <t>/ Azure N/W운영</t>
  </si>
  <si>
    <t>최종범</t>
    <phoneticPr fontId="14" type="noConversion"/>
  </si>
  <si>
    <t>김국현</t>
  </si>
  <si>
    <t>VDI 엔지니어</t>
    <phoneticPr fontId="14" type="noConversion"/>
  </si>
  <si>
    <t>010-7557-0316</t>
  </si>
  <si>
    <t>kkhyeon@cnthoth.com</t>
    <phoneticPr fontId="14" type="noConversion"/>
  </si>
  <si>
    <t>930513-1</t>
  </si>
  <si>
    <t>광운대학교 정보과학교육원</t>
    <phoneticPr fontId="14" type="noConversion"/>
  </si>
  <si>
    <t>정보기술자격(ITQ)</t>
  </si>
  <si>
    <t>13251</t>
    <phoneticPr fontId="14" type="noConversion"/>
  </si>
  <si>
    <t>경기도 성남시 중원구 광명로264번길 38-5, 401호 (중앙동, 새천년맨션)</t>
    <phoneticPr fontId="14" type="noConversion"/>
  </si>
  <si>
    <t>SKT/SKI VDI 운영</t>
    <phoneticPr fontId="14" type="noConversion"/>
  </si>
  <si>
    <t>SKC&amp;C 담당</t>
  </si>
  <si>
    <t>고객사 공통  26년 SKAX VDI 운영_1분기 (4500302296-01)</t>
  </si>
  <si>
    <t>김한성</t>
    <phoneticPr fontId="14" type="noConversion"/>
  </si>
  <si>
    <t>이인성 후임</t>
    <phoneticPr fontId="14" type="noConversion"/>
  </si>
  <si>
    <t>010-5004-6823</t>
    <phoneticPr fontId="14" type="noConversion"/>
  </si>
  <si>
    <t>hanseong@cnthoth.com</t>
    <phoneticPr fontId="14" type="noConversion"/>
  </si>
  <si>
    <t>950209-1</t>
    <phoneticPr fontId="14" type="noConversion"/>
  </si>
  <si>
    <t>인덕대학교</t>
    <phoneticPr fontId="14" type="noConversion"/>
  </si>
  <si>
    <t>일본어과</t>
    <phoneticPr fontId="14" type="noConversion"/>
  </si>
  <si>
    <t>11676</t>
    <phoneticPr fontId="14" type="noConversion"/>
  </si>
  <si>
    <t>경기도 의정부시 의정로202번길 49, 2층 (가능동)</t>
    <phoneticPr fontId="14" type="noConversion"/>
  </si>
  <si>
    <t>SK 증권</t>
    <phoneticPr fontId="14" type="noConversion"/>
  </si>
  <si>
    <t>전인환</t>
    <phoneticPr fontId="14" type="noConversion"/>
  </si>
  <si>
    <t>전영준 후임</t>
    <phoneticPr fontId="14" type="noConversion"/>
  </si>
  <si>
    <t>010-9971-9945</t>
    <phoneticPr fontId="14" type="noConversion"/>
  </si>
  <si>
    <t>Jihsm@cnthoth.com</t>
    <phoneticPr fontId="14" type="noConversion"/>
  </si>
  <si>
    <t>870919-1</t>
  </si>
  <si>
    <t>경기도 성남시 중원구 은이로63번길 4-16, 301호 (은행동, 수신빌라)</t>
    <phoneticPr fontId="14" type="noConversion"/>
  </si>
  <si>
    <t>고성은</t>
    <phoneticPr fontId="14" type="noConversion"/>
  </si>
  <si>
    <t>한수현 후임</t>
    <phoneticPr fontId="14" type="noConversion"/>
  </si>
  <si>
    <t>010-8466-0656</t>
    <phoneticPr fontId="20" type="noConversion"/>
  </si>
  <si>
    <t>gse0656@cnthoth.com</t>
    <phoneticPr fontId="20" type="noConversion"/>
  </si>
  <si>
    <t>001212-4</t>
    <phoneticPr fontId="20" type="noConversion"/>
  </si>
  <si>
    <t>대전대학교</t>
    <phoneticPr fontId="20" type="noConversion"/>
  </si>
  <si>
    <t>13504</t>
    <phoneticPr fontId="20" type="noConversion"/>
  </si>
  <si>
    <t>경기도 성남시 분당구 벌말로 43, 203호 (야탑동, 대경오피스텔)</t>
    <phoneticPr fontId="20" type="noConversion"/>
  </si>
  <si>
    <t>배민국</t>
    <phoneticPr fontId="14" type="noConversion"/>
  </si>
  <si>
    <t>2025_신규</t>
    <phoneticPr fontId="20" type="noConversion"/>
  </si>
  <si>
    <t>010-8752-5146</t>
    <phoneticPr fontId="14" type="noConversion"/>
  </si>
  <si>
    <t>minkuk@cnthoth.com</t>
    <phoneticPr fontId="14" type="noConversion"/>
  </si>
  <si>
    <t>990912-1</t>
    <phoneticPr fontId="14" type="noConversion"/>
  </si>
  <si>
    <t>가락고등학교</t>
    <phoneticPr fontId="14" type="noConversion"/>
  </si>
  <si>
    <t>경기도 이천시 대월면 사동로 160-1, 1동 305호 (대월면, 더 팰리스)</t>
    <phoneticPr fontId="14" type="noConversion"/>
  </si>
  <si>
    <t>엄진용</t>
    <phoneticPr fontId="14" type="noConversion"/>
  </si>
  <si>
    <t>043-907-5802</t>
    <phoneticPr fontId="14" type="noConversion"/>
  </si>
  <si>
    <t>010-4604-4644</t>
    <phoneticPr fontId="14" type="noConversion"/>
  </si>
  <si>
    <t>bigbird043@cnthoth.com</t>
  </si>
  <si>
    <t>900425-1</t>
  </si>
  <si>
    <t>충청북도대학교</t>
  </si>
  <si>
    <t>체육학과</t>
  </si>
  <si>
    <t>충청북도 청주시 상당구 2순환로 2031, 109동 1103호 (방서동, 청주 하트리움 리버파크)</t>
    <phoneticPr fontId="14" type="noConversion"/>
  </si>
  <si>
    <t>심재용</t>
  </si>
  <si>
    <t>홍진만 후임</t>
    <phoneticPr fontId="14" type="noConversion"/>
  </si>
  <si>
    <t>010-8945-6042</t>
  </si>
  <si>
    <t>sim6042@cnthoth.com</t>
    <phoneticPr fontId="14" type="noConversion"/>
  </si>
  <si>
    <t>981223-1</t>
  </si>
  <si>
    <t>청주대학교</t>
  </si>
  <si>
    <t>디지털보안학과</t>
  </si>
  <si>
    <t>졸업</t>
  </si>
  <si>
    <t>곽경석</t>
    <phoneticPr fontId="21" type="noConversion"/>
  </si>
  <si>
    <t>28717</t>
  </si>
  <si>
    <t>충청북도 청주시 상당구 용담로 50, 212동 2203호 (탑동, 센트럴 힐데스하임)</t>
    <phoneticPr fontId="14" type="noConversion"/>
  </si>
  <si>
    <t>청주 DC 운영</t>
    <phoneticPr fontId="21" type="noConversion"/>
  </si>
  <si>
    <t>양석규</t>
    <phoneticPr fontId="14" type="noConversion"/>
  </si>
  <si>
    <t>서정관 후임</t>
    <phoneticPr fontId="14" type="noConversion"/>
  </si>
  <si>
    <t>010-4173-3500</t>
    <phoneticPr fontId="14" type="noConversion"/>
  </si>
  <si>
    <t>yang266@cnthoth.com</t>
    <phoneticPr fontId="14" type="noConversion"/>
  </si>
  <si>
    <t>950913-1</t>
    <phoneticPr fontId="14" type="noConversion"/>
  </si>
  <si>
    <t>수원정보과학고등학교</t>
    <phoneticPr fontId="14" type="noConversion"/>
  </si>
  <si>
    <t>17779</t>
    <phoneticPr fontId="14" type="noConversion"/>
  </si>
  <si>
    <t>경기도 평택시 탄현로 84, 402호 (서정동, 서정메트로하임)</t>
    <phoneticPr fontId="14" type="noConversion"/>
  </si>
  <si>
    <t>SKSQ담당</t>
  </si>
  <si>
    <t>내부추천(최성경)</t>
  </si>
  <si>
    <t>신상선 M, 진교성 M</t>
    <phoneticPr fontId="14" type="noConversion"/>
  </si>
  <si>
    <t>구본영</t>
    <phoneticPr fontId="21" type="noConversion"/>
  </si>
  <si>
    <t>이기예 후임</t>
    <phoneticPr fontId="14" type="noConversion"/>
  </si>
  <si>
    <t>010-3168-4229</t>
    <phoneticPr fontId="21" type="noConversion"/>
  </si>
  <si>
    <t>pangpang@cnthoth.com</t>
    <phoneticPr fontId="21" type="noConversion"/>
  </si>
  <si>
    <t>860310-1</t>
    <phoneticPr fontId="21" type="noConversion"/>
  </si>
  <si>
    <t>명지대학교</t>
    <phoneticPr fontId="21" type="noConversion"/>
  </si>
  <si>
    <t>바둑학과</t>
    <phoneticPr fontId="21" type="noConversion"/>
  </si>
  <si>
    <t>04106</t>
    <phoneticPr fontId="21" type="noConversion"/>
  </si>
  <si>
    <t>서울특별시 마포구 고산16길 9, 301호 (대흥동)</t>
    <phoneticPr fontId="21" type="noConversion"/>
  </si>
  <si>
    <t>김부강(임명:김경민)</t>
    <phoneticPr fontId="14" type="noConversion"/>
  </si>
  <si>
    <t>남기진</t>
    <phoneticPr fontId="14" type="noConversion"/>
  </si>
  <si>
    <t>김경민 후임</t>
    <phoneticPr fontId="14" type="noConversion"/>
  </si>
  <si>
    <t>010-8623-9187</t>
    <phoneticPr fontId="14" type="noConversion"/>
  </si>
  <si>
    <t>everday@cnthoth.com</t>
    <phoneticPr fontId="14" type="noConversion"/>
  </si>
  <si>
    <t>981206-1</t>
    <phoneticPr fontId="14" type="noConversion"/>
  </si>
  <si>
    <t>신구대학교</t>
    <phoneticPr fontId="14" type="noConversion"/>
  </si>
  <si>
    <t>소프트웨어공학과</t>
    <phoneticPr fontId="14" type="noConversion"/>
  </si>
  <si>
    <t>13187</t>
    <phoneticPr fontId="14" type="noConversion"/>
  </si>
  <si>
    <t>경기도 성남시 중원구 금광로 72, 506동 805호 (금광동, e편한세상금빛그랑메종5단지)</t>
    <phoneticPr fontId="14" type="noConversion"/>
  </si>
  <si>
    <t>Backup/Storage</t>
    <phoneticPr fontId="14" type="noConversion"/>
  </si>
  <si>
    <t>박규한</t>
  </si>
  <si>
    <t>네트워크엔지니어</t>
    <phoneticPr fontId="20" type="noConversion"/>
  </si>
  <si>
    <t>박우진 후임</t>
  </si>
  <si>
    <t>010-6339-6401</t>
    <phoneticPr fontId="14" type="noConversion"/>
  </si>
  <si>
    <t>rbgks@cnthoth.com</t>
    <phoneticPr fontId="14" type="noConversion"/>
  </si>
  <si>
    <t>970328-1</t>
  </si>
  <si>
    <t>졸업예정</t>
  </si>
  <si>
    <t>SMAT 1급</t>
  </si>
  <si>
    <t>강원특별자치도 원주시 향교길 107-32 (명륜동)</t>
    <phoneticPr fontId="14" type="noConversion"/>
  </si>
  <si>
    <t>오혜진M 이보연M</t>
  </si>
  <si>
    <t>송진수</t>
  </si>
  <si>
    <t>안용진 후임</t>
  </si>
  <si>
    <t>010-2480-7591</t>
    <phoneticPr fontId="20" type="noConversion"/>
  </si>
  <si>
    <t>js0891@cnthoth.com</t>
    <phoneticPr fontId="14" type="noConversion"/>
  </si>
  <si>
    <t>960929-1</t>
    <phoneticPr fontId="14" type="noConversion"/>
  </si>
  <si>
    <r>
      <t>서울</t>
    </r>
    <r>
      <rPr>
        <sz val="11"/>
        <color rgb="FF000000"/>
        <rFont val="맑은 고딕"/>
        <family val="3"/>
        <charset val="129"/>
        <scheme val="minor"/>
      </rPr>
      <t xml:space="preserve"> 중구 충무로 3가 43 6층 (SK C 타워)</t>
    </r>
    <phoneticPr fontId="14" type="noConversion"/>
  </si>
  <si>
    <t>05567</t>
    <phoneticPr fontId="14" type="noConversion"/>
  </si>
  <si>
    <t>서울특별시 송파구 삼전로7길 10, 102호 (잠실동, 현대빌라)</t>
    <phoneticPr fontId="14" type="noConversion"/>
  </si>
  <si>
    <t>에너지 Cloud팀</t>
    <phoneticPr fontId="14" type="noConversion"/>
  </si>
  <si>
    <t>SKI 서버 운영</t>
    <phoneticPr fontId="14" type="noConversion"/>
  </si>
  <si>
    <t>/ Window 서버 운영</t>
  </si>
  <si>
    <t>고객사 공통 / 2026년_인프라운영_HC21_01_1분기(4500302919-01)</t>
  </si>
  <si>
    <t>김현중</t>
  </si>
  <si>
    <t>010-9423-1870</t>
  </si>
  <si>
    <t>maker1@cnthoth.com</t>
    <phoneticPr fontId="14" type="noConversion"/>
  </si>
  <si>
    <t>820810-1</t>
  </si>
  <si>
    <t>스포츠마케팅</t>
  </si>
  <si>
    <t>인천시 중구 영종해안남로321번길 186 (파라다이스시티)</t>
    <phoneticPr fontId="14" type="noConversion"/>
  </si>
  <si>
    <t>22376</t>
  </si>
  <si>
    <t>인천광역시 중구 흰바위로 277, 266동 601호 (운남동, 운서역푸르지오더스카이)</t>
    <phoneticPr fontId="14" type="noConversion"/>
  </si>
  <si>
    <t>김용철</t>
    <phoneticPr fontId="21" type="noConversion"/>
  </si>
  <si>
    <t>김용철</t>
    <phoneticPr fontId="14" type="noConversion"/>
  </si>
  <si>
    <t>유효준 후임</t>
    <phoneticPr fontId="14" type="noConversion"/>
  </si>
  <si>
    <t>010-4089-0497</t>
    <phoneticPr fontId="21" type="noConversion"/>
  </si>
  <si>
    <t>kyc@cnthoth.com</t>
    <phoneticPr fontId="14" type="noConversion"/>
  </si>
  <si>
    <t>740215-1</t>
    <phoneticPr fontId="21" type="noConversion"/>
  </si>
  <si>
    <t>경기대학교</t>
    <phoneticPr fontId="21" type="noConversion"/>
  </si>
  <si>
    <t>전자계산학</t>
    <phoneticPr fontId="21" type="noConversion"/>
  </si>
  <si>
    <t>정보처리기사</t>
    <phoneticPr fontId="21" type="noConversion"/>
  </si>
  <si>
    <t>파라다이스_송도</t>
    <phoneticPr fontId="14" type="noConversion"/>
  </si>
  <si>
    <t>인천 연수구 벤처로 14 교보데이터센터</t>
    <phoneticPr fontId="14" type="noConversion"/>
  </si>
  <si>
    <t>14246</t>
    <phoneticPr fontId="14" type="noConversion"/>
  </si>
  <si>
    <t>경기도 광명시 하안로 364, 914동 1107호 (하안동, 하안9단지고층주공아파트)</t>
    <phoneticPr fontId="14" type="noConversion"/>
  </si>
  <si>
    <t>파라다이스ITO 서버 운영</t>
    <phoneticPr fontId="14" type="noConversion"/>
  </si>
  <si>
    <t>AIX, Linux 운영</t>
    <phoneticPr fontId="14" type="noConversion"/>
  </si>
  <si>
    <t>박규성(엄세정)</t>
    <phoneticPr fontId="14" type="noConversion"/>
  </si>
  <si>
    <t>엄세정</t>
    <phoneticPr fontId="14" type="noConversion"/>
  </si>
  <si>
    <t>조현하 후임</t>
    <phoneticPr fontId="20" type="noConversion"/>
  </si>
  <si>
    <t>010-3879-1693</t>
    <phoneticPr fontId="14" type="noConversion"/>
  </si>
  <si>
    <t>sjuhm99@cnthoth.com</t>
    <phoneticPr fontId="21" type="noConversion"/>
  </si>
  <si>
    <t>991231-1</t>
    <phoneticPr fontId="21" type="noConversion"/>
  </si>
  <si>
    <t>신한대학교</t>
    <phoneticPr fontId="21" type="noConversion"/>
  </si>
  <si>
    <t>소프트웨어융합학과</t>
    <phoneticPr fontId="14" type="noConversion"/>
  </si>
  <si>
    <t>02835</t>
    <phoneticPr fontId="21" type="noConversion"/>
  </si>
  <si>
    <t>서울특별시 성북구 성북로14나길 10-1, 301호 (성북동)</t>
    <phoneticPr fontId="21" type="noConversion"/>
  </si>
  <si>
    <t>임봉영</t>
  </si>
  <si>
    <t>최정환</t>
  </si>
  <si>
    <t>우현용 후임</t>
  </si>
  <si>
    <t>010-3466-0336</t>
    <phoneticPr fontId="14" type="noConversion"/>
  </si>
  <si>
    <t>kclj3000@cnthoth.com</t>
    <phoneticPr fontId="20" type="noConversion"/>
  </si>
  <si>
    <t>020403-3</t>
  </si>
  <si>
    <t>ict공학부 가상현실</t>
  </si>
  <si>
    <t>17354</t>
    <phoneticPr fontId="14" type="noConversion"/>
  </si>
  <si>
    <t>경기도 이천시 영창로 53, 106동 2401호 (관고동, 이천자이더파크)</t>
    <phoneticPr fontId="14" type="noConversion"/>
  </si>
  <si>
    <t>강현성</t>
    <phoneticPr fontId="14" type="noConversion"/>
  </si>
  <si>
    <t>010-8894-7716</t>
    <phoneticPr fontId="20" type="noConversion"/>
  </si>
  <si>
    <t>hyun485@cnthoth.com</t>
    <phoneticPr fontId="14" type="noConversion"/>
  </si>
  <si>
    <t>020924-3</t>
    <phoneticPr fontId="14" type="noConversion"/>
  </si>
  <si>
    <t>신안산대학교</t>
    <phoneticPr fontId="14" type="noConversion"/>
  </si>
  <si>
    <t>정보처리기능사</t>
    <phoneticPr fontId="14" type="noConversion"/>
  </si>
  <si>
    <t>13994</t>
    <phoneticPr fontId="20" type="noConversion"/>
  </si>
  <si>
    <t>경기도 안양시 만안구 안양천서로 289, 102동 302호 (안양동, 주공뜨란채)</t>
    <phoneticPr fontId="14" type="noConversion"/>
  </si>
  <si>
    <t>티오션</t>
  </si>
  <si>
    <t>임송묵</t>
  </si>
  <si>
    <t>이규범 후임</t>
  </si>
  <si>
    <t>010-9384-0454</t>
  </si>
  <si>
    <t>lsm0982@cnthoth.com</t>
    <phoneticPr fontId="20" type="noConversion"/>
  </si>
  <si>
    <t>980222-1</t>
  </si>
  <si>
    <t>06243</t>
    <phoneticPr fontId="20" type="noConversion"/>
  </si>
  <si>
    <t>서울특별시 강남구 역삼로5길 5, 라임하우스 원룸텔 (역삼동)</t>
    <phoneticPr fontId="20" type="noConversion"/>
  </si>
  <si>
    <t>유병주</t>
    <phoneticPr fontId="20" type="noConversion"/>
  </si>
  <si>
    <t>중급하</t>
    <phoneticPr fontId="20" type="noConversion"/>
  </si>
  <si>
    <t>중급기술자</t>
    <phoneticPr fontId="20" type="noConversion"/>
  </si>
  <si>
    <t>010-4843-6539</t>
    <phoneticPr fontId="20" type="noConversion"/>
  </si>
  <si>
    <t>ybj6539@cnthoth.com</t>
    <phoneticPr fontId="20" type="noConversion"/>
  </si>
  <si>
    <t>970107-1</t>
    <phoneticPr fontId="20" type="noConversion"/>
  </si>
  <si>
    <t>네트워크관리사2급</t>
    <phoneticPr fontId="20" type="noConversion"/>
  </si>
  <si>
    <t>SK AX B동 2F_판교</t>
    <phoneticPr fontId="14" type="noConversion"/>
  </si>
  <si>
    <t>SKT</t>
    <phoneticPr fontId="14" type="noConversion"/>
  </si>
  <si>
    <t>경기도 성남시 분당구 판교로 255번길 38 SK C&amp;C 판교캠퍼스 B동 2층</t>
    <phoneticPr fontId="14" type="noConversion"/>
  </si>
  <si>
    <t>02780</t>
    <phoneticPr fontId="20" type="noConversion"/>
  </si>
  <si>
    <t>서울특별시 성북구 화랑로48길 16, 109동 1003호 (석관동, 두산아파트)</t>
    <phoneticPr fontId="20" type="noConversion"/>
  </si>
  <si>
    <t>SKT 보안 방화벽 정책 적용</t>
    <phoneticPr fontId="14" type="noConversion"/>
  </si>
  <si>
    <t>SKT 보안 장애 대응</t>
    <phoneticPr fontId="14" type="noConversion"/>
  </si>
  <si>
    <t>에스케이텔레콤(주) / SKT 25년 통합네트워크센터 보안정책 운영 용역_26년1분기 (4500302143-01)</t>
  </si>
  <si>
    <t>송수근 위원/현석무M</t>
  </si>
  <si>
    <t>이준석</t>
    <phoneticPr fontId="14" type="noConversion"/>
  </si>
  <si>
    <t>010-8082-9443</t>
  </si>
  <si>
    <t>LJS0501@cnthoth.com</t>
    <phoneticPr fontId="14" type="noConversion"/>
  </si>
  <si>
    <t>001216-3</t>
  </si>
  <si>
    <t>정보기술자격 아래한글B등급</t>
  </si>
  <si>
    <t>SKT_보라매 B1F</t>
    <phoneticPr fontId="14" type="noConversion"/>
  </si>
  <si>
    <t>서울시 관악구 보라매로5길 1  SK텔레콤빌딩 B1F (봉천동)</t>
  </si>
  <si>
    <t>08308</t>
    <phoneticPr fontId="14" type="noConversion"/>
  </si>
  <si>
    <t>서울특별시 구로구 구로동로28길 33-4, 502호 (구로동, 글로리)</t>
    <phoneticPr fontId="14" type="noConversion"/>
  </si>
  <si>
    <t>김민혁</t>
    <phoneticPr fontId="14" type="noConversion"/>
  </si>
  <si>
    <t>010-4057-1990</t>
    <phoneticPr fontId="14" type="noConversion"/>
  </si>
  <si>
    <t>mhkim@cnthoth.com</t>
    <phoneticPr fontId="14" type="noConversion"/>
  </si>
  <si>
    <t>980312-1</t>
    <phoneticPr fontId="14" type="noConversion"/>
  </si>
  <si>
    <t>한국IT직업전문학교</t>
    <phoneticPr fontId="14" type="noConversion"/>
  </si>
  <si>
    <t>정보보안학과</t>
    <phoneticPr fontId="14" type="noConversion"/>
  </si>
  <si>
    <t>05018</t>
    <phoneticPr fontId="20" type="noConversion"/>
  </si>
  <si>
    <t>서울특별시 광진구 동일로22길 69-5, 203호 (화양동)</t>
    <phoneticPr fontId="20" type="noConversion"/>
  </si>
  <si>
    <t>유병주</t>
    <phoneticPr fontId="14" type="noConversion"/>
  </si>
  <si>
    <t>원동희</t>
    <phoneticPr fontId="14" type="noConversion"/>
  </si>
  <si>
    <t>010-5559-2782</t>
    <phoneticPr fontId="14" type="noConversion"/>
  </si>
  <si>
    <t>donghee@cnthoth.com</t>
    <phoneticPr fontId="14" type="noConversion"/>
  </si>
  <si>
    <t>910823-1</t>
    <phoneticPr fontId="14" type="noConversion"/>
  </si>
  <si>
    <t>동원대학교</t>
    <phoneticPr fontId="14" type="noConversion"/>
  </si>
  <si>
    <t>컴퓨터영상디자인과</t>
    <phoneticPr fontId="14" type="noConversion"/>
  </si>
  <si>
    <t>13395</t>
    <phoneticPr fontId="14" type="noConversion"/>
  </si>
  <si>
    <t>경기도 성남시 중원구 금상로57번길 7-18, 2층 (상대원동)</t>
    <phoneticPr fontId="14" type="noConversion"/>
  </si>
  <si>
    <t>협력사추천</t>
    <phoneticPr fontId="14" type="noConversion"/>
  </si>
  <si>
    <t>김현빈</t>
    <phoneticPr fontId="14" type="noConversion"/>
  </si>
  <si>
    <t>박준범 후임</t>
    <phoneticPr fontId="14" type="noConversion"/>
  </si>
  <si>
    <t>010-5557-4469</t>
    <phoneticPr fontId="14" type="noConversion"/>
  </si>
  <si>
    <t>dlslke1@cnthoth.com</t>
    <phoneticPr fontId="14" type="noConversion"/>
  </si>
  <si>
    <t>991109-1</t>
    <phoneticPr fontId="14" type="noConversion"/>
  </si>
  <si>
    <t>구미대학교</t>
    <phoneticPr fontId="14" type="noConversion"/>
  </si>
  <si>
    <t>항공정비과</t>
    <phoneticPr fontId="14" type="noConversion"/>
  </si>
  <si>
    <t>24550</t>
    <phoneticPr fontId="14" type="noConversion"/>
  </si>
  <si>
    <t>강원특별자치도 양구군 양구읍 박수근로285번길 37-32 (양구읍)</t>
    <phoneticPr fontId="14" type="noConversion"/>
  </si>
  <si>
    <t>SK랜터카, SK매직, SK플래닛, PS&amp;M 고객지원</t>
    <phoneticPr fontId="14" type="noConversion"/>
  </si>
  <si>
    <t>이은동</t>
    <phoneticPr fontId="14" type="noConversion"/>
  </si>
  <si>
    <t>박철민 후임</t>
    <phoneticPr fontId="14" type="noConversion"/>
  </si>
  <si>
    <t>010-2674-7317</t>
    <phoneticPr fontId="14" type="noConversion"/>
  </si>
  <si>
    <t>edlee@cnthoth.com</t>
    <phoneticPr fontId="14" type="noConversion"/>
  </si>
  <si>
    <t>781227-1</t>
    <phoneticPr fontId="14" type="noConversion"/>
  </si>
  <si>
    <t>금오공과대학교 대학원</t>
    <phoneticPr fontId="14" type="noConversion"/>
  </si>
  <si>
    <t>기계공학과</t>
    <phoneticPr fontId="14" type="noConversion"/>
  </si>
  <si>
    <t>22881</t>
    <phoneticPr fontId="14" type="noConversion"/>
  </si>
  <si>
    <t>인천광역시 서구 이음2로 70, 407동 102호 (당하동, 호반써밋 프라임뷰)</t>
    <phoneticPr fontId="14" type="noConversion"/>
  </si>
  <si>
    <t>PC, POS 장비 운용</t>
    <phoneticPr fontId="14" type="noConversion"/>
  </si>
  <si>
    <t>이승현</t>
  </si>
  <si>
    <t>위성구 후임</t>
  </si>
  <si>
    <t>010-2279-1497</t>
  </si>
  <si>
    <t>shyeon@cnthoth.com</t>
    <phoneticPr fontId="14" type="noConversion"/>
  </si>
  <si>
    <t>970924-1</t>
  </si>
  <si>
    <t>지능로봇과</t>
  </si>
  <si>
    <t>12644</t>
    <phoneticPr fontId="14" type="noConversion"/>
  </si>
  <si>
    <t>경기도 여주시 향교로 92, 105동 905호 (교동, 여주역 센트레빌 트리니체)</t>
    <phoneticPr fontId="14" type="noConversion"/>
  </si>
  <si>
    <t>이원동  M</t>
    <phoneticPr fontId="14" type="noConversion"/>
  </si>
  <si>
    <t>장은진</t>
    <phoneticPr fontId="14" type="noConversion"/>
  </si>
  <si>
    <t>010-3910-0846</t>
    <phoneticPr fontId="14" type="noConversion"/>
  </si>
  <si>
    <t>jejin00@cnthoth.com</t>
    <phoneticPr fontId="14" type="noConversion"/>
  </si>
  <si>
    <t>950923-2</t>
    <phoneticPr fontId="14" type="noConversion"/>
  </si>
  <si>
    <t>안양대학교</t>
    <phoneticPr fontId="14" type="noConversion"/>
  </si>
  <si>
    <t>04590</t>
    <phoneticPr fontId="14" type="noConversion"/>
  </si>
  <si>
    <t>서울특별시 중구 다산로14길 17, 504호 (신당동, 한스하우스)</t>
    <phoneticPr fontId="14" type="noConversion"/>
  </si>
  <si>
    <t>명승일</t>
    <phoneticPr fontId="20" type="noConversion"/>
  </si>
  <si>
    <t>조민귀</t>
    <phoneticPr fontId="14" type="noConversion"/>
  </si>
  <si>
    <t>010-7317-7695</t>
    <phoneticPr fontId="14" type="noConversion"/>
  </si>
  <si>
    <t>chmk26@cnthoth.com</t>
    <phoneticPr fontId="14" type="noConversion"/>
  </si>
  <si>
    <t>940317-1</t>
    <phoneticPr fontId="14" type="noConversion"/>
  </si>
  <si>
    <t>가림고등학교</t>
    <phoneticPr fontId="14" type="noConversion"/>
  </si>
  <si>
    <t>이과</t>
    <phoneticPr fontId="14" type="noConversion"/>
  </si>
  <si>
    <t>22832</t>
    <phoneticPr fontId="14" type="noConversion"/>
  </si>
  <si>
    <t>인천광역시 서구 건지로250번길 29-7, 나동 101호 (가좌동, 중앙빌라)</t>
    <phoneticPr fontId="14" type="noConversion"/>
  </si>
  <si>
    <t>차현욱</t>
    <phoneticPr fontId="14" type="noConversion"/>
  </si>
  <si>
    <t>010-9005-3029</t>
    <phoneticPr fontId="14" type="noConversion"/>
  </si>
  <si>
    <t>hwcha21@cnthoth.com</t>
    <phoneticPr fontId="14" type="noConversion"/>
  </si>
  <si>
    <t>900421-1</t>
    <phoneticPr fontId="14" type="noConversion"/>
  </si>
  <si>
    <t>가천대학교 경원캠퍼스</t>
    <phoneticPr fontId="14" type="noConversion"/>
  </si>
  <si>
    <t>동양어문학과</t>
    <phoneticPr fontId="14" type="noConversion"/>
  </si>
  <si>
    <t>14995</t>
    <phoneticPr fontId="14" type="noConversion"/>
  </si>
  <si>
    <t>경기도 시흥시 시흥대로268번길 75, 1402동 1302호 (능곡동, 우남퍼스트빌)</t>
    <phoneticPr fontId="14" type="noConversion"/>
  </si>
  <si>
    <t>하상국(임명:강태원)</t>
    <phoneticPr fontId="14" type="noConversion"/>
  </si>
  <si>
    <t>강태원</t>
    <phoneticPr fontId="14" type="noConversion"/>
  </si>
  <si>
    <t>정슬기 후임</t>
    <phoneticPr fontId="14" type="noConversion"/>
  </si>
  <si>
    <t>010-3952-2686</t>
    <phoneticPr fontId="14" type="noConversion"/>
  </si>
  <si>
    <t>kang712@cnthoth.com</t>
    <phoneticPr fontId="14" type="noConversion"/>
  </si>
  <si>
    <t>970712-1</t>
    <phoneticPr fontId="14" type="noConversion"/>
  </si>
  <si>
    <t>서울현대직업전문학교</t>
    <phoneticPr fontId="14" type="noConversion"/>
  </si>
  <si>
    <t>정보처리</t>
    <phoneticPr fontId="14" type="noConversion"/>
  </si>
  <si>
    <t>SK AX A동 4F_판교</t>
  </si>
  <si>
    <t>SKT(분당)</t>
    <phoneticPr fontId="14" type="noConversion"/>
  </si>
  <si>
    <t>24253</t>
    <phoneticPr fontId="14" type="noConversion"/>
  </si>
  <si>
    <t>강원특별자치도 춘천시 삭주로 125, 301동 1501호 (후평동, 세경3차아파트,상가)</t>
    <phoneticPr fontId="14" type="noConversion"/>
  </si>
  <si>
    <t>N/W 구축 지원 및 유지보수</t>
  </si>
  <si>
    <t>이용재 M</t>
    <phoneticPr fontId="14" type="noConversion"/>
  </si>
  <si>
    <t>김예담</t>
  </si>
  <si>
    <t>네트워크보안엔지니어</t>
    <phoneticPr fontId="21" type="noConversion"/>
  </si>
  <si>
    <t>박지용 후임</t>
  </si>
  <si>
    <t>010-2436-8769</t>
  </si>
  <si>
    <t>ydkim@cnthoth.com</t>
    <phoneticPr fontId="14" type="noConversion"/>
  </si>
  <si>
    <t>980328-1</t>
    <phoneticPr fontId="14" type="noConversion"/>
  </si>
  <si>
    <t>한국폴리텍대학</t>
  </si>
  <si>
    <t>자동화시스템과</t>
  </si>
  <si>
    <t>컴퓨터활용능력</t>
  </si>
  <si>
    <t>경기도 성남시 분당구 판교로 255번길 46 SK C&amp;C 판교캠퍼스 A동 1층</t>
  </si>
  <si>
    <t>13347</t>
    <phoneticPr fontId="14" type="noConversion"/>
  </si>
  <si>
    <t>경기도 성남시 수정구 수정로220번길 16-1, 101호 (신흥동)</t>
    <phoneticPr fontId="14" type="noConversion"/>
  </si>
  <si>
    <t>DT2팀</t>
  </si>
  <si>
    <t>한성훈</t>
    <phoneticPr fontId="14" type="noConversion"/>
  </si>
  <si>
    <t>차현욱 후임</t>
    <phoneticPr fontId="14" type="noConversion"/>
  </si>
  <si>
    <t>010-4145-3434</t>
  </si>
  <si>
    <t>kktjdgns41@cnthoth.com</t>
    <phoneticPr fontId="14" type="noConversion"/>
  </si>
  <si>
    <t>910128-1</t>
  </si>
  <si>
    <t>08563</t>
    <phoneticPr fontId="14" type="noConversion"/>
  </si>
  <si>
    <t>서울특별시 금천구 독산로50길 57-2, 101동 505호 (시흥동, 금강아파트)</t>
    <phoneticPr fontId="14" type="noConversion"/>
  </si>
  <si>
    <t>SKB N/W 구축</t>
    <phoneticPr fontId="14" type="noConversion"/>
  </si>
  <si>
    <t>L2 구축</t>
    <phoneticPr fontId="14" type="noConversion"/>
  </si>
  <si>
    <t>내부추천(박규성)</t>
    <phoneticPr fontId="14" type="noConversion"/>
  </si>
  <si>
    <t>강지민</t>
    <phoneticPr fontId="14" type="noConversion"/>
  </si>
  <si>
    <t>010-4788-0988</t>
    <phoneticPr fontId="14" type="noConversion"/>
  </si>
  <si>
    <t>kangjm@cnthoth.com</t>
    <phoneticPr fontId="14" type="noConversion"/>
  </si>
  <si>
    <t>960120-2</t>
    <phoneticPr fontId="14" type="noConversion"/>
  </si>
  <si>
    <t>극동대학교</t>
    <phoneticPr fontId="14" type="noConversion"/>
  </si>
  <si>
    <t>산업보안학과</t>
    <phoneticPr fontId="14" type="noConversion"/>
  </si>
  <si>
    <t>보안관제사</t>
    <phoneticPr fontId="14" type="noConversion"/>
  </si>
  <si>
    <t>13640</t>
    <phoneticPr fontId="14" type="noConversion"/>
  </si>
  <si>
    <t>경기도 성남시 수정구 위례광장로 104, 103-411호 (창곡동, 위례 한화 오벨리스크 센트럴스퀘어)</t>
    <phoneticPr fontId="14" type="noConversion"/>
  </si>
  <si>
    <t>송우현</t>
    <phoneticPr fontId="14" type="noConversion"/>
  </si>
  <si>
    <t>김무겸 후임</t>
    <phoneticPr fontId="14" type="noConversion"/>
  </si>
  <si>
    <t>010-2668-8248</t>
    <phoneticPr fontId="14" type="noConversion"/>
  </si>
  <si>
    <t>ghyun@cnthoth.com</t>
    <phoneticPr fontId="14" type="noConversion"/>
  </si>
  <si>
    <t>970723-1</t>
    <phoneticPr fontId="14" type="noConversion"/>
  </si>
  <si>
    <t>컴퓨터학부</t>
    <phoneticPr fontId="14" type="noConversion"/>
  </si>
  <si>
    <t>17316</t>
    <phoneticPr fontId="14" type="noConversion"/>
  </si>
  <si>
    <t>경기도 이천시 백사면 이여로 204, 108동 1005호 (백사면, 신안실크밸리 더 포레)</t>
    <phoneticPr fontId="14" type="noConversion"/>
  </si>
  <si>
    <t>김도윤 M, 김범철PM</t>
    <phoneticPr fontId="14" type="noConversion"/>
  </si>
  <si>
    <t>하연석</t>
    <phoneticPr fontId="14" type="noConversion"/>
  </si>
  <si>
    <t>010-6569-2303</t>
    <phoneticPr fontId="14" type="noConversion"/>
  </si>
  <si>
    <t>h0323@cnthoth.com</t>
    <phoneticPr fontId="14" type="noConversion"/>
  </si>
  <si>
    <t>030323-3</t>
    <phoneticPr fontId="14" type="noConversion"/>
  </si>
  <si>
    <t>명지전문대학</t>
    <phoneticPr fontId="14" type="noConversion"/>
  </si>
  <si>
    <t>ICT융합공학과</t>
    <phoneticPr fontId="14" type="noConversion"/>
  </si>
  <si>
    <t>한투증권_여의도</t>
    <phoneticPr fontId="14" type="noConversion"/>
  </si>
  <si>
    <t>한국투자증권</t>
    <phoneticPr fontId="14" type="noConversion"/>
  </si>
  <si>
    <t>07321</t>
    <phoneticPr fontId="14" type="noConversion"/>
  </si>
  <si>
    <t>서울특별시 영등포구 의사당대로 88, 한국투자증권 본사 12층 IT인프라부</t>
    <phoneticPr fontId="14" type="noConversion"/>
  </si>
  <si>
    <t>03481</t>
    <phoneticPr fontId="14" type="noConversion"/>
  </si>
  <si>
    <t>서울특별시 은평구 가좌로7가길 19-23 (응암동)</t>
    <phoneticPr fontId="14" type="noConversion"/>
  </si>
  <si>
    <t>IT인프라부</t>
    <phoneticPr fontId="14" type="noConversion"/>
  </si>
  <si>
    <t>취약점조치 대응</t>
    <phoneticPr fontId="14" type="noConversion"/>
  </si>
  <si>
    <t>서영서</t>
    <phoneticPr fontId="14" type="noConversion"/>
  </si>
  <si>
    <t>010-4535-9915</t>
    <phoneticPr fontId="14" type="noConversion"/>
  </si>
  <si>
    <t>ysseo@cnthoth.com</t>
    <phoneticPr fontId="14" type="noConversion"/>
  </si>
  <si>
    <t>980308-2</t>
    <phoneticPr fontId="14" type="noConversion"/>
  </si>
  <si>
    <t>48255</t>
    <phoneticPr fontId="14" type="noConversion"/>
  </si>
  <si>
    <t>부산광역시 수영구 장대골로7번길 20, 5층 502호 (광안동, 호암 팰리스)</t>
    <phoneticPr fontId="14" type="noConversion"/>
  </si>
  <si>
    <t>WAS 운영</t>
    <phoneticPr fontId="14" type="noConversion"/>
  </si>
  <si>
    <t>주향모</t>
    <phoneticPr fontId="14" type="noConversion"/>
  </si>
  <si>
    <t>강성빈 후임</t>
    <phoneticPr fontId="21" type="noConversion"/>
  </si>
  <si>
    <t>010-2709-6221</t>
    <phoneticPr fontId="14" type="noConversion"/>
  </si>
  <si>
    <t>white981@cnthoth.com</t>
    <phoneticPr fontId="14" type="noConversion"/>
  </si>
  <si>
    <t>820824-1</t>
    <phoneticPr fontId="14" type="noConversion"/>
  </si>
  <si>
    <t>신흥대학</t>
    <phoneticPr fontId="14" type="noConversion"/>
  </si>
  <si>
    <t>환경관리학과</t>
    <phoneticPr fontId="14" type="noConversion"/>
  </si>
  <si>
    <t>01773</t>
    <phoneticPr fontId="14" type="noConversion"/>
  </si>
  <si>
    <t>서울특별시 노원구 섬밭로 285, 118동 204호 (중계동, 중계그린아파트)</t>
    <phoneticPr fontId="14" type="noConversion"/>
  </si>
  <si>
    <t>N/W 장비 모니터링 및 장애전파</t>
    <phoneticPr fontId="14" type="noConversion"/>
  </si>
  <si>
    <t>에스케이브로드밴드(주) / SKB 25년 IT장비 및 소프트웨어 유지보수</t>
  </si>
  <si>
    <t>스케줄</t>
    <phoneticPr fontId="14" type="noConversion"/>
  </si>
  <si>
    <t>신우진</t>
    <phoneticPr fontId="14" type="noConversion"/>
  </si>
  <si>
    <t>김세영 후임</t>
    <phoneticPr fontId="14" type="noConversion"/>
  </si>
  <si>
    <t>010-6460-8332</t>
    <phoneticPr fontId="14" type="noConversion"/>
  </si>
  <si>
    <t>shin0718@cnthoth.com</t>
    <phoneticPr fontId="14" type="noConversion"/>
  </si>
  <si>
    <t>960718-1</t>
    <phoneticPr fontId="14" type="noConversion"/>
  </si>
  <si>
    <t>Fanshawe College대학</t>
    <phoneticPr fontId="14" type="noConversion"/>
  </si>
  <si>
    <t>computer programming and Analysis</t>
    <phoneticPr fontId="14" type="noConversion"/>
  </si>
  <si>
    <t>28385</t>
    <phoneticPr fontId="14" type="noConversion"/>
  </si>
  <si>
    <t>충청북도 청주시 흥덕구 서부로1124번길 43-57 (석곡동)</t>
    <phoneticPr fontId="14" type="noConversion"/>
  </si>
  <si>
    <t>내부추천(엄진용)</t>
    <phoneticPr fontId="14" type="noConversion"/>
  </si>
  <si>
    <t>김현수</t>
    <phoneticPr fontId="14" type="noConversion"/>
  </si>
  <si>
    <t>배상현 후임</t>
    <phoneticPr fontId="14" type="noConversion"/>
  </si>
  <si>
    <t>010-9246-1074</t>
    <phoneticPr fontId="14" type="noConversion"/>
  </si>
  <si>
    <t>kimhs1@cnthoth.com</t>
    <phoneticPr fontId="14" type="noConversion"/>
  </si>
  <si>
    <t>010222-3</t>
    <phoneticPr fontId="14" type="noConversion"/>
  </si>
  <si>
    <t>경기도 성남시 분당구 판교로 255번길 46 SK AX판교캠퍼스 A동 1층</t>
    <phoneticPr fontId="14" type="noConversion"/>
  </si>
  <si>
    <t>13612</t>
    <phoneticPr fontId="14" type="noConversion"/>
  </si>
  <si>
    <t>경기도 성남시 분당구 정자로 56, 110동 1205호 (정자동, 상록마을라이프1단지아파트)</t>
    <phoneticPr fontId="14" type="noConversion"/>
  </si>
  <si>
    <t>N/W 관제, 장애 조치</t>
    <phoneticPr fontId="14" type="noConversion"/>
  </si>
  <si>
    <t>최민석</t>
    <phoneticPr fontId="14" type="noConversion"/>
  </si>
  <si>
    <t>최선재 후임</t>
    <phoneticPr fontId="14" type="noConversion"/>
  </si>
  <si>
    <t>010-2840-9806</t>
    <phoneticPr fontId="14" type="noConversion"/>
  </si>
  <si>
    <t>cowboy@cnthoth.com</t>
    <phoneticPr fontId="14" type="noConversion"/>
  </si>
  <si>
    <t>980904-1</t>
    <phoneticPr fontId="14" type="noConversion"/>
  </si>
  <si>
    <t>컴퓨터공학과</t>
    <phoneticPr fontId="14" type="noConversion"/>
  </si>
  <si>
    <t>62260</t>
    <phoneticPr fontId="14" type="noConversion"/>
  </si>
  <si>
    <t>광주광역시 광산구 월계로 117-32. 106동 504호 (월계동, 첨단산업기지 라인1차아파트)</t>
    <phoneticPr fontId="14" type="noConversion"/>
  </si>
  <si>
    <t>김도혁</t>
    <phoneticPr fontId="14" type="noConversion"/>
  </si>
  <si>
    <t>조원재 후임</t>
    <phoneticPr fontId="14" type="noConversion"/>
  </si>
  <si>
    <t>010-9903-8617</t>
    <phoneticPr fontId="14" type="noConversion"/>
  </si>
  <si>
    <t>rabbit8@cnthoth.com</t>
    <phoneticPr fontId="14" type="noConversion"/>
  </si>
  <si>
    <t>990221-1</t>
    <phoneticPr fontId="14" type="noConversion"/>
  </si>
  <si>
    <t>전주대학교</t>
    <phoneticPr fontId="14" type="noConversion"/>
  </si>
  <si>
    <t>스마트미디어학과</t>
    <phoneticPr fontId="14" type="noConversion"/>
  </si>
  <si>
    <t>55126</t>
    <phoneticPr fontId="14" type="noConversion"/>
  </si>
  <si>
    <t>전북특별자치도 전주시 완산구 평화로 95, 104동 704호 (평화동2가, 호반리젠시빌아파트)</t>
    <phoneticPr fontId="14" type="noConversion"/>
  </si>
  <si>
    <t>김대권M/전성민M</t>
    <phoneticPr fontId="14" type="noConversion"/>
  </si>
  <si>
    <t>정기호</t>
    <phoneticPr fontId="14" type="noConversion"/>
  </si>
  <si>
    <t>2026_추가</t>
    <phoneticPr fontId="20" type="noConversion"/>
  </si>
  <si>
    <t>010-4689-1491</t>
    <phoneticPr fontId="14" type="noConversion"/>
  </si>
  <si>
    <t>khjeong@cnthoth.com</t>
    <phoneticPr fontId="14" type="noConversion"/>
  </si>
  <si>
    <t>830422-1</t>
    <phoneticPr fontId="14" type="noConversion"/>
  </si>
  <si>
    <t>김천대학/학점은행제</t>
    <phoneticPr fontId="14" type="noConversion"/>
  </si>
  <si>
    <t>컴퓨터.정보전공</t>
    <phoneticPr fontId="14" type="noConversion"/>
  </si>
  <si>
    <t>1급정보보안전문가</t>
    <phoneticPr fontId="14" type="noConversion"/>
  </si>
  <si>
    <t>경기도 이천시 부발읍 경충대로 2091, SK하이닉스 기술지원센터 5층</t>
    <phoneticPr fontId="14" type="noConversion"/>
  </si>
  <si>
    <t>17081</t>
    <phoneticPr fontId="14" type="noConversion"/>
  </si>
  <si>
    <t>경기도 용인시 기흥구 한보라2로14번길 3-12, 302호 (보라동)</t>
    <phoneticPr fontId="14" type="noConversion"/>
  </si>
  <si>
    <t>전병건</t>
    <phoneticPr fontId="14" type="noConversion"/>
  </si>
  <si>
    <t>고영복 후임</t>
    <phoneticPr fontId="14" type="noConversion"/>
  </si>
  <si>
    <t>010-8833-4444</t>
    <phoneticPr fontId="14" type="noConversion"/>
  </si>
  <si>
    <t>JBG@cnthoth.com</t>
    <phoneticPr fontId="14" type="noConversion"/>
  </si>
  <si>
    <t>730313-1</t>
    <phoneticPr fontId="14" type="noConversion"/>
  </si>
  <si>
    <t>동서대학교</t>
    <phoneticPr fontId="14" type="noConversion"/>
  </si>
  <si>
    <t>산업공학과</t>
    <phoneticPr fontId="14" type="noConversion"/>
  </si>
  <si>
    <t>ACSA EPP Practitiioner</t>
    <phoneticPr fontId="14" type="noConversion"/>
  </si>
  <si>
    <t>16509</t>
    <phoneticPr fontId="14" type="noConversion"/>
  </si>
  <si>
    <t>경기도 수원시 영통구 에듀타운로 7, 5002동 102호 (이의동, 광교에듀포레)</t>
    <phoneticPr fontId="14" type="noConversion"/>
  </si>
  <si>
    <t>내부추천(강준상 이사)</t>
    <phoneticPr fontId="14" type="noConversion"/>
  </si>
  <si>
    <t>이판기M</t>
    <phoneticPr fontId="14" type="noConversion"/>
  </si>
  <si>
    <t>옥승륜</t>
    <phoneticPr fontId="21" type="noConversion"/>
  </si>
  <si>
    <t>010-3004-5625</t>
    <phoneticPr fontId="14" type="noConversion"/>
  </si>
  <si>
    <t>osr8282@cnthoth.com</t>
    <phoneticPr fontId="14" type="noConversion"/>
  </si>
  <si>
    <t>820507-1</t>
    <phoneticPr fontId="14" type="noConversion"/>
  </si>
  <si>
    <t>동국대학교 국제정보대학원</t>
    <phoneticPr fontId="14" type="noConversion"/>
  </si>
  <si>
    <t>정보보호학과 사이업포렌식전공</t>
    <phoneticPr fontId="20" type="noConversion"/>
  </si>
  <si>
    <t>대학원</t>
    <phoneticPr fontId="20" type="noConversion"/>
  </si>
  <si>
    <t>ISO27001</t>
    <phoneticPr fontId="14" type="noConversion"/>
  </si>
  <si>
    <t>ISO9001</t>
    <phoneticPr fontId="14" type="noConversion"/>
  </si>
  <si>
    <t>08230</t>
    <phoneticPr fontId="14" type="noConversion"/>
  </si>
  <si>
    <t>서울특별시 구로구 고척로52길 48, 103동 1401호 (고척동, 고척대우아파트)</t>
    <phoneticPr fontId="14" type="noConversion"/>
  </si>
  <si>
    <t>전상현</t>
    <phoneticPr fontId="14" type="noConversion"/>
  </si>
  <si>
    <t>이광호 후임</t>
    <phoneticPr fontId="14" type="noConversion"/>
  </si>
  <si>
    <t>010-7120-5180</t>
    <phoneticPr fontId="14" type="noConversion"/>
  </si>
  <si>
    <t>yvyv123@cnthoth.com</t>
    <phoneticPr fontId="14" type="noConversion"/>
  </si>
  <si>
    <t>010709-3</t>
    <phoneticPr fontId="14" type="noConversion"/>
  </si>
  <si>
    <t>대전대학교</t>
    <phoneticPr fontId="14" type="noConversion"/>
  </si>
  <si>
    <t>정보통신전자공학</t>
    <phoneticPr fontId="14" type="noConversion"/>
  </si>
  <si>
    <t>Naver Cloud Platform Certifide Associia</t>
    <phoneticPr fontId="14" type="noConversion"/>
  </si>
  <si>
    <t>충청북도 청주시 청원구 율량로 77, 303동 2103호(주중동, 대원칸타빌 2차 아파트)</t>
    <phoneticPr fontId="14" type="noConversion"/>
  </si>
  <si>
    <t>인세진</t>
    <phoneticPr fontId="14" type="noConversion"/>
  </si>
  <si>
    <t>이준규 후임</t>
    <phoneticPr fontId="14" type="noConversion"/>
  </si>
  <si>
    <t>010-4178-7638</t>
    <phoneticPr fontId="14" type="noConversion"/>
  </si>
  <si>
    <t>tpwls76</t>
    <phoneticPr fontId="14" type="noConversion"/>
  </si>
  <si>
    <t>970706-1</t>
    <phoneticPr fontId="14" type="noConversion"/>
  </si>
  <si>
    <t>컴퓨터소프트웨어과</t>
    <phoneticPr fontId="14" type="noConversion"/>
  </si>
  <si>
    <t>N/W 구축 및 MA</t>
  </si>
  <si>
    <t>차기 입사 또는 직무 전환( 전환되는 직무로 내용 수정 필요 ) 예정자의 사전 정보 등록 필요…..</t>
    <phoneticPr fontId="14" type="noConversion"/>
  </si>
  <si>
    <t>* 직무 전환시 예상 연봉 ( 기존 교대근무시 연봉과 휴일근로수당 예측치 합산 ) -&gt; 보고서 작성 필요 ( 5월말 이전까지 )</t>
    <phoneticPr fontId="14" type="noConversion"/>
  </si>
  <si>
    <t>박현준</t>
    <phoneticPr fontId="14" type="noConversion"/>
  </si>
  <si>
    <t>이재용 후임</t>
    <phoneticPr fontId="14" type="noConversion"/>
  </si>
  <si>
    <t>010-4304-3740</t>
    <phoneticPr fontId="14" type="noConversion"/>
  </si>
  <si>
    <t>hjpark@cnthoth.com</t>
    <phoneticPr fontId="14" type="noConversion"/>
  </si>
  <si>
    <t>980530-1</t>
    <phoneticPr fontId="14" type="noConversion"/>
  </si>
  <si>
    <t>경성대학교</t>
    <phoneticPr fontId="14" type="noConversion"/>
  </si>
  <si>
    <t>전기공학과</t>
    <phoneticPr fontId="14" type="noConversion"/>
  </si>
  <si>
    <t>46539</t>
    <phoneticPr fontId="14" type="noConversion"/>
  </si>
  <si>
    <t>부산광역시 북구 금곡대로 166, 107동 3003호 (화명동, 롯데캐슬카이저)</t>
    <phoneticPr fontId="14" type="noConversion"/>
  </si>
  <si>
    <t>김연우</t>
    <phoneticPr fontId="20" type="noConversion"/>
  </si>
  <si>
    <t>우현욱 후임</t>
    <phoneticPr fontId="20" type="noConversion"/>
  </si>
  <si>
    <t>010-5474-5580</t>
    <phoneticPr fontId="14" type="noConversion"/>
  </si>
  <si>
    <t>seren12@cnthoth.com</t>
    <phoneticPr fontId="14" type="noConversion"/>
  </si>
  <si>
    <t>인하공업전문대(휴학)</t>
    <phoneticPr fontId="14" type="noConversion"/>
  </si>
  <si>
    <t>자동차공학과</t>
    <phoneticPr fontId="14" type="noConversion"/>
  </si>
  <si>
    <t>휴학</t>
    <phoneticPr fontId="14" type="noConversion"/>
  </si>
  <si>
    <t>14994</t>
    <phoneticPr fontId="14" type="noConversion"/>
  </si>
  <si>
    <t>경기도 시흥시 능곡중앙로 120, 102동 1001호 (능곡동, 우남퍼스트빌 2차아파트)</t>
    <phoneticPr fontId="14" type="noConversion"/>
  </si>
  <si>
    <t>매출/연봉조정_1월</t>
    <phoneticPr fontId="14" type="noConversion"/>
  </si>
  <si>
    <t>글자색</t>
    <phoneticPr fontId="14" type="noConversion"/>
  </si>
  <si>
    <t xml:space="preserve">  </t>
    <phoneticPr fontId="14" type="noConversion"/>
  </si>
  <si>
    <t>매출/연봉조정_3월</t>
    <phoneticPr fontId="14" type="noConversion"/>
  </si>
  <si>
    <t>매출/연봉조정_4월</t>
    <phoneticPr fontId="14" type="noConversion"/>
  </si>
  <si>
    <t>글자색</t>
  </si>
  <si>
    <t>기본시간</t>
    <phoneticPr fontId="14" type="noConversion"/>
  </si>
  <si>
    <t>근무 시간</t>
    <phoneticPr fontId="14" type="noConversion"/>
  </si>
  <si>
    <t>기본요율</t>
    <phoneticPr fontId="14" type="noConversion"/>
  </si>
  <si>
    <t>기본수당</t>
    <phoneticPr fontId="14" type="noConversion"/>
  </si>
  <si>
    <t>연장시간</t>
    <phoneticPr fontId="14" type="noConversion"/>
  </si>
  <si>
    <t>연장요율</t>
    <phoneticPr fontId="14" type="noConversion"/>
  </si>
  <si>
    <t>연장수당</t>
    <phoneticPr fontId="14" type="noConversion"/>
  </si>
  <si>
    <t>야간시간</t>
    <phoneticPr fontId="14" type="noConversion"/>
  </si>
  <si>
    <t>야간요율</t>
    <phoneticPr fontId="14" type="noConversion"/>
  </si>
  <si>
    <t>야간수당</t>
    <phoneticPr fontId="14" type="noConversion"/>
  </si>
  <si>
    <t>통상시급</t>
    <phoneticPr fontId="14" type="noConversion"/>
  </si>
  <si>
    <t>지급 비용</t>
    <phoneticPr fontId="14" type="noConversion"/>
  </si>
  <si>
    <t>인력현황</t>
    <phoneticPr fontId="14" type="noConversion"/>
  </si>
  <si>
    <t>시급</t>
    <phoneticPr fontId="14" type="noConversion"/>
  </si>
  <si>
    <t>지급비용</t>
    <phoneticPr fontId="14" type="noConversion"/>
  </si>
  <si>
    <t>총합계</t>
  </si>
  <si>
    <t>합계 : 연장시간</t>
  </si>
  <si>
    <t>합계 : 지급 비용</t>
  </si>
  <si>
    <t>값</t>
  </si>
  <si>
    <t>※ 5월 퇴사자 조기 지급 내역</t>
    <phoneticPr fontId="14" type="noConversion"/>
  </si>
  <si>
    <t>우현욱</t>
    <phoneticPr fontId="14" type="noConversion"/>
  </si>
  <si>
    <t>휴일근로</t>
    <phoneticPr fontId="14" type="noConversion"/>
  </si>
  <si>
    <t>214,574원</t>
    <phoneticPr fontId="14" type="noConversion"/>
  </si>
  <si>
    <t>2026.05.01</t>
    <phoneticPr fontId="14" type="noConversion"/>
  </si>
  <si>
    <t>적용 요율: 2026.2 (2026.7.1 ~ 미정)</t>
    <phoneticPr fontId="14" type="noConversion"/>
  </si>
  <si>
    <t xml:space="preserve">* Sort : </t>
  </si>
  <si>
    <t>1. Primary Key : 구분 오름차순 ( 연장/대체근로, 휴일근로)</t>
  </si>
  <si>
    <t>2. Secondary Key : 직급순 ( 사용자 정의 : 부장,차장,과장,대리,사원 )</t>
  </si>
  <si>
    <t>3. Third Key : 사번 오름차순</t>
  </si>
  <si>
    <t>4. Fourth Key: 근무날짜 오름차순</t>
  </si>
  <si>
    <t>휴일근로수당 = (공)휴일근로시간 x 1.5 x 통상시급</t>
  </si>
  <si>
    <t>연장근로수당 = ( 연장근로시간 x 1.5 + 야간근로시간 x 2.0 ) x 통상시급</t>
  </si>
  <si>
    <t>* 연장근로수당(평일) 계산식</t>
    <phoneticPr fontId="14" type="noConversion"/>
  </si>
  <si>
    <t>* 휴일근로수당 계산식</t>
    <phoneticPr fontId="14" type="noConversion"/>
  </si>
  <si>
    <t>별첨1. DT사업1팀 스케줄근무자 시간외근로수당 내역 (2026년 4월)</t>
    <phoneticPr fontId="14" type="noConversion"/>
  </si>
  <si>
    <t>* 대체근로수당(평일) 계산식</t>
    <phoneticPr fontId="14" type="noConversion"/>
  </si>
  <si>
    <t>설명 : 연장근로수당 = (총연장근로시간 x 1.5 + 야간근로가산시간(야간근로시간 x 0.5)) x 통상시급</t>
    <phoneticPr fontId="14" type="noConversion"/>
  </si>
  <si>
    <t>설명 : 대체근로수당 = ((총근로시간 - 총연장근로시간) x 1 + 연장근로시간 x 1.5 + 야간근로가산시간(야간근로시간 x 0.5)) x 통상시급</t>
    <phoneticPr fontId="14" type="noConversion"/>
  </si>
  <si>
    <t>* 대체근로수당(휴일) 계산식</t>
    <phoneticPr fontId="14" type="noConversion"/>
  </si>
  <si>
    <t>대체근로수당 = ((총근로시간 - 연장근로시간 - 야간근로시간) x 1 + 연장근로시간 x 1.5 + 야간근로시간 x 2.0) x 통상시급</t>
    <phoneticPr fontId="14" type="noConversion"/>
  </si>
  <si>
    <t>설명 : 대체근로수당 = ((총근로시간 - 총연장근로시간) x 1.5 + 총연장근로시간 x 2.0 + 야간근로가산시간(야간근로시간 x 0.5)) x 통상시급</t>
    <phoneticPr fontId="14" type="noConversion"/>
  </si>
  <si>
    <t>대체근로수당 = ((총근로시간 - 연장근로시간 - 야간근로시간) x 1.5 + 연장근로시간 x 2.0 + 야간근로시간 x 2.5) x 통상시급</t>
    <phoneticPr fontId="14" type="noConversion"/>
  </si>
  <si>
    <t xml:space="preserve"> - 기존 스케줄근무표상에 휴일근로시 근로시간 * 1.5 로 책정하여 지급함 ( 연장과 야간근무수당은 이미 월급여에 반영됨 )</t>
    <phoneticPr fontId="14" type="noConversion"/>
  </si>
  <si>
    <t xml:space="preserve"> - 단, 휴일 스케줄근무후 연장 근로를 하는 경우 휴일근로가산 0.5 가 추가되어야 함.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</si>
</sst>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176" formatCode="#,##0&quot;원&quot;"/>
    <numFmt numFmtId="177" formatCode="0.000_);[Red]\(0.000\)"/>
    <numFmt numFmtId="178" formatCode="#,##0_ ;[Red]\-#,##0\ "/>
    <numFmt numFmtId="179" formatCode="0_ "/>
    <numFmt numFmtId="180" formatCode="yy&quot;년&quot;mm&quot;개월차&quot;"/>
    <numFmt numFmtId="181" formatCode="_(* #,##0_);_(* \(#,##0\);_(* &quot;-&quot;_);_(@_)"/>
    <numFmt numFmtId="182" formatCode="_-* #,##0_-;\-* #,##0_-;_-* &quot;-&quot;??_-;_-@_-"/>
    <numFmt numFmtId="183" formatCode="_-* #\!\,##0_-;&quot;₩&quot;\!\-* #\!\,##0_-;_-* &quot;-&quot;_-;_-@_-"/>
    <numFmt numFmtId="184" formatCode="_(* #,##0.00_);_(* \(#,##0.00\);_(* &quot;-&quot;_);_(@_)"/>
    <numFmt numFmtId="185" formatCode="_(* #,##0.0_);_(* \(#,##0.0\);_(* &quot;-&quot;_);_(@_)"/>
    <numFmt numFmtId="186" formatCode="mm&quot;월&quot;\ dd&quot;일&quot;"/>
    <numFmt numFmtId="187" formatCode="_-* #,##0_-;\-* #,##0_-;"/>
    <numFmt numFmtId="188" formatCode="_-&quot;₩&quot;* #,##0_-;\-&quot;₩&quot;* #,##0_-;_-&quot;₩&quot;* &quot;-&quot;??_-;_-@_-"/>
    <numFmt numFmtId="189" formatCode="#,##0.00&quot;원&quot;"/>
  </numFmts>
  <fonts count="62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9"/>
      <color theme="1"/>
      <name val="맑은 고딕"/>
      <family val="2"/>
      <charset val="129"/>
    </font>
    <font>
      <b/>
      <sz val="9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41526D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1"/>
      <color theme="0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Helv"/>
      <family val="2"/>
    </font>
    <font>
      <sz val="11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theme="4" tint="-0.249977111117893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  <scheme val="major"/>
    </font>
    <font>
      <sz val="11"/>
      <color rgb="FFFFC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8"/>
      <name val="맑은 고딕"/>
      <family val="3"/>
      <charset val="129"/>
    </font>
    <font>
      <sz val="11"/>
      <color rgb="FFCA0ED8"/>
      <name val="맑은 고딕"/>
      <family val="3"/>
      <charset val="129"/>
      <scheme val="minor"/>
    </font>
    <font>
      <sz val="11"/>
      <color theme="8" tint="-0.249977111117893"/>
      <name val="맑은 고딕"/>
      <family val="3"/>
      <charset val="129"/>
      <scheme val="minor"/>
    </font>
    <font>
      <sz val="11"/>
      <color theme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5" tint="-0.249977111117893"/>
      <name val="맑은 고딕"/>
      <family val="3"/>
      <charset val="129"/>
      <scheme val="minor"/>
    </font>
    <font>
      <sz val="11"/>
      <color theme="9" tint="-0.249977111117893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7" tint="-0.499984740745262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1"/>
      <color indexed="81"/>
      <name val="돋움"/>
      <family val="3"/>
      <charset val="129"/>
    </font>
    <font>
      <sz val="10"/>
      <color indexed="81"/>
      <name val="Tahoma"/>
      <family val="2"/>
    </font>
    <font>
      <sz val="10"/>
      <color indexed="81"/>
      <name val="돋움"/>
      <family val="3"/>
      <charset val="129"/>
    </font>
    <font>
      <sz val="12"/>
      <color theme="1"/>
      <name val="맑은 고딕"/>
      <family val="3"/>
      <charset val="129"/>
    </font>
    <font>
      <b/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D0D0D0"/>
      </patternFill>
    </fill>
    <fill>
      <patternFill patternType="solid">
        <fgColor rgb="FFF9F9F9"/>
      </patternFill>
    </fill>
    <fill>
      <patternFill patternType="solid">
        <fgColor rgb="FFF4F4F4"/>
      </patternFill>
    </fill>
    <fill>
      <patternFill patternType="solid">
        <fgColor rgb="FFE8EEF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292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DDEB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AEDFC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41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24" fillId="0" borderId="0"/>
    <xf numFmtId="0" fontId="34" fillId="0" borderId="0" applyNumberFormat="0" applyFill="0" applyBorder="0" applyAlignment="0" applyProtection="0"/>
    <xf numFmtId="181" fontId="2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3" fontId="25" fillId="0" borderId="0" applyFont="0" applyFill="0" applyBorder="0" applyAlignment="0" applyProtection="0"/>
  </cellStyleXfs>
  <cellXfs count="416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right"/>
    </xf>
    <xf numFmtId="0" fontId="6" fillId="2" borderId="5" xfId="0" applyFont="1" applyFill="1" applyBorder="1" applyAlignment="1">
      <alignment horizontal="center" vertical="center"/>
    </xf>
    <xf numFmtId="176" fontId="6" fillId="2" borderId="5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right" vertical="center"/>
    </xf>
    <xf numFmtId="176" fontId="8" fillId="0" borderId="6" xfId="0" applyNumberFormat="1" applyFont="1" applyBorder="1" applyAlignment="1">
      <alignment horizontal="right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176" fontId="8" fillId="3" borderId="5" xfId="0" applyNumberFormat="1" applyFont="1" applyFill="1" applyBorder="1" applyAlignment="1">
      <alignment horizontal="right" vertical="center"/>
    </xf>
    <xf numFmtId="176" fontId="8" fillId="3" borderId="6" xfId="0" applyNumberFormat="1" applyFont="1" applyFill="1" applyBorder="1" applyAlignment="1">
      <alignment horizontal="right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176" fontId="8" fillId="4" borderId="8" xfId="0" applyNumberFormat="1" applyFont="1" applyFill="1" applyBorder="1" applyAlignment="1">
      <alignment horizontal="right" vertical="center"/>
    </xf>
    <xf numFmtId="176" fontId="8" fillId="4" borderId="9" xfId="0" applyNumberFormat="1" applyFont="1" applyFill="1" applyBorder="1" applyAlignment="1">
      <alignment horizontal="right" vertical="center"/>
    </xf>
    <xf numFmtId="14" fontId="16" fillId="9" borderId="0" xfId="0" applyNumberFormat="1" applyFont="1" applyFill="1" applyAlignment="1">
      <alignment horizontal="center" vertical="center"/>
    </xf>
    <xf numFmtId="177" fontId="16" fillId="9" borderId="0" xfId="0" applyNumberFormat="1" applyFont="1" applyFill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41" fontId="18" fillId="0" borderId="0" xfId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shrinkToFit="1"/>
    </xf>
    <xf numFmtId="18" fontId="19" fillId="10" borderId="0" xfId="0" applyNumberFormat="1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 wrapText="1"/>
    </xf>
    <xf numFmtId="0" fontId="19" fillId="10" borderId="0" xfId="0" applyFont="1" applyFill="1" applyAlignment="1">
      <alignment horizontal="center" vertical="center" wrapText="1"/>
    </xf>
    <xf numFmtId="0" fontId="19" fillId="10" borderId="0" xfId="0" applyFont="1" applyFill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49" fontId="19" fillId="9" borderId="0" xfId="0" applyNumberFormat="1" applyFont="1" applyFill="1" applyAlignment="1">
      <alignment horizontal="center" vertical="center"/>
    </xf>
    <xf numFmtId="49" fontId="19" fillId="10" borderId="0" xfId="0" applyNumberFormat="1" applyFont="1" applyFill="1" applyAlignment="1">
      <alignment horizontal="center" vertical="center" wrapText="1"/>
    </xf>
    <xf numFmtId="0" fontId="19" fillId="12" borderId="0" xfId="0" applyFont="1" applyFill="1" applyAlignment="1">
      <alignment horizontal="center" vertical="center"/>
    </xf>
    <xf numFmtId="0" fontId="19" fillId="13" borderId="0" xfId="0" applyFont="1" applyFill="1" applyAlignment="1">
      <alignment horizontal="center" vertical="center" wrapText="1" shrinkToFit="1"/>
    </xf>
    <xf numFmtId="0" fontId="19" fillId="13" borderId="0" xfId="0" applyFont="1" applyFill="1" applyAlignment="1">
      <alignment horizontal="center" vertical="center" shrinkToFit="1"/>
    </xf>
    <xf numFmtId="0" fontId="23" fillId="9" borderId="0" xfId="0" applyFont="1" applyFill="1" applyAlignment="1">
      <alignment horizontal="center" vertical="center" wrapText="1"/>
    </xf>
    <xf numFmtId="0" fontId="25" fillId="9" borderId="0" xfId="4" applyFont="1" applyFill="1" applyAlignment="1">
      <alignment horizontal="center" vertical="center" wrapText="1"/>
    </xf>
    <xf numFmtId="49" fontId="22" fillId="9" borderId="0" xfId="0" applyNumberFormat="1" applyFont="1" applyFill="1" applyAlignment="1">
      <alignment horizontal="center" vertical="center"/>
    </xf>
    <xf numFmtId="0" fontId="26" fillId="10" borderId="0" xfId="4" applyFont="1" applyFill="1" applyAlignment="1">
      <alignment horizontal="center" vertical="center" shrinkToFit="1"/>
    </xf>
    <xf numFmtId="0" fontId="27" fillId="14" borderId="0" xfId="0" applyFont="1" applyFill="1" applyAlignment="1">
      <alignment vertical="center" wrapText="1"/>
    </xf>
    <xf numFmtId="0" fontId="22" fillId="14" borderId="0" xfId="0" applyFont="1" applyFill="1" applyAlignment="1">
      <alignment vertical="center" wrapText="1"/>
    </xf>
    <xf numFmtId="0" fontId="18" fillId="9" borderId="0" xfId="0" applyFont="1" applyFill="1" applyAlignment="1">
      <alignment horizontal="center" vertical="center"/>
    </xf>
    <xf numFmtId="0" fontId="28" fillId="10" borderId="0" xfId="0" applyFont="1" applyFill="1" applyAlignment="1">
      <alignment horizontal="center" vertical="center" wrapText="1"/>
    </xf>
    <xf numFmtId="0" fontId="29" fillId="9" borderId="0" xfId="0" applyFont="1" applyFill="1" applyAlignment="1">
      <alignment horizontal="center" vertical="center" wrapText="1"/>
    </xf>
    <xf numFmtId="0" fontId="30" fillId="9" borderId="0" xfId="0" applyFont="1" applyFill="1" applyAlignment="1">
      <alignment horizontal="center" vertical="center" wrapText="1"/>
    </xf>
    <xf numFmtId="0" fontId="31" fillId="9" borderId="0" xfId="0" applyFont="1" applyFill="1" applyAlignment="1">
      <alignment horizontal="center" vertical="center" wrapText="1"/>
    </xf>
    <xf numFmtId="178" fontId="29" fillId="9" borderId="0" xfId="0" applyNumberFormat="1" applyFont="1" applyFill="1" applyAlignment="1">
      <alignment horizontal="center" vertical="center" wrapText="1"/>
    </xf>
    <xf numFmtId="2" fontId="19" fillId="9" borderId="0" xfId="0" applyNumberFormat="1" applyFont="1" applyFill="1" applyAlignment="1">
      <alignment horizontal="center" vertical="center" wrapText="1"/>
    </xf>
    <xf numFmtId="0" fontId="32" fillId="9" borderId="0" xfId="0" applyFont="1" applyFill="1" applyAlignment="1">
      <alignment horizontal="center" vertical="center" wrapText="1"/>
    </xf>
    <xf numFmtId="0" fontId="18" fillId="11" borderId="0" xfId="0" applyFont="1" applyFill="1" applyAlignment="1">
      <alignment horizontal="center" vertical="center"/>
    </xf>
    <xf numFmtId="179" fontId="0" fillId="11" borderId="0" xfId="0" applyNumberFormat="1" applyFill="1" applyAlignment="1">
      <alignment horizontal="center" vertical="center"/>
    </xf>
    <xf numFmtId="0" fontId="0" fillId="11" borderId="0" xfId="0" applyFill="1" applyAlignment="1">
      <alignment horizontal="left" vertical="center"/>
    </xf>
    <xf numFmtId="0" fontId="0" fillId="11" borderId="0" xfId="0" applyFill="1" applyAlignment="1">
      <alignment horizontal="center" vertical="center"/>
    </xf>
    <xf numFmtId="0" fontId="33" fillId="11" borderId="0" xfId="0" applyFont="1" applyFill="1" applyAlignment="1">
      <alignment horizontal="center" vertical="center"/>
    </xf>
    <xf numFmtId="0" fontId="0" fillId="11" borderId="0" xfId="0" applyFill="1" applyAlignment="1">
      <alignment vertical="center"/>
    </xf>
    <xf numFmtId="49" fontId="22" fillId="11" borderId="0" xfId="0" applyNumberFormat="1" applyFont="1" applyFill="1" applyAlignment="1">
      <alignment horizontal="center" vertical="center"/>
    </xf>
    <xf numFmtId="0" fontId="18" fillId="11" borderId="0" xfId="5" applyFont="1" applyFill="1" applyAlignment="1">
      <alignment horizontal="left" vertical="center"/>
    </xf>
    <xf numFmtId="49" fontId="19" fillId="11" borderId="0" xfId="0" applyNumberFormat="1" applyFont="1" applyFill="1" applyAlignment="1">
      <alignment horizontal="center" vertical="center"/>
    </xf>
    <xf numFmtId="14" fontId="18" fillId="11" borderId="0" xfId="0" applyNumberFormat="1" applyFont="1" applyFill="1" applyAlignment="1">
      <alignment horizontal="center" vertical="center"/>
    </xf>
    <xf numFmtId="49" fontId="18" fillId="11" borderId="0" xfId="0" applyNumberFormat="1" applyFont="1" applyFill="1" applyAlignment="1">
      <alignment horizontal="left" vertical="center"/>
    </xf>
    <xf numFmtId="0" fontId="18" fillId="11" borderId="0" xfId="0" applyFont="1" applyFill="1" applyAlignment="1">
      <alignment horizontal="left" vertical="center"/>
    </xf>
    <xf numFmtId="14" fontId="18" fillId="11" borderId="0" xfId="0" applyNumberFormat="1" applyFont="1" applyFill="1" applyAlignment="1">
      <alignment horizontal="left" vertical="center"/>
    </xf>
    <xf numFmtId="180" fontId="18" fillId="11" borderId="0" xfId="0" applyNumberFormat="1" applyFont="1" applyFill="1" applyAlignment="1">
      <alignment vertical="center"/>
    </xf>
    <xf numFmtId="14" fontId="35" fillId="11" borderId="0" xfId="0" applyNumberFormat="1" applyFont="1" applyFill="1" applyAlignment="1">
      <alignment horizontal="center" vertical="center" shrinkToFit="1"/>
    </xf>
    <xf numFmtId="0" fontId="18" fillId="11" borderId="0" xfId="0" applyFont="1" applyFill="1" applyAlignment="1">
      <alignment vertical="center"/>
    </xf>
    <xf numFmtId="49" fontId="0" fillId="11" borderId="0" xfId="0" quotePrefix="1" applyNumberFormat="1" applyFill="1" applyAlignment="1">
      <alignment horizontal="center" vertical="center"/>
    </xf>
    <xf numFmtId="0" fontId="18" fillId="11" borderId="0" xfId="0" applyFont="1" applyFill="1" applyAlignment="1">
      <alignment horizontal="left" vertical="center" shrinkToFit="1"/>
    </xf>
    <xf numFmtId="181" fontId="22" fillId="11" borderId="0" xfId="6" applyFont="1" applyFill="1" applyAlignment="1">
      <alignment vertical="center"/>
    </xf>
    <xf numFmtId="181" fontId="19" fillId="11" borderId="0" xfId="6" applyFont="1" applyFill="1" applyAlignment="1">
      <alignment vertical="center"/>
    </xf>
    <xf numFmtId="0" fontId="19" fillId="11" borderId="0" xfId="6" applyNumberFormat="1" applyFont="1" applyFill="1" applyAlignment="1">
      <alignment horizontal="center" vertical="center"/>
    </xf>
    <xf numFmtId="41" fontId="18" fillId="11" borderId="0" xfId="1" applyFont="1" applyFill="1" applyAlignment="1">
      <alignment horizontal="center" vertical="center"/>
    </xf>
    <xf numFmtId="41" fontId="18" fillId="11" borderId="0" xfId="1" applyFont="1" applyFill="1" applyAlignment="1">
      <alignment vertical="center"/>
    </xf>
    <xf numFmtId="41" fontId="19" fillId="11" borderId="0" xfId="1" applyFont="1" applyFill="1" applyAlignment="1">
      <alignment horizontal="right" vertical="center"/>
    </xf>
    <xf numFmtId="178" fontId="19" fillId="11" borderId="0" xfId="1" applyNumberFormat="1" applyFont="1" applyFill="1" applyAlignment="1">
      <alignment horizontal="right" vertical="center"/>
    </xf>
    <xf numFmtId="2" fontId="19" fillId="11" borderId="0" xfId="4" applyNumberFormat="1" applyFont="1" applyFill="1" applyAlignment="1">
      <alignment horizontal="right" vertical="center"/>
    </xf>
    <xf numFmtId="0" fontId="32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0" fontId="18" fillId="15" borderId="0" xfId="0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179" fontId="0" fillId="15" borderId="0" xfId="0" applyNumberFormat="1" applyFill="1" applyAlignment="1">
      <alignment horizontal="center" vertical="center"/>
    </xf>
    <xf numFmtId="0" fontId="0" fillId="15" borderId="0" xfId="0" applyFill="1" applyAlignment="1">
      <alignment horizontal="left" vertical="center"/>
    </xf>
    <xf numFmtId="0" fontId="0" fillId="15" borderId="0" xfId="0" applyFill="1" applyAlignment="1">
      <alignment vertical="center"/>
    </xf>
    <xf numFmtId="0" fontId="35" fillId="15" borderId="0" xfId="0" applyFont="1" applyFill="1" applyAlignment="1">
      <alignment horizontal="left" vertical="center"/>
    </xf>
    <xf numFmtId="49" fontId="22" fillId="15" borderId="0" xfId="0" applyNumberFormat="1" applyFont="1" applyFill="1" applyAlignment="1">
      <alignment horizontal="center" vertical="center"/>
    </xf>
    <xf numFmtId="0" fontId="0" fillId="15" borderId="0" xfId="0" applyFill="1"/>
    <xf numFmtId="49" fontId="19" fillId="15" borderId="0" xfId="0" applyNumberFormat="1" applyFont="1" applyFill="1" applyAlignment="1">
      <alignment horizontal="center" vertical="center"/>
    </xf>
    <xf numFmtId="14" fontId="18" fillId="15" borderId="0" xfId="0" applyNumberFormat="1" applyFont="1" applyFill="1" applyAlignment="1">
      <alignment horizontal="center" vertical="center"/>
    </xf>
    <xf numFmtId="49" fontId="18" fillId="15" borderId="0" xfId="0" applyNumberFormat="1" applyFont="1" applyFill="1" applyAlignment="1">
      <alignment horizontal="left" vertical="center"/>
    </xf>
    <xf numFmtId="14" fontId="18" fillId="15" borderId="0" xfId="0" applyNumberFormat="1" applyFont="1" applyFill="1" applyAlignment="1">
      <alignment horizontal="left" vertical="center"/>
    </xf>
    <xf numFmtId="0" fontId="18" fillId="15" borderId="0" xfId="0" applyFont="1" applyFill="1" applyAlignment="1">
      <alignment horizontal="left" vertical="center"/>
    </xf>
    <xf numFmtId="180" fontId="18" fillId="15" borderId="0" xfId="0" applyNumberFormat="1" applyFont="1" applyFill="1" applyAlignment="1">
      <alignment vertical="center"/>
    </xf>
    <xf numFmtId="14" fontId="18" fillId="15" borderId="0" xfId="0" applyNumberFormat="1" applyFont="1" applyFill="1" applyAlignment="1">
      <alignment horizontal="center" vertical="center" shrinkToFit="1"/>
    </xf>
    <xf numFmtId="14" fontId="35" fillId="15" borderId="0" xfId="0" applyNumberFormat="1" applyFont="1" applyFill="1" applyAlignment="1">
      <alignment horizontal="center" vertical="center" shrinkToFit="1"/>
    </xf>
    <xf numFmtId="0" fontId="18" fillId="15" borderId="0" xfId="0" applyFont="1" applyFill="1" applyAlignment="1">
      <alignment vertical="center"/>
    </xf>
    <xf numFmtId="49" fontId="0" fillId="15" borderId="0" xfId="0" applyNumberFormat="1" applyFill="1" applyAlignment="1">
      <alignment horizontal="center" vertical="center"/>
    </xf>
    <xf numFmtId="49" fontId="0" fillId="15" borderId="0" xfId="0" quotePrefix="1" applyNumberFormat="1" applyFill="1" applyAlignment="1">
      <alignment horizontal="center" vertical="center"/>
    </xf>
    <xf numFmtId="0" fontId="19" fillId="16" borderId="0" xfId="0" applyFont="1" applyFill="1" applyAlignment="1">
      <alignment vertical="center"/>
    </xf>
    <xf numFmtId="0" fontId="18" fillId="15" borderId="0" xfId="0" applyFont="1" applyFill="1" applyAlignment="1">
      <alignment horizontal="left" vertical="center" shrinkToFit="1"/>
    </xf>
    <xf numFmtId="181" fontId="36" fillId="15" borderId="0" xfId="6" applyFont="1" applyFill="1" applyAlignment="1">
      <alignment vertical="center"/>
    </xf>
    <xf numFmtId="181" fontId="19" fillId="15" borderId="0" xfId="6" applyFont="1" applyFill="1" applyAlignment="1">
      <alignment vertical="center"/>
    </xf>
    <xf numFmtId="0" fontId="19" fillId="15" borderId="0" xfId="6" applyNumberFormat="1" applyFont="1" applyFill="1" applyAlignment="1">
      <alignment horizontal="center" vertical="center"/>
    </xf>
    <xf numFmtId="181" fontId="31" fillId="15" borderId="0" xfId="6" applyFont="1" applyFill="1" applyAlignment="1">
      <alignment vertical="center"/>
    </xf>
    <xf numFmtId="14" fontId="19" fillId="15" borderId="0" xfId="6" applyNumberFormat="1" applyFont="1" applyFill="1" applyAlignment="1">
      <alignment horizontal="center" vertical="center"/>
    </xf>
    <xf numFmtId="181" fontId="37" fillId="15" borderId="0" xfId="7" applyFont="1" applyFill="1" applyAlignment="1">
      <alignment horizontal="center" vertical="center"/>
    </xf>
    <xf numFmtId="182" fontId="19" fillId="15" borderId="0" xfId="6" applyNumberFormat="1" applyFont="1" applyFill="1" applyAlignment="1">
      <alignment vertical="center"/>
    </xf>
    <xf numFmtId="38" fontId="18" fillId="15" borderId="0" xfId="8" applyNumberFormat="1" applyFont="1" applyFill="1" applyAlignment="1">
      <alignment horizontal="right" vertical="center"/>
    </xf>
    <xf numFmtId="178" fontId="19" fillId="15" borderId="0" xfId="6" applyNumberFormat="1" applyFont="1" applyFill="1" applyAlignment="1">
      <alignment vertical="center"/>
    </xf>
    <xf numFmtId="2" fontId="18" fillId="15" borderId="0" xfId="4" applyNumberFormat="1" applyFont="1" applyFill="1" applyAlignment="1">
      <alignment horizontal="right" vertical="center"/>
    </xf>
    <xf numFmtId="0" fontId="25" fillId="0" borderId="0" xfId="4" applyFont="1" applyAlignment="1">
      <alignment horizontal="right" vertical="center"/>
    </xf>
    <xf numFmtId="179" fontId="18" fillId="15" borderId="0" xfId="0" applyNumberFormat="1" applyFont="1" applyFill="1" applyAlignment="1">
      <alignment horizontal="center" vertical="center"/>
    </xf>
    <xf numFmtId="0" fontId="19" fillId="15" borderId="0" xfId="0" applyFont="1" applyFill="1" applyAlignment="1">
      <alignment horizontal="left" vertical="center"/>
    </xf>
    <xf numFmtId="0" fontId="0" fillId="15" borderId="0" xfId="0" quotePrefix="1" applyFill="1" applyAlignment="1">
      <alignment horizontal="left" vertical="center"/>
    </xf>
    <xf numFmtId="181" fontId="35" fillId="15" borderId="0" xfId="6" applyFont="1" applyFill="1" applyAlignment="1">
      <alignment vertical="center"/>
    </xf>
    <xf numFmtId="181" fontId="18" fillId="15" borderId="0" xfId="6" applyFont="1" applyFill="1" applyAlignment="1">
      <alignment vertical="center"/>
    </xf>
    <xf numFmtId="181" fontId="38" fillId="15" borderId="0" xfId="7" applyFont="1" applyFill="1" applyAlignment="1">
      <alignment horizontal="center" vertical="center"/>
    </xf>
    <xf numFmtId="181" fontId="18" fillId="15" borderId="0" xfId="7" applyFont="1" applyFill="1" applyAlignment="1">
      <alignment horizontal="center" vertical="center"/>
    </xf>
    <xf numFmtId="38" fontId="19" fillId="15" borderId="0" xfId="8" applyNumberFormat="1" applyFont="1" applyFill="1" applyAlignment="1">
      <alignment horizontal="right" vertical="center"/>
    </xf>
    <xf numFmtId="181" fontId="18" fillId="0" borderId="0" xfId="0" applyNumberFormat="1" applyFont="1" applyAlignment="1">
      <alignment vertical="center"/>
    </xf>
    <xf numFmtId="0" fontId="25" fillId="0" borderId="0" xfId="4" applyFont="1" applyAlignment="1">
      <alignment horizontal="left" vertical="center"/>
    </xf>
    <xf numFmtId="0" fontId="34" fillId="15" borderId="0" xfId="5" applyFill="1"/>
    <xf numFmtId="0" fontId="18" fillId="15" borderId="0" xfId="0" applyFont="1" applyFill="1" applyAlignment="1">
      <alignment vertical="center" shrinkToFit="1"/>
    </xf>
    <xf numFmtId="49" fontId="18" fillId="15" borderId="0" xfId="0" applyNumberFormat="1" applyFont="1" applyFill="1" applyAlignment="1">
      <alignment horizontal="center" vertical="center"/>
    </xf>
    <xf numFmtId="181" fontId="0" fillId="15" borderId="0" xfId="6" applyFont="1" applyFill="1" applyAlignment="1">
      <alignment vertical="center"/>
    </xf>
    <xf numFmtId="14" fontId="31" fillId="15" borderId="0" xfId="6" applyNumberFormat="1" applyFont="1" applyFill="1" applyAlignment="1">
      <alignment horizontal="center" vertical="center"/>
    </xf>
    <xf numFmtId="0" fontId="15" fillId="15" borderId="0" xfId="3" applyFill="1" applyAlignment="1"/>
    <xf numFmtId="181" fontId="39" fillId="15" borderId="0" xfId="6" applyFont="1" applyFill="1" applyAlignment="1">
      <alignment vertical="center"/>
    </xf>
    <xf numFmtId="0" fontId="18" fillId="15" borderId="0" xfId="0" quotePrefix="1" applyFont="1" applyFill="1" applyAlignment="1">
      <alignment vertical="center"/>
    </xf>
    <xf numFmtId="14" fontId="0" fillId="15" borderId="0" xfId="0" applyNumberFormat="1" applyFill="1" applyAlignment="1">
      <alignment horizontal="center" vertical="center" shrinkToFit="1"/>
    </xf>
    <xf numFmtId="0" fontId="0" fillId="17" borderId="0" xfId="0" applyFill="1" applyAlignment="1">
      <alignment horizontal="center" vertical="center"/>
    </xf>
    <xf numFmtId="0" fontId="18" fillId="17" borderId="0" xfId="0" applyFont="1" applyFill="1" applyAlignment="1">
      <alignment horizontal="center" vertical="center"/>
    </xf>
    <xf numFmtId="179" fontId="18" fillId="17" borderId="0" xfId="0" applyNumberFormat="1" applyFont="1" applyFill="1" applyAlignment="1">
      <alignment horizontal="center" vertical="center"/>
    </xf>
    <xf numFmtId="0" fontId="0" fillId="17" borderId="0" xfId="0" applyFill="1" applyAlignment="1">
      <alignment horizontal="left" vertical="center"/>
    </xf>
    <xf numFmtId="0" fontId="0" fillId="17" borderId="0" xfId="0" applyFill="1" applyAlignment="1">
      <alignment vertical="center"/>
    </xf>
    <xf numFmtId="49" fontId="19" fillId="17" borderId="0" xfId="0" applyNumberFormat="1" applyFont="1" applyFill="1" applyAlignment="1">
      <alignment horizontal="center" vertical="center"/>
    </xf>
    <xf numFmtId="0" fontId="15" fillId="18" borderId="0" xfId="3" applyFill="1" applyAlignment="1"/>
    <xf numFmtId="14" fontId="18" fillId="17" borderId="0" xfId="0" applyNumberFormat="1" applyFont="1" applyFill="1" applyAlignment="1">
      <alignment horizontal="center" vertical="center"/>
    </xf>
    <xf numFmtId="49" fontId="18" fillId="17" borderId="0" xfId="0" applyNumberFormat="1" applyFont="1" applyFill="1" applyAlignment="1">
      <alignment horizontal="left" vertical="center"/>
    </xf>
    <xf numFmtId="0" fontId="18" fillId="17" borderId="0" xfId="0" applyFont="1" applyFill="1" applyAlignment="1">
      <alignment horizontal="left" vertical="center"/>
    </xf>
    <xf numFmtId="180" fontId="18" fillId="17" borderId="0" xfId="0" applyNumberFormat="1" applyFont="1" applyFill="1" applyAlignment="1">
      <alignment vertical="center"/>
    </xf>
    <xf numFmtId="14" fontId="18" fillId="17" borderId="0" xfId="0" applyNumberFormat="1" applyFont="1" applyFill="1" applyAlignment="1">
      <alignment horizontal="center" vertical="center" shrinkToFit="1"/>
    </xf>
    <xf numFmtId="0" fontId="35" fillId="17" borderId="0" xfId="0" applyFont="1" applyFill="1" applyAlignment="1">
      <alignment horizontal="center" vertical="center" shrinkToFit="1"/>
    </xf>
    <xf numFmtId="0" fontId="18" fillId="17" borderId="0" xfId="0" applyFont="1" applyFill="1" applyAlignment="1">
      <alignment vertical="center"/>
    </xf>
    <xf numFmtId="49" fontId="0" fillId="17" borderId="0" xfId="0" applyNumberFormat="1" applyFill="1" applyAlignment="1">
      <alignment horizontal="center" vertical="center"/>
    </xf>
    <xf numFmtId="0" fontId="18" fillId="17" borderId="0" xfId="0" applyFont="1" applyFill="1" applyAlignment="1">
      <alignment horizontal="left" vertical="center" shrinkToFit="1"/>
    </xf>
    <xf numFmtId="181" fontId="39" fillId="17" borderId="0" xfId="6" applyFont="1" applyFill="1" applyAlignment="1">
      <alignment vertical="center"/>
    </xf>
    <xf numFmtId="181" fontId="18" fillId="0" borderId="0" xfId="6" applyFont="1" applyFill="1" applyAlignment="1">
      <alignment vertical="center"/>
    </xf>
    <xf numFmtId="181" fontId="19" fillId="17" borderId="0" xfId="6" applyFont="1" applyFill="1" applyAlignment="1">
      <alignment vertical="center"/>
    </xf>
    <xf numFmtId="14" fontId="19" fillId="17" borderId="0" xfId="6" applyNumberFormat="1" applyFont="1" applyFill="1" applyAlignment="1">
      <alignment horizontal="center" vertical="center"/>
    </xf>
    <xf numFmtId="41" fontId="18" fillId="17" borderId="0" xfId="1" applyFont="1" applyFill="1" applyAlignment="1">
      <alignment horizontal="right" vertical="center"/>
    </xf>
    <xf numFmtId="178" fontId="18" fillId="17" borderId="0" xfId="1" applyNumberFormat="1" applyFont="1" applyFill="1" applyAlignment="1">
      <alignment horizontal="right" vertical="center"/>
    </xf>
    <xf numFmtId="2" fontId="19" fillId="17" borderId="0" xfId="4" applyNumberFormat="1" applyFont="1" applyFill="1" applyAlignment="1">
      <alignment horizontal="right" vertical="center"/>
    </xf>
    <xf numFmtId="0" fontId="18" fillId="19" borderId="0" xfId="0" applyFont="1" applyFill="1" applyAlignment="1">
      <alignment horizontal="center" vertical="center"/>
    </xf>
    <xf numFmtId="179" fontId="18" fillId="19" borderId="0" xfId="0" applyNumberFormat="1" applyFont="1" applyFill="1" applyAlignment="1">
      <alignment horizontal="center" vertical="center"/>
    </xf>
    <xf numFmtId="0" fontId="0" fillId="19" borderId="0" xfId="6" applyNumberFormat="1" applyFont="1" applyFill="1" applyAlignment="1">
      <alignment horizontal="left" vertical="center"/>
    </xf>
    <xf numFmtId="0" fontId="0" fillId="19" borderId="0" xfId="0" applyFill="1" applyAlignment="1">
      <alignment horizontal="center" vertical="center"/>
    </xf>
    <xf numFmtId="0" fontId="0" fillId="19" borderId="0" xfId="0" applyFill="1" applyAlignment="1">
      <alignment horizontal="left" vertical="center"/>
    </xf>
    <xf numFmtId="0" fontId="0" fillId="19" borderId="0" xfId="0" applyFill="1" applyAlignment="1">
      <alignment vertical="center"/>
    </xf>
    <xf numFmtId="49" fontId="22" fillId="19" borderId="0" xfId="0" applyNumberFormat="1" applyFont="1" applyFill="1" applyAlignment="1">
      <alignment horizontal="center" vertical="center"/>
    </xf>
    <xf numFmtId="0" fontId="15" fillId="19" borderId="0" xfId="3" applyFill="1" applyAlignment="1">
      <alignment horizontal="left" vertical="center"/>
    </xf>
    <xf numFmtId="49" fontId="19" fillId="19" borderId="0" xfId="0" applyNumberFormat="1" applyFont="1" applyFill="1" applyAlignment="1">
      <alignment horizontal="center" vertical="center"/>
    </xf>
    <xf numFmtId="14" fontId="18" fillId="19" borderId="0" xfId="0" applyNumberFormat="1" applyFont="1" applyFill="1" applyAlignment="1">
      <alignment horizontal="center" vertical="center"/>
    </xf>
    <xf numFmtId="49" fontId="18" fillId="19" borderId="0" xfId="0" applyNumberFormat="1" applyFont="1" applyFill="1" applyAlignment="1">
      <alignment horizontal="left" vertical="center"/>
    </xf>
    <xf numFmtId="0" fontId="18" fillId="19" borderId="0" xfId="0" applyFont="1" applyFill="1" applyAlignment="1">
      <alignment horizontal="left" vertical="center"/>
    </xf>
    <xf numFmtId="14" fontId="18" fillId="19" borderId="0" xfId="0" applyNumberFormat="1" applyFont="1" applyFill="1" applyAlignment="1">
      <alignment horizontal="left" vertical="center"/>
    </xf>
    <xf numFmtId="180" fontId="18" fillId="19" borderId="0" xfId="0" applyNumberFormat="1" applyFont="1" applyFill="1" applyAlignment="1">
      <alignment vertical="center"/>
    </xf>
    <xf numFmtId="14" fontId="35" fillId="19" borderId="0" xfId="0" applyNumberFormat="1" applyFont="1" applyFill="1" applyAlignment="1">
      <alignment horizontal="center" vertical="center" shrinkToFit="1"/>
    </xf>
    <xf numFmtId="0" fontId="18" fillId="19" borderId="0" xfId="0" applyFont="1" applyFill="1" applyAlignment="1">
      <alignment vertical="center"/>
    </xf>
    <xf numFmtId="49" fontId="0" fillId="19" borderId="0" xfId="0" quotePrefix="1" applyNumberFormat="1" applyFill="1" applyAlignment="1">
      <alignment horizontal="center" vertical="center"/>
    </xf>
    <xf numFmtId="0" fontId="0" fillId="19" borderId="0" xfId="0" quotePrefix="1" applyFill="1" applyAlignment="1">
      <alignment horizontal="left" vertical="center"/>
    </xf>
    <xf numFmtId="0" fontId="18" fillId="19" borderId="0" xfId="6" applyNumberFormat="1" applyFont="1" applyFill="1" applyAlignment="1">
      <alignment vertical="center"/>
    </xf>
    <xf numFmtId="0" fontId="19" fillId="19" borderId="0" xfId="0" applyFont="1" applyFill="1" applyAlignment="1">
      <alignment vertical="center"/>
    </xf>
    <xf numFmtId="181" fontId="22" fillId="19" borderId="0" xfId="6" applyFont="1" applyFill="1" applyAlignment="1">
      <alignment vertical="center"/>
    </xf>
    <xf numFmtId="181" fontId="19" fillId="0" borderId="0" xfId="6" applyFont="1" applyFill="1" applyAlignment="1">
      <alignment vertical="center"/>
    </xf>
    <xf numFmtId="0" fontId="19" fillId="19" borderId="0" xfId="6" applyNumberFormat="1" applyFont="1" applyFill="1" applyAlignment="1">
      <alignment horizontal="center" vertical="center"/>
    </xf>
    <xf numFmtId="181" fontId="19" fillId="19" borderId="0" xfId="6" applyFont="1" applyFill="1" applyAlignment="1">
      <alignment vertical="center"/>
    </xf>
    <xf numFmtId="14" fontId="35" fillId="19" borderId="0" xfId="0" applyNumberFormat="1" applyFont="1" applyFill="1" applyAlignment="1">
      <alignment horizontal="center" vertical="center"/>
    </xf>
    <xf numFmtId="181" fontId="18" fillId="19" borderId="0" xfId="7" applyFont="1" applyFill="1" applyAlignment="1">
      <alignment horizontal="center" vertical="center"/>
    </xf>
    <xf numFmtId="181" fontId="35" fillId="19" borderId="0" xfId="7" applyFont="1" applyFill="1" applyAlignment="1">
      <alignment horizontal="center" vertical="center"/>
    </xf>
    <xf numFmtId="184" fontId="19" fillId="19" borderId="0" xfId="6" applyNumberFormat="1" applyFont="1" applyFill="1" applyAlignment="1">
      <alignment vertical="center"/>
    </xf>
    <xf numFmtId="181" fontId="37" fillId="19" borderId="0" xfId="7" applyFont="1" applyFill="1" applyAlignment="1">
      <alignment horizontal="center" vertical="center"/>
    </xf>
    <xf numFmtId="182" fontId="19" fillId="19" borderId="0" xfId="6" applyNumberFormat="1" applyFont="1" applyFill="1" applyAlignment="1">
      <alignment vertical="center"/>
    </xf>
    <xf numFmtId="38" fontId="18" fillId="19" borderId="0" xfId="8" applyNumberFormat="1" applyFont="1" applyFill="1" applyAlignment="1">
      <alignment horizontal="right" vertical="center"/>
    </xf>
    <xf numFmtId="178" fontId="19" fillId="19" borderId="0" xfId="6" applyNumberFormat="1" applyFont="1" applyFill="1" applyAlignment="1">
      <alignment vertical="center"/>
    </xf>
    <xf numFmtId="2" fontId="18" fillId="19" borderId="0" xfId="4" applyNumberFormat="1" applyFont="1" applyFill="1" applyAlignment="1">
      <alignment horizontal="right" vertical="center"/>
    </xf>
    <xf numFmtId="38" fontId="18" fillId="0" borderId="0" xfId="0" applyNumberFormat="1" applyFont="1" applyAlignment="1">
      <alignment vertical="center"/>
    </xf>
    <xf numFmtId="10" fontId="18" fillId="0" borderId="0" xfId="2" applyNumberFormat="1" applyFont="1" applyAlignment="1">
      <alignment vertical="center"/>
    </xf>
    <xf numFmtId="0" fontId="18" fillId="0" borderId="0" xfId="6" applyNumberFormat="1" applyFont="1" applyAlignment="1">
      <alignment horizontal="center" vertical="center"/>
    </xf>
    <xf numFmtId="179" fontId="18" fillId="0" borderId="0" xfId="0" applyNumberFormat="1" applyFont="1" applyAlignment="1">
      <alignment horizontal="center" vertical="center"/>
    </xf>
    <xf numFmtId="0" fontId="0" fillId="0" borderId="0" xfId="6" applyNumberFormat="1" applyFont="1" applyAlignment="1">
      <alignment horizontal="left" vertical="center"/>
    </xf>
    <xf numFmtId="0" fontId="0" fillId="0" borderId="0" xfId="6" applyNumberFormat="1" applyFont="1" applyAlignment="1">
      <alignment horizontal="center" vertical="center"/>
    </xf>
    <xf numFmtId="0" fontId="40" fillId="0" borderId="0" xfId="6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181" fontId="0" fillId="0" borderId="0" xfId="6" applyFont="1" applyAlignment="1">
      <alignment horizontal="center" vertical="center"/>
    </xf>
    <xf numFmtId="0" fontId="22" fillId="0" borderId="0" xfId="6" applyNumberFormat="1" applyFont="1" applyAlignment="1">
      <alignment horizontal="center" vertical="center"/>
    </xf>
    <xf numFmtId="0" fontId="15" fillId="0" borderId="0" xfId="3" applyAlignment="1"/>
    <xf numFmtId="49" fontId="19" fillId="0" borderId="0" xfId="6" applyNumberFormat="1" applyFont="1" applyAlignment="1">
      <alignment horizontal="center" vertical="center"/>
    </xf>
    <xf numFmtId="14" fontId="18" fillId="0" borderId="0" xfId="6" applyNumberFormat="1" applyFont="1" applyAlignment="1">
      <alignment horizontal="center" vertical="center"/>
    </xf>
    <xf numFmtId="14" fontId="18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181" fontId="18" fillId="0" borderId="0" xfId="6" applyFont="1" applyAlignment="1">
      <alignment horizontal="left" vertical="center"/>
    </xf>
    <xf numFmtId="180" fontId="18" fillId="0" borderId="0" xfId="0" applyNumberFormat="1" applyFont="1" applyAlignment="1">
      <alignment vertical="center"/>
    </xf>
    <xf numFmtId="14" fontId="35" fillId="0" borderId="0" xfId="6" applyNumberFormat="1" applyFont="1" applyAlignment="1">
      <alignment horizontal="center" vertical="center" shrinkToFit="1"/>
    </xf>
    <xf numFmtId="181" fontId="18" fillId="0" borderId="0" xfId="6" applyFont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left" vertical="center"/>
    </xf>
    <xf numFmtId="0" fontId="18" fillId="0" borderId="0" xfId="6" applyNumberFormat="1" applyFont="1" applyAlignment="1">
      <alignment vertical="center"/>
    </xf>
    <xf numFmtId="0" fontId="18" fillId="0" borderId="0" xfId="0" applyFont="1" applyAlignment="1">
      <alignment horizontal="left" vertical="center" shrinkToFit="1"/>
    </xf>
    <xf numFmtId="0" fontId="19" fillId="0" borderId="0" xfId="0" applyFont="1" applyAlignment="1">
      <alignment vertical="center"/>
    </xf>
    <xf numFmtId="181" fontId="36" fillId="0" borderId="0" xfId="6" applyFont="1" applyAlignment="1">
      <alignment vertical="center"/>
    </xf>
    <xf numFmtId="0" fontId="19" fillId="0" borderId="0" xfId="6" applyNumberFormat="1" applyFont="1" applyAlignment="1">
      <alignment horizontal="center" vertical="center"/>
    </xf>
    <xf numFmtId="181" fontId="19" fillId="0" borderId="0" xfId="6" applyFont="1" applyAlignment="1">
      <alignment vertical="center"/>
    </xf>
    <xf numFmtId="14" fontId="18" fillId="0" borderId="0" xfId="0" applyNumberFormat="1" applyFont="1" applyAlignment="1">
      <alignment horizontal="center" vertical="center"/>
    </xf>
    <xf numFmtId="181" fontId="18" fillId="0" borderId="0" xfId="7" applyFont="1" applyFill="1" applyAlignment="1">
      <alignment horizontal="center" vertical="center"/>
    </xf>
    <xf numFmtId="184" fontId="19" fillId="0" borderId="0" xfId="6" applyNumberFormat="1" applyFont="1" applyFill="1" applyAlignment="1">
      <alignment vertical="center"/>
    </xf>
    <xf numFmtId="181" fontId="37" fillId="0" borderId="0" xfId="7" applyFont="1" applyAlignment="1">
      <alignment horizontal="center" vertical="center"/>
    </xf>
    <xf numFmtId="182" fontId="19" fillId="0" borderId="0" xfId="6" applyNumberFormat="1" applyFont="1" applyFill="1" applyAlignment="1">
      <alignment vertical="center"/>
    </xf>
    <xf numFmtId="182" fontId="19" fillId="0" borderId="0" xfId="6" applyNumberFormat="1" applyFont="1" applyAlignment="1">
      <alignment vertical="center"/>
    </xf>
    <xf numFmtId="38" fontId="18" fillId="0" borderId="0" xfId="8" applyNumberFormat="1" applyFont="1" applyAlignment="1">
      <alignment horizontal="right" vertical="center"/>
    </xf>
    <xf numFmtId="38" fontId="19" fillId="0" borderId="0" xfId="8" applyNumberFormat="1" applyFont="1" applyAlignment="1">
      <alignment horizontal="right" vertical="center"/>
    </xf>
    <xf numFmtId="178" fontId="19" fillId="0" borderId="0" xfId="6" applyNumberFormat="1" applyFont="1" applyAlignment="1">
      <alignment vertical="center"/>
    </xf>
    <xf numFmtId="2" fontId="19" fillId="0" borderId="0" xfId="4" applyNumberFormat="1" applyFont="1" applyAlignment="1">
      <alignment horizontal="right" vertical="center"/>
    </xf>
    <xf numFmtId="181" fontId="32" fillId="0" borderId="0" xfId="6" applyFont="1" applyAlignment="1">
      <alignment horizontal="center" vertical="center"/>
    </xf>
    <xf numFmtId="181" fontId="25" fillId="0" borderId="0" xfId="6" applyFont="1" applyAlignment="1">
      <alignment horizontal="center" vertical="center"/>
    </xf>
    <xf numFmtId="181" fontId="25" fillId="0" borderId="0" xfId="6" applyFont="1" applyAlignment="1">
      <alignment horizontal="right" vertical="center"/>
    </xf>
    <xf numFmtId="0" fontId="0" fillId="0" borderId="0" xfId="0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14" fontId="35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left" vertical="center"/>
    </xf>
    <xf numFmtId="14" fontId="35" fillId="0" borderId="0" xfId="0" applyNumberFormat="1" applyFont="1" applyAlignment="1">
      <alignment horizontal="center" vertical="center" shrinkToFit="1"/>
    </xf>
    <xf numFmtId="0" fontId="18" fillId="0" borderId="0" xfId="0" quotePrefix="1" applyFont="1" applyAlignment="1">
      <alignment horizontal="center" vertical="center"/>
    </xf>
    <xf numFmtId="181" fontId="18" fillId="0" borderId="0" xfId="6" applyFont="1" applyAlignment="1">
      <alignment vertical="center"/>
    </xf>
    <xf numFmtId="181" fontId="18" fillId="0" borderId="0" xfId="7" applyFont="1" applyAlignment="1">
      <alignment horizontal="center" vertical="center"/>
    </xf>
    <xf numFmtId="0" fontId="19" fillId="0" borderId="0" xfId="6" applyNumberFormat="1" applyFont="1" applyFill="1" applyAlignment="1">
      <alignment horizontal="center" vertical="center"/>
    </xf>
    <xf numFmtId="0" fontId="15" fillId="0" borderId="0" xfId="3" applyAlignment="1">
      <alignment horizontal="left" vertical="center"/>
    </xf>
    <xf numFmtId="0" fontId="41" fillId="0" borderId="0" xfId="0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0" fontId="34" fillId="0" borderId="0" xfId="5"/>
    <xf numFmtId="0" fontId="19" fillId="0" borderId="0" xfId="0" applyFont="1" applyAlignment="1">
      <alignment horizontal="left" vertical="center"/>
    </xf>
    <xf numFmtId="181" fontId="36" fillId="0" borderId="0" xfId="6" applyFont="1" applyFill="1" applyAlignment="1">
      <alignment vertical="center"/>
    </xf>
    <xf numFmtId="185" fontId="19" fillId="0" borderId="0" xfId="1" applyNumberFormat="1" applyFont="1" applyFill="1" applyAlignment="1">
      <alignment vertical="center"/>
    </xf>
    <xf numFmtId="49" fontId="18" fillId="0" borderId="0" xfId="0" quotePrefix="1" applyNumberFormat="1" applyFont="1" applyAlignment="1">
      <alignment horizontal="center" vertical="center"/>
    </xf>
    <xf numFmtId="0" fontId="32" fillId="0" borderId="0" xfId="4" applyFont="1" applyAlignment="1">
      <alignment horizontal="center" vertical="center"/>
    </xf>
    <xf numFmtId="0" fontId="25" fillId="0" borderId="0" xfId="4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49" fontId="18" fillId="0" borderId="0" xfId="0" applyNumberFormat="1" applyFont="1" applyAlignment="1">
      <alignment vertical="center"/>
    </xf>
    <xf numFmtId="0" fontId="0" fillId="0" borderId="0" xfId="0" applyAlignment="1">
      <alignment horizontal="center" vertical="center" wrapText="1"/>
    </xf>
    <xf numFmtId="181" fontId="22" fillId="0" borderId="0" xfId="6" applyFont="1" applyAlignment="1">
      <alignment vertical="center"/>
    </xf>
    <xf numFmtId="181" fontId="31" fillId="0" borderId="0" xfId="6" applyFont="1" applyAlignment="1">
      <alignment vertical="center"/>
    </xf>
    <xf numFmtId="181" fontId="19" fillId="0" borderId="0" xfId="6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14" fontId="31" fillId="0" borderId="0" xfId="0" applyNumberFormat="1" applyFont="1" applyAlignment="1">
      <alignment horizontal="center" vertical="center" shrinkToFit="1"/>
    </xf>
    <xf numFmtId="0" fontId="25" fillId="0" borderId="0" xfId="4" applyFont="1" applyAlignment="1">
      <alignment vertical="center"/>
    </xf>
    <xf numFmtId="14" fontId="42" fillId="0" borderId="0" xfId="0" applyNumberFormat="1" applyFont="1" applyAlignment="1">
      <alignment horizontal="center" vertical="center"/>
    </xf>
    <xf numFmtId="14" fontId="18" fillId="10" borderId="0" xfId="0" applyNumberFormat="1" applyFont="1" applyFill="1" applyAlignment="1">
      <alignment horizontal="center" vertical="center"/>
    </xf>
    <xf numFmtId="17" fontId="18" fillId="0" borderId="0" xfId="0" applyNumberFormat="1" applyFont="1" applyAlignment="1">
      <alignment vertical="center"/>
    </xf>
    <xf numFmtId="181" fontId="35" fillId="0" borderId="0" xfId="7" applyFont="1" applyFill="1" applyAlignment="1">
      <alignment horizontal="center" vertical="center"/>
    </xf>
    <xf numFmtId="0" fontId="42" fillId="0" borderId="0" xfId="0" applyFont="1" applyAlignment="1">
      <alignment horizontal="center" vertical="center"/>
    </xf>
    <xf numFmtId="49" fontId="22" fillId="0" borderId="0" xfId="0" quotePrefix="1" applyNumberFormat="1" applyFont="1" applyAlignment="1">
      <alignment horizontal="center" vertical="center"/>
    </xf>
    <xf numFmtId="0" fontId="18" fillId="0" borderId="0" xfId="6" applyNumberFormat="1" applyFont="1" applyFill="1" applyAlignment="1">
      <alignment vertical="center"/>
    </xf>
    <xf numFmtId="181" fontId="22" fillId="0" borderId="0" xfId="6" applyFont="1" applyFill="1" applyAlignment="1">
      <alignment vertical="center"/>
    </xf>
    <xf numFmtId="14" fontId="32" fillId="0" borderId="0" xfId="4" applyNumberFormat="1" applyFont="1" applyAlignment="1">
      <alignment horizontal="center" vertical="center"/>
    </xf>
    <xf numFmtId="14" fontId="18" fillId="0" borderId="0" xfId="0" applyNumberFormat="1" applyFont="1" applyAlignment="1">
      <alignment vertical="center" shrinkToFit="1"/>
    </xf>
    <xf numFmtId="0" fontId="0" fillId="0" borderId="0" xfId="0" quotePrefix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81" fontId="31" fillId="0" borderId="0" xfId="6" applyFont="1" applyFill="1" applyAlignment="1">
      <alignment vertical="center"/>
    </xf>
    <xf numFmtId="41" fontId="18" fillId="0" borderId="0" xfId="1" applyFont="1" applyAlignment="1">
      <alignment vertical="center"/>
    </xf>
    <xf numFmtId="0" fontId="18" fillId="0" borderId="0" xfId="0" applyFont="1" applyAlignment="1">
      <alignment vertical="center" wrapText="1"/>
    </xf>
    <xf numFmtId="14" fontId="42" fillId="0" borderId="0" xfId="6" applyNumberFormat="1" applyFont="1" applyFill="1" applyAlignment="1">
      <alignment horizontal="center" vertical="center"/>
    </xf>
    <xf numFmtId="2" fontId="19" fillId="0" borderId="0" xfId="4" applyNumberFormat="1" applyFont="1" applyAlignment="1">
      <alignment horizontal="center" vertical="center"/>
    </xf>
    <xf numFmtId="181" fontId="42" fillId="0" borderId="0" xfId="6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0" xfId="5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vertical="center"/>
    </xf>
    <xf numFmtId="0" fontId="35" fillId="10" borderId="0" xfId="0" applyFont="1" applyFill="1" applyAlignment="1">
      <alignment horizontal="center" vertical="center"/>
    </xf>
    <xf numFmtId="14" fontId="32" fillId="0" borderId="0" xfId="6" applyNumberFormat="1" applyFont="1" applyAlignment="1">
      <alignment horizontal="center" vertical="center"/>
    </xf>
    <xf numFmtId="2" fontId="18" fillId="0" borderId="0" xfId="4" applyNumberFormat="1" applyFont="1" applyAlignment="1">
      <alignment horizontal="center" vertical="center"/>
    </xf>
    <xf numFmtId="14" fontId="3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0" fillId="0" borderId="0" xfId="5" applyFont="1" applyAlignment="1">
      <alignment horizontal="left" vertical="center"/>
    </xf>
    <xf numFmtId="179" fontId="0" fillId="0" borderId="0" xfId="0" applyNumberForma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0" fillId="0" borderId="0" xfId="5" applyFont="1" applyFill="1" applyAlignment="1">
      <alignment horizontal="center" vertical="center"/>
    </xf>
    <xf numFmtId="14" fontId="45" fillId="0" borderId="0" xfId="0" applyNumberFormat="1" applyFont="1" applyAlignment="1">
      <alignment horizontal="center" vertical="center"/>
    </xf>
    <xf numFmtId="181" fontId="45" fillId="0" borderId="0" xfId="7" applyFont="1" applyFill="1" applyAlignment="1">
      <alignment horizontal="center" vertical="center"/>
    </xf>
    <xf numFmtId="181" fontId="37" fillId="0" borderId="0" xfId="7" applyFont="1" applyFill="1" applyAlignment="1">
      <alignment horizontal="center" vertical="center"/>
    </xf>
    <xf numFmtId="38" fontId="18" fillId="0" borderId="0" xfId="8" applyNumberFormat="1" applyFont="1" applyFill="1" applyAlignment="1">
      <alignment horizontal="right" vertical="center"/>
    </xf>
    <xf numFmtId="38" fontId="19" fillId="0" borderId="0" xfId="8" applyNumberFormat="1" applyFont="1" applyFill="1" applyAlignment="1">
      <alignment horizontal="right" vertical="center"/>
    </xf>
    <xf numFmtId="178" fontId="19" fillId="0" borderId="0" xfId="6" applyNumberFormat="1" applyFont="1" applyFill="1" applyAlignment="1">
      <alignment vertical="center"/>
    </xf>
    <xf numFmtId="10" fontId="18" fillId="0" borderId="0" xfId="2" applyNumberFormat="1" applyFont="1" applyFill="1" applyAlignment="1">
      <alignment vertical="center"/>
    </xf>
    <xf numFmtId="0" fontId="18" fillId="0" borderId="0" xfId="0" quotePrefix="1" applyFont="1" applyAlignment="1">
      <alignment horizontal="center" vertical="center" wrapText="1"/>
    </xf>
    <xf numFmtId="0" fontId="35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18" fillId="0" borderId="0" xfId="4" applyFont="1" applyAlignment="1">
      <alignment horizontal="center" vertical="center"/>
    </xf>
    <xf numFmtId="0" fontId="35" fillId="0" borderId="0" xfId="0" applyFont="1" applyAlignment="1">
      <alignment horizontal="center" vertical="center" shrinkToFit="1"/>
    </xf>
    <xf numFmtId="2" fontId="18" fillId="0" borderId="0" xfId="4" applyNumberFormat="1" applyFont="1" applyAlignment="1">
      <alignment horizontal="right" vertical="center"/>
    </xf>
    <xf numFmtId="0" fontId="0" fillId="0" borderId="0" xfId="6" applyNumberFormat="1" applyFont="1" applyFill="1" applyAlignment="1">
      <alignment horizontal="left" vertical="center"/>
    </xf>
    <xf numFmtId="0" fontId="15" fillId="0" borderId="0" xfId="3" applyFill="1" applyAlignment="1">
      <alignment horizontal="left" vertical="center"/>
    </xf>
    <xf numFmtId="41" fontId="18" fillId="0" borderId="0" xfId="1" applyFont="1" applyFill="1" applyAlignment="1">
      <alignment horizontal="center" vertical="center"/>
    </xf>
    <xf numFmtId="0" fontId="18" fillId="0" borderId="0" xfId="0" applyFont="1" applyAlignment="1">
      <alignment vertical="center" shrinkToFit="1"/>
    </xf>
    <xf numFmtId="181" fontId="39" fillId="0" borderId="0" xfId="6" applyFont="1" applyAlignment="1">
      <alignment vertical="center"/>
    </xf>
    <xf numFmtId="49" fontId="19" fillId="0" borderId="0" xfId="0" applyNumberFormat="1" applyFont="1" applyAlignment="1">
      <alignment horizontal="left" vertical="center"/>
    </xf>
    <xf numFmtId="14" fontId="35" fillId="0" borderId="0" xfId="0" applyNumberFormat="1" applyFont="1" applyAlignment="1">
      <alignment vertical="center" shrinkToFit="1"/>
    </xf>
    <xf numFmtId="14" fontId="42" fillId="0" borderId="0" xfId="6" applyNumberFormat="1" applyFont="1" applyAlignment="1">
      <alignment horizontal="center" vertical="center"/>
    </xf>
    <xf numFmtId="14" fontId="46" fillId="0" borderId="0" xfId="0" applyNumberFormat="1" applyFont="1" applyAlignment="1">
      <alignment horizontal="center" vertical="center"/>
    </xf>
    <xf numFmtId="181" fontId="46" fillId="0" borderId="0" xfId="7" applyFont="1" applyAlignment="1">
      <alignment horizontal="center" vertical="center"/>
    </xf>
    <xf numFmtId="184" fontId="19" fillId="0" borderId="0" xfId="6" applyNumberFormat="1" applyFont="1" applyAlignment="1">
      <alignment vertical="center"/>
    </xf>
    <xf numFmtId="0" fontId="18" fillId="0" borderId="0" xfId="3" applyFont="1" applyBorder="1" applyAlignment="1">
      <alignment horizontal="left" vertical="center"/>
    </xf>
    <xf numFmtId="0" fontId="18" fillId="0" borderId="0" xfId="0" applyFont="1"/>
    <xf numFmtId="14" fontId="18" fillId="0" borderId="0" xfId="0" applyNumberFormat="1" applyFont="1" applyAlignment="1">
      <alignment horizontal="center" vertical="center" shrinkToFit="1"/>
    </xf>
    <xf numFmtId="41" fontId="0" fillId="0" borderId="0" xfId="1" applyFont="1" applyAlignment="1">
      <alignment vertical="center"/>
    </xf>
    <xf numFmtId="0" fontId="35" fillId="0" borderId="0" xfId="0" applyFont="1" applyAlignment="1">
      <alignment vertical="center" shrinkToFit="1"/>
    </xf>
    <xf numFmtId="181" fontId="0" fillId="0" borderId="0" xfId="6" applyFont="1" applyAlignment="1">
      <alignment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49" fontId="19" fillId="0" borderId="0" xfId="0" applyNumberFormat="1" applyFont="1" applyAlignment="1">
      <alignment vertical="center"/>
    </xf>
    <xf numFmtId="0" fontId="31" fillId="0" borderId="0" xfId="0" applyFont="1" applyAlignment="1">
      <alignment horizontal="center" vertical="center"/>
    </xf>
    <xf numFmtId="14" fontId="18" fillId="0" borderId="0" xfId="0" applyNumberFormat="1" applyFont="1" applyAlignment="1">
      <alignment horizontal="left" vertical="center" wrapText="1"/>
    </xf>
    <xf numFmtId="41" fontId="38" fillId="0" borderId="0" xfId="1" applyFont="1" applyAlignment="1">
      <alignment horizontal="center" vertical="center"/>
    </xf>
    <xf numFmtId="0" fontId="47" fillId="0" borderId="0" xfId="0" applyFont="1" applyAlignment="1">
      <alignment horizontal="left" vertical="center" wrapText="1"/>
    </xf>
    <xf numFmtId="0" fontId="47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47" fillId="0" borderId="0" xfId="0" applyNumberFormat="1" applyFont="1" applyAlignment="1">
      <alignment horizontal="left" vertical="center" wrapText="1"/>
    </xf>
    <xf numFmtId="0" fontId="15" fillId="0" borderId="0" xfId="3" quotePrefix="1" applyAlignment="1"/>
    <xf numFmtId="181" fontId="35" fillId="0" borderId="0" xfId="6" applyFont="1" applyAlignment="1">
      <alignment vertical="center"/>
    </xf>
    <xf numFmtId="181" fontId="38" fillId="0" borderId="0" xfId="7" applyFont="1" applyAlignment="1">
      <alignment horizontal="center" vertical="center"/>
    </xf>
    <xf numFmtId="41" fontId="35" fillId="0" borderId="0" xfId="1" applyFont="1" applyAlignment="1">
      <alignment horizontal="center" vertical="center"/>
    </xf>
    <xf numFmtId="49" fontId="15" fillId="0" borderId="0" xfId="3" applyNumberFormat="1" applyAlignment="1">
      <alignment horizontal="left" vertical="center"/>
    </xf>
    <xf numFmtId="0" fontId="48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186" fontId="18" fillId="0" borderId="0" xfId="0" applyNumberFormat="1" applyFont="1" applyAlignment="1">
      <alignment horizontal="center" vertical="center"/>
    </xf>
    <xf numFmtId="181" fontId="38" fillId="0" borderId="0" xfId="7" applyFont="1" applyFill="1" applyAlignment="1">
      <alignment horizontal="center" vertical="center"/>
    </xf>
    <xf numFmtId="181" fontId="35" fillId="0" borderId="0" xfId="7" applyFont="1" applyAlignment="1">
      <alignment horizontal="center" vertical="center"/>
    </xf>
    <xf numFmtId="0" fontId="15" fillId="0" borderId="0" xfId="3" applyAlignment="1">
      <alignment horizontal="left"/>
    </xf>
    <xf numFmtId="0" fontId="35" fillId="0" borderId="0" xfId="0" applyFont="1" applyAlignment="1">
      <alignment horizontal="left" vertical="center"/>
    </xf>
    <xf numFmtId="0" fontId="49" fillId="0" borderId="0" xfId="0" applyFont="1" applyAlignment="1">
      <alignment horizontal="center" vertical="center"/>
    </xf>
    <xf numFmtId="181" fontId="18" fillId="0" borderId="0" xfId="0" applyNumberFormat="1" applyFont="1" applyAlignment="1">
      <alignment horizontal="center" vertical="center"/>
    </xf>
    <xf numFmtId="181" fontId="35" fillId="0" borderId="0" xfId="7" applyFont="1" applyAlignment="1">
      <alignment horizontal="left" vertical="center"/>
    </xf>
    <xf numFmtId="187" fontId="19" fillId="0" borderId="0" xfId="6" applyNumberFormat="1" applyFont="1" applyAlignment="1">
      <alignment vertical="center"/>
    </xf>
    <xf numFmtId="1" fontId="18" fillId="0" borderId="0" xfId="0" applyNumberFormat="1" applyFont="1" applyAlignment="1">
      <alignment vertical="center"/>
    </xf>
    <xf numFmtId="188" fontId="18" fillId="0" borderId="0" xfId="0" applyNumberFormat="1" applyFont="1" applyAlignment="1">
      <alignment vertical="center"/>
    </xf>
    <xf numFmtId="0" fontId="39" fillId="0" borderId="0" xfId="0" applyFont="1" applyAlignment="1">
      <alignment horizontal="center" vertical="center"/>
    </xf>
    <xf numFmtId="181" fontId="46" fillId="0" borderId="0" xfId="7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78" fontId="18" fillId="0" borderId="0" xfId="0" applyNumberFormat="1" applyFont="1" applyAlignment="1">
      <alignment vertical="center"/>
    </xf>
    <xf numFmtId="2" fontId="18" fillId="0" borderId="0" xfId="0" applyNumberFormat="1" applyFont="1" applyAlignment="1">
      <alignment vertical="center"/>
    </xf>
    <xf numFmtId="0" fontId="15" fillId="0" borderId="0" xfId="3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176" fontId="6" fillId="2" borderId="5" xfId="0" applyNumberFormat="1" applyFont="1" applyFill="1" applyBorder="1" applyAlignment="1">
      <alignment vertical="center"/>
    </xf>
    <xf numFmtId="176" fontId="6" fillId="2" borderId="6" xfId="0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176" fontId="13" fillId="0" borderId="5" xfId="0" applyNumberFormat="1" applyFont="1" applyBorder="1" applyAlignment="1">
      <alignment horizontal="right" vertical="center"/>
    </xf>
    <xf numFmtId="0" fontId="13" fillId="3" borderId="5" xfId="0" applyFont="1" applyFill="1" applyBorder="1" applyAlignment="1">
      <alignment horizontal="center" vertical="center"/>
    </xf>
    <xf numFmtId="176" fontId="35" fillId="3" borderId="5" xfId="0" applyNumberFormat="1" applyFont="1" applyFill="1" applyBorder="1" applyAlignment="1">
      <alignment horizontal="right" vertical="center"/>
    </xf>
    <xf numFmtId="0" fontId="35" fillId="4" borderId="8" xfId="0" applyFont="1" applyFill="1" applyBorder="1" applyAlignment="1">
      <alignment horizontal="center" vertical="center"/>
    </xf>
    <xf numFmtId="176" fontId="35" fillId="4" borderId="8" xfId="0" applyNumberFormat="1" applyFont="1" applyFill="1" applyBorder="1" applyAlignment="1">
      <alignment horizontal="right" vertical="center"/>
    </xf>
    <xf numFmtId="189" fontId="8" fillId="0" borderId="5" xfId="0" applyNumberFormat="1" applyFont="1" applyBorder="1" applyAlignment="1">
      <alignment horizontal="right" vertical="center"/>
    </xf>
    <xf numFmtId="189" fontId="8" fillId="3" borderId="5" xfId="0" applyNumberFormat="1" applyFont="1" applyFill="1" applyBorder="1" applyAlignment="1">
      <alignment horizontal="right" vertical="center"/>
    </xf>
    <xf numFmtId="176" fontId="13" fillId="3" borderId="6" xfId="0" applyNumberFormat="1" applyFont="1" applyFill="1" applyBorder="1" applyAlignment="1">
      <alignment horizontal="right" vertical="center"/>
    </xf>
    <xf numFmtId="176" fontId="13" fillId="4" borderId="9" xfId="0" applyNumberFormat="1" applyFont="1" applyFill="1" applyBorder="1" applyAlignment="1">
      <alignment horizontal="right" vertical="center"/>
    </xf>
    <xf numFmtId="189" fontId="13" fillId="0" borderId="5" xfId="0" applyNumberFormat="1" applyFont="1" applyBorder="1" applyAlignment="1">
      <alignment horizontal="right" vertical="center"/>
    </xf>
    <xf numFmtId="0" fontId="0" fillId="0" borderId="0" xfId="0" pivotButton="1"/>
    <xf numFmtId="176" fontId="0" fillId="0" borderId="0" xfId="0" applyNumberFormat="1"/>
    <xf numFmtId="0" fontId="7" fillId="0" borderId="0" xfId="0" applyFont="1"/>
    <xf numFmtId="0" fontId="2" fillId="0" borderId="5" xfId="0" applyFont="1" applyBorder="1" applyAlignment="1">
      <alignment horizontal="center" vertical="center"/>
    </xf>
    <xf numFmtId="0" fontId="59" fillId="0" borderId="5" xfId="0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right" vertical="center"/>
    </xf>
    <xf numFmtId="14" fontId="1" fillId="0" borderId="5" xfId="0" applyNumberFormat="1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76" fontId="6" fillId="2" borderId="5" xfId="0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 wrapText="1"/>
    </xf>
    <xf numFmtId="176" fontId="6" fillId="2" borderId="6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60" fillId="20" borderId="12" xfId="0" applyFont="1" applyFill="1" applyBorder="1" applyAlignment="1">
      <alignment vertical="center"/>
    </xf>
    <xf numFmtId="0" fontId="0" fillId="20" borderId="13" xfId="0" applyFill="1" applyBorder="1" applyAlignment="1">
      <alignment vertical="center"/>
    </xf>
    <xf numFmtId="0" fontId="0" fillId="20" borderId="14" xfId="0" applyFill="1" applyBorder="1" applyAlignment="1">
      <alignment vertical="center"/>
    </xf>
    <xf numFmtId="0" fontId="60" fillId="20" borderId="15" xfId="0" applyFont="1" applyFill="1" applyBorder="1" applyAlignment="1">
      <alignment vertical="center"/>
    </xf>
    <xf numFmtId="0" fontId="0" fillId="20" borderId="16" xfId="0" applyFill="1" applyBorder="1" applyAlignment="1">
      <alignment vertical="center"/>
    </xf>
    <xf numFmtId="0" fontId="0" fillId="20" borderId="17" xfId="0" applyFill="1" applyBorder="1" applyAlignment="1">
      <alignment vertical="center"/>
    </xf>
    <xf numFmtId="0" fontId="61" fillId="0" borderId="12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11" fillId="8" borderId="11" xfId="0" applyFont="1" applyFill="1" applyBorder="1" applyAlignment="1">
      <alignment horizontal="left" vertical="center" wrapText="1"/>
    </xf>
    <xf numFmtId="0" fontId="9" fillId="5" borderId="10" xfId="0" applyFont="1" applyFill="1" applyBorder="1" applyAlignment="1">
      <alignment horizontal="left" vertical="center" wrapText="1"/>
    </xf>
    <xf numFmtId="0" fontId="10" fillId="6" borderId="11" xfId="0" applyFont="1" applyFill="1" applyBorder="1" applyAlignment="1">
      <alignment horizontal="left" vertical="center" wrapText="1"/>
    </xf>
    <xf numFmtId="0" fontId="10" fillId="7" borderId="11" xfId="0" applyFont="1" applyFill="1" applyBorder="1" applyAlignment="1">
      <alignment horizontal="left" vertical="center" wrapText="1"/>
    </xf>
    <xf numFmtId="0" fontId="9" fillId="5" borderId="11" xfId="0" applyFont="1" applyFill="1" applyBorder="1" applyAlignment="1">
      <alignment horizontal="left" vertical="center" wrapText="1"/>
    </xf>
    <xf numFmtId="0" fontId="10" fillId="7" borderId="21" xfId="0" applyFont="1" applyFill="1" applyBorder="1" applyAlignment="1">
      <alignment horizontal="left" vertical="center" wrapText="1"/>
    </xf>
    <xf numFmtId="0" fontId="10" fillId="7" borderId="22" xfId="0" applyFont="1" applyFill="1" applyBorder="1" applyAlignment="1">
      <alignment horizontal="left" vertical="center" wrapText="1"/>
    </xf>
    <xf numFmtId="0" fontId="10" fillId="7" borderId="23" xfId="0" applyFont="1" applyFill="1" applyBorder="1" applyAlignment="1">
      <alignment horizontal="left" vertical="center" wrapText="1"/>
    </xf>
    <xf numFmtId="0" fontId="11" fillId="8" borderId="21" xfId="0" applyFont="1" applyFill="1" applyBorder="1" applyAlignment="1">
      <alignment horizontal="left" vertical="center" wrapText="1"/>
    </xf>
    <xf numFmtId="0" fontId="11" fillId="8" borderId="22" xfId="0" applyFont="1" applyFill="1" applyBorder="1" applyAlignment="1">
      <alignment horizontal="left" vertical="center" wrapText="1"/>
    </xf>
    <xf numFmtId="0" fontId="11" fillId="8" borderId="23" xfId="0" applyFont="1" applyFill="1" applyBorder="1" applyAlignment="1">
      <alignment horizontal="left" vertical="center" wrapText="1"/>
    </xf>
    <xf numFmtId="0" fontId="9" fillId="5" borderId="21" xfId="0" applyFont="1" applyFill="1" applyBorder="1" applyAlignment="1">
      <alignment horizontal="left" vertical="center" wrapText="1"/>
    </xf>
    <xf numFmtId="0" fontId="9" fillId="5" borderId="22" xfId="0" applyFont="1" applyFill="1" applyBorder="1" applyAlignment="1">
      <alignment horizontal="left" vertical="center" wrapText="1"/>
    </xf>
    <xf numFmtId="0" fontId="9" fillId="5" borderId="23" xfId="0" applyFont="1" applyFill="1" applyBorder="1" applyAlignment="1">
      <alignment horizontal="left" vertical="center" wrapText="1"/>
    </xf>
    <xf numFmtId="0" fontId="10" fillId="6" borderId="21" xfId="0" applyFont="1" applyFill="1" applyBorder="1" applyAlignment="1">
      <alignment horizontal="left" vertical="center" wrapText="1"/>
    </xf>
    <xf numFmtId="0" fontId="10" fillId="6" borderId="22" xfId="0" applyFont="1" applyFill="1" applyBorder="1" applyAlignment="1">
      <alignment horizontal="left" vertical="center" wrapText="1"/>
    </xf>
    <xf numFmtId="0" fontId="10" fillId="6" borderId="23" xfId="0" applyFont="1" applyFill="1" applyBorder="1" applyAlignment="1">
      <alignment horizontal="left" vertical="center" wrapText="1"/>
    </xf>
    <xf numFmtId="0" fontId="9" fillId="5" borderId="18" xfId="0" applyFont="1" applyFill="1" applyBorder="1" applyAlignment="1">
      <alignment horizontal="left" vertical="center" wrapText="1"/>
    </xf>
    <xf numFmtId="0" fontId="9" fillId="5" borderId="19" xfId="0" applyFont="1" applyFill="1" applyBorder="1" applyAlignment="1">
      <alignment horizontal="left" vertical="center" wrapText="1"/>
    </xf>
    <xf numFmtId="0" fontId="9" fillId="5" borderId="20" xfId="0" applyFont="1" applyFill="1" applyBorder="1" applyAlignment="1">
      <alignment horizontal="left" vertical="center" wrapText="1"/>
    </xf>
  </cellXfs>
  <cellStyles count="9">
    <cellStyle name="Hyperlink" xfId="5" xr:uid="{BEED5DAE-4E70-47A2-B930-403C6E9FB7AC}"/>
    <cellStyle name="백분율" xfId="2" builtinId="5"/>
    <cellStyle name="쉼표 [0]" xfId="1" builtinId="6"/>
    <cellStyle name="쉼표 [0] 13" xfId="6" xr:uid="{DDA48EFA-5DF6-41AC-AD7A-BD9DA0E9B7C8}"/>
    <cellStyle name="쉼표 [0] 4" xfId="7" xr:uid="{A1808CF2-26F9-4CA2-A7CB-B20B7C3510DE}"/>
    <cellStyle name="쉼표 [0]_SM사업팀인력현황_20110311" xfId="8" xr:uid="{4A18CA5B-47A9-462B-A7BD-72E20D3D31DC}"/>
    <cellStyle name="표준" xfId="0" builtinId="0"/>
    <cellStyle name="표준_SM사업팀인력현황_20110311" xfId="4" xr:uid="{C12A5E5E-60DA-4A93-A8CE-06FC87EAA15B}"/>
    <cellStyle name="하이퍼링크" xfId="3" builtinId="8"/>
  </cellStyles>
  <dxfs count="4"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716280</xdr:colOff>
      <xdr:row>0</xdr:row>
      <xdr:rowOff>60960</xdr:rowOff>
    </xdr:from>
    <xdr:to>
      <xdr:col>19</xdr:col>
      <xdr:colOff>0</xdr:colOff>
      <xdr:row>0</xdr:row>
      <xdr:rowOff>434831</xdr:rowOff>
    </xdr:to>
    <xdr:pic>
      <xdr:nvPicPr>
        <xdr:cNvPr id="4" name="그림 1255396449">
          <a:extLst>
            <a:ext uri="{FF2B5EF4-FFF2-40B4-BE49-F238E27FC236}">
              <a16:creationId xmlns:a16="http://schemas.microsoft.com/office/drawing/2014/main" id="{B4976626-DE77-4F46-94E3-68BFB7E47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4540" y="60960"/>
          <a:ext cx="1859280" cy="373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216708</xdr:colOff>
      <xdr:row>0</xdr:row>
      <xdr:rowOff>0</xdr:rowOff>
    </xdr:from>
    <xdr:to>
      <xdr:col>19</xdr:col>
      <xdr:colOff>0</xdr:colOff>
      <xdr:row>0</xdr:row>
      <xdr:rowOff>312420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925467-34C8-45EA-ADAE-549C44C5E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86488" y="0"/>
          <a:ext cx="1627332" cy="3124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4&#50900;_3&#50900;&#49892;&#51201;/&#50900;&#44036;_C&amp;ThothPlus_DT&#49324;&#50629;1&#54016;_&#50672;&#51109;&#44540;&#47196;_&#51648;&#44553;&#49345;&#49464;&#54788;&#54889;_&#48324;&#52392;1_202603.xlsx" TargetMode="External"/><Relationship Id="rId2" Type="http://schemas.openxmlformats.org/officeDocument/2006/relationships/externalLinkPath" Target="https://cnthoth.sharepoint.com/teams/SMTeam/Shared%20Documents/General/3-1-0.%20&#49828;&#52992;&#51460;&#44540;&#47924;%20&#49884;&#44036;&#50808;%20&#49688;&#45817;%20&#54408;&#51032;/2026/&#50900;&#48324;%20&#49828;&#52992;&#51572;&#44540;&#47924;%20&#49884;&#44036;&#50808;%20&#49688;&#45817;%20&#54408;&#51032;%20&#48143;%20&#48324;&#52392;&#51088;&#47308;/4&#50900;_3&#50900;&#49892;&#51201;/&#50900;&#44036;_C&amp;ThothPlus_DT&#49324;&#50629;1&#54016;_&#50672;&#51109;&#44540;&#47196;_&#51648;&#44553;&#49345;&#49464;&#54788;&#54889;_&#48324;&#52392;1_202603.xlsx" TargetMode="External"/><Relationship Id="rId1" Type="http://schemas.openxmlformats.org/officeDocument/2006/relationships/externalLinkPath" Target="/teams/SMTeam/Shared%20Documents/General/3-1-0.%20&#49828;&#52992;&#51460;&#44540;&#47924;%20&#49884;&#44036;&#50808;%20&#49688;&#45817;%20&#54408;&#51032;/2026/&#50900;&#48324;%20&#49828;&#52992;&#51572;&#44540;&#47924;%20&#49884;&#44036;&#50808;%20&#49688;&#45817;%20&#54408;&#51032;%20&#48143;%20&#48324;&#52392;&#51088;&#47308;/4&#50900;_3&#50900;&#49892;&#51201;/&#50900;&#44036;_C&amp;ThothPlus_DT&#49324;&#50629;1&#54016;_&#50672;&#51109;&#44540;&#47196;_&#51648;&#44553;&#49345;&#49464;&#54788;&#54889;_&#48324;&#52392;1_202603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3.%20DT1%20&#51064;&#47141;&#54788;&#54889;/DT&#49324;&#50629;1&#54016;%20&#51064;&#47141;&#54788;&#54889;_2026.xlsx" TargetMode="External"/><Relationship Id="rId2" Type="http://schemas.openxmlformats.org/officeDocument/2006/relationships/externalLinkPath" Target="https://cnthoth.sharepoint.com/teams/SMTeam/Shared%20Documents/General/3.%20DT1%20&#51064;&#47141;&#54788;&#54889;/DT&#49324;&#50629;1&#54016;%20&#51064;&#47141;&#54788;&#54889;_2026.xlsx" TargetMode="External"/><Relationship Id="rId1" Type="http://schemas.openxmlformats.org/officeDocument/2006/relationships/externalLinkPath" Target="/teams/SMTeam/Shared%20Documents/General/3.%20DT1%20&#51064;&#47141;&#54788;&#54889;/DT&#49324;&#50629;1&#54016;%20&#51064;&#47141;&#54788;&#54889;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별첨1"/>
      <sheetName val="별첨1_수정"/>
      <sheetName val="검증_1"/>
      <sheetName val="계산식"/>
      <sheetName val="인력현황_202604"/>
      <sheetName val="검증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F2" t="str">
            <v>성명</v>
          </cell>
          <cell r="G2" t="str">
            <v>직급</v>
          </cell>
          <cell r="H2" t="str">
            <v>기술등급</v>
          </cell>
          <cell r="I2" t="str">
            <v>계약등급</v>
          </cell>
          <cell r="J2" t="str">
            <v>계약형태</v>
          </cell>
          <cell r="K2" t="str">
            <v>직무명</v>
          </cell>
          <cell r="L2" t="str">
            <v>비고</v>
          </cell>
          <cell r="M2" t="str">
            <v>사무실</v>
          </cell>
          <cell r="N2" t="str">
            <v>핸드폰</v>
          </cell>
          <cell r="O2" t="str">
            <v>e메일</v>
          </cell>
          <cell r="P2" t="str">
            <v>생년월일</v>
          </cell>
          <cell r="Q2" t="str">
            <v>경력기준일</v>
          </cell>
          <cell r="R2" t="str">
            <v>입사일1</v>
          </cell>
          <cell r="S2" t="str">
            <v>입사일2
(플러스 전환)</v>
          </cell>
          <cell r="T2" t="str">
            <v>출신교</v>
          </cell>
          <cell r="U2" t="str">
            <v>전공학과</v>
          </cell>
          <cell r="V2" t="str">
            <v>최종학력</v>
          </cell>
          <cell r="W2" t="str">
            <v>자격증 1</v>
          </cell>
          <cell r="X2" t="str">
            <v>자격증2</v>
          </cell>
          <cell r="Y2" t="str">
            <v>자격증 3</v>
          </cell>
          <cell r="Z2" t="str">
            <v>총경력</v>
          </cell>
          <cell r="AA2" t="str">
            <v>근속기간</v>
          </cell>
          <cell r="AB2" t="str">
            <v>퇴사일
or 프리계약 
종료일</v>
          </cell>
          <cell r="AC2" t="str">
            <v>퇴사사유</v>
          </cell>
          <cell r="AD2" t="str">
            <v>근무지1</v>
          </cell>
          <cell r="AE2" t="str">
            <v>근무지2_최종</v>
          </cell>
          <cell r="AF2" t="str">
            <v>2025
_사업분류</v>
          </cell>
          <cell r="AG2" t="str">
            <v>2026
_사업분류</v>
          </cell>
          <cell r="AH2" t="str">
            <v>매출처</v>
          </cell>
          <cell r="AI2" t="str">
            <v>On-Site</v>
          </cell>
          <cell r="AJ2" t="str">
            <v>의욕관리대상</v>
          </cell>
          <cell r="AK2" t="str">
            <v>우편번호</v>
          </cell>
          <cell r="AL2" t="str">
            <v>근무지주소(신)</v>
          </cell>
          <cell r="AM2" t="str">
            <v>집우편번호</v>
          </cell>
          <cell r="AN2" t="str">
            <v>집주소(신)</v>
          </cell>
          <cell r="AO2" t="str">
            <v>고객사소속팀</v>
          </cell>
          <cell r="AP2" t="str">
            <v>Part</v>
          </cell>
          <cell r="AQ2" t="str">
            <v>담당업무1</v>
          </cell>
          <cell r="AR2" t="str">
            <v>담당업무2</v>
          </cell>
          <cell r="AS2" t="str">
            <v>계약명/Pjt명</v>
          </cell>
          <cell r="AT2" t="str">
            <v>근무유형</v>
          </cell>
          <cell r="AU2" t="str">
            <v>소속구분</v>
          </cell>
          <cell r="AV2" t="str">
            <v>소속사</v>
          </cell>
          <cell r="AW2" t="str">
            <v>월매출단가_직전</v>
          </cell>
          <cell r="AX2" t="str">
            <v xml:space="preserve">월매출단가_현재 </v>
          </cell>
          <cell r="AY2" t="str">
            <v>M/M</v>
          </cell>
          <cell r="AZ2" t="str">
            <v>년매출액</v>
          </cell>
          <cell r="BA2" t="str">
            <v>월외주비
_직전</v>
          </cell>
          <cell r="BB2" t="str">
            <v>월외주비
_현재</v>
          </cell>
          <cell r="BC2" t="str">
            <v>마지막 연봉
적용일</v>
          </cell>
          <cell r="BD2" t="str">
            <v>전전연봉</v>
          </cell>
          <cell r="BE2" t="str">
            <v>직전 연봉</v>
          </cell>
          <cell r="BF2" t="str">
            <v>현재 연봉_2026</v>
          </cell>
          <cell r="BG2" t="str">
            <v>월급여총액</v>
          </cell>
          <cell r="BH2" t="str">
            <v>기본급/월_신기준</v>
          </cell>
          <cell r="BI2" t="str">
            <v>통상시급</v>
          </cell>
          <cell r="BJ2" t="str">
            <v>기본급
구성시간</v>
          </cell>
          <cell r="BK2" t="str">
            <v>월 평균 
고정 연장 
근로시간</v>
          </cell>
          <cell r="BL2" t="str">
            <v>월 평균
고정 야간
근로시간</v>
          </cell>
          <cell r="BM2" t="str">
            <v>고정연장근로
가산수당</v>
          </cell>
          <cell r="BN2" t="str">
            <v>고정야간근로
가산수당</v>
          </cell>
          <cell r="BO2" t="str">
            <v>식대/월</v>
          </cell>
          <cell r="BP2" t="str">
            <v>원가B:년평균
휴일근로수당</v>
          </cell>
          <cell r="BQ2" t="str">
            <v>최저임금비교</v>
          </cell>
          <cell r="BR2" t="str">
            <v>비고
(기타지급/월)</v>
          </cell>
          <cell r="BS2" t="str">
            <v>평균연차수당
(통상:5일기준, 스케줄:100시간기준)</v>
          </cell>
          <cell r="BT2" t="str">
            <v>퇴직충당</v>
          </cell>
          <cell r="BU2" t="str">
            <v>국민연금</v>
          </cell>
          <cell r="BV2" t="str">
            <v>`26_건강보험
(요양보험포함)</v>
          </cell>
          <cell r="BW2" t="str">
            <v>`26_고용보험(150~1,000미만)</v>
          </cell>
          <cell r="BX2" t="str">
            <v>`26_산재
보험</v>
          </cell>
          <cell r="BY2" t="str">
            <v>월인건비_원가</v>
          </cell>
          <cell r="BZ2" t="str">
            <v>직접인건비</v>
          </cell>
          <cell r="CA2" t="str">
            <v>간접인건비</v>
          </cell>
          <cell r="CB2" t="str">
            <v>원가A:인건비계(원가)
(정직원:연봉의 1.25배 적용)</v>
          </cell>
          <cell r="CC2" t="str">
            <v>연간매출이익
(매출액-원가A-원가B*1.21)</v>
          </cell>
          <cell r="CD2" t="str">
            <v>매출이익률(%)</v>
          </cell>
        </row>
        <row r="3">
          <cell r="F3"/>
          <cell r="G3"/>
          <cell r="H3" t="str">
            <v>중급상</v>
          </cell>
          <cell r="I3" t="str">
            <v>중급기술자</v>
          </cell>
          <cell r="J3" t="str">
            <v>유지보수(FTE)</v>
          </cell>
          <cell r="K3" t="str">
            <v>응용프로그래머</v>
          </cell>
          <cell r="L3" t="str">
            <v>2019_신규</v>
          </cell>
          <cell r="M3"/>
          <cell r="N3" t="str">
            <v>010-8585-5281</v>
          </cell>
          <cell r="O3" t="str">
            <v>atmnet@naver.com</v>
          </cell>
          <cell r="P3" t="str">
            <v>761007-1</v>
          </cell>
          <cell r="Q3">
            <v>37304</v>
          </cell>
          <cell r="R3">
            <v>43586</v>
          </cell>
          <cell r="S3"/>
          <cell r="T3" t="str">
            <v>안동대학교</v>
          </cell>
          <cell r="U3" t="str">
            <v>정보통신공학과</v>
          </cell>
          <cell r="V3"/>
          <cell r="W3"/>
          <cell r="X3"/>
          <cell r="Y3"/>
          <cell r="Z3">
            <v>8849</v>
          </cell>
          <cell r="AA3">
            <v>2567</v>
          </cell>
          <cell r="AB3">
            <v>46387</v>
          </cell>
          <cell r="AC3"/>
          <cell r="AD3"/>
          <cell r="AE3"/>
          <cell r="AF3" t="str">
            <v>2. Network Service</v>
          </cell>
          <cell r="AG3" t="str">
            <v>2. Network Service</v>
          </cell>
          <cell r="AH3" t="str">
            <v>SK AX</v>
          </cell>
          <cell r="AI3" t="str">
            <v>SK그룹사(공통)</v>
          </cell>
          <cell r="AJ3"/>
          <cell r="AK3">
            <v>13486</v>
          </cell>
          <cell r="AL3" t="str">
            <v>경기도 성남시 분당구 판교로 255번길 46 SK C&amp;C 판교캠퍼스 A동 4층</v>
          </cell>
          <cell r="AM3" t="str">
            <v>14772</v>
          </cell>
          <cell r="AN3" t="str">
            <v>경기도 부천시 소사동로72번길 32 소새울역중흥S클래스아파트 409동 304호</v>
          </cell>
          <cell r="AO3" t="str">
            <v>Network Service팀</v>
          </cell>
          <cell r="AP3" t="str">
            <v>SK_NOBS MA</v>
          </cell>
          <cell r="AQ3" t="str">
            <v>프로그램 개발</v>
          </cell>
          <cell r="AR3" t="str">
            <v>고객 요청 대응</v>
          </cell>
          <cell r="AS3" t="str">
            <v>고객사 공통 / 2026년_회선서비스1(4500303393-01)</v>
          </cell>
          <cell r="AT3"/>
          <cell r="AU3" t="str">
            <v>프리랜서</v>
          </cell>
          <cell r="AV3" t="str">
            <v>개인(사업소득)</v>
          </cell>
          <cell r="AW3">
            <v>1500000</v>
          </cell>
          <cell r="AX3">
            <v>1500000</v>
          </cell>
          <cell r="AY3">
            <v>12</v>
          </cell>
          <cell r="AZ3">
            <v>18000000</v>
          </cell>
          <cell r="BA3">
            <v>1000000</v>
          </cell>
          <cell r="BB3">
            <v>1000000</v>
          </cell>
          <cell r="BC3">
            <v>43586</v>
          </cell>
          <cell r="BD3"/>
          <cell r="BE3"/>
          <cell r="BF3"/>
          <cell r="BG3"/>
          <cell r="BH3"/>
          <cell r="BI3"/>
          <cell r="BJ3"/>
          <cell r="BK3"/>
          <cell r="BL3"/>
          <cell r="BM3"/>
          <cell r="BN3"/>
          <cell r="BO3"/>
          <cell r="BP3"/>
          <cell r="BQ3"/>
          <cell r="BR3"/>
          <cell r="BS3"/>
          <cell r="BT3"/>
          <cell r="BU3"/>
          <cell r="BV3"/>
          <cell r="BW3" t="str">
            <v>해당없음</v>
          </cell>
          <cell r="BX3">
            <v>2210</v>
          </cell>
          <cell r="BY3">
            <v>1000000</v>
          </cell>
          <cell r="BZ3"/>
          <cell r="CA3"/>
          <cell r="CB3">
            <v>12026520</v>
          </cell>
          <cell r="CC3">
            <v>5973480</v>
          </cell>
          <cell r="CD3">
            <v>33.186</v>
          </cell>
        </row>
        <row r="4">
          <cell r="F4" t="str">
            <v>김병호</v>
          </cell>
          <cell r="G4" t="str">
            <v>차장</v>
          </cell>
          <cell r="H4" t="str">
            <v>중급상</v>
          </cell>
          <cell r="I4" t="str">
            <v>중급기술자</v>
          </cell>
          <cell r="J4" t="str">
            <v>하도급(M/M)</v>
          </cell>
          <cell r="K4" t="str">
            <v>네트워크엔지니어</v>
          </cell>
          <cell r="L4" t="str">
            <v>2023-01-11부 프리전환</v>
          </cell>
          <cell r="M4" t="str">
            <v>02-6266-2397</v>
          </cell>
          <cell r="N4" t="str">
            <v>010-9154-5103</v>
          </cell>
          <cell r="O4" t="str">
            <v>howpc80@cnthoth.com</v>
          </cell>
          <cell r="P4" t="str">
            <v>800810-1</v>
          </cell>
          <cell r="Q4">
            <v>37865</v>
          </cell>
          <cell r="R4">
            <v>44937</v>
          </cell>
          <cell r="S4"/>
          <cell r="T4" t="str">
            <v>북공고</v>
          </cell>
          <cell r="U4"/>
          <cell r="V4" t="str">
            <v>고졸</v>
          </cell>
          <cell r="W4" t="str">
            <v>CCNA</v>
          </cell>
          <cell r="X4" t="str">
            <v>CCNP</v>
          </cell>
          <cell r="Y4"/>
          <cell r="Z4">
            <v>8288</v>
          </cell>
          <cell r="AA4">
            <v>1216</v>
          </cell>
          <cell r="AB4">
            <v>46203</v>
          </cell>
          <cell r="AC4"/>
          <cell r="AD4" t="str">
            <v>SKB 7층_동작</v>
          </cell>
          <cell r="AE4" t="str">
            <v>서울특별시</v>
          </cell>
          <cell r="AF4" t="str">
            <v>4. SKB/SK하이닉스 Infra 운영</v>
          </cell>
          <cell r="AG4" t="str">
            <v>4. SKB/SK하이닉스 Infra 운영</v>
          </cell>
          <cell r="AH4" t="str">
            <v>SK AX</v>
          </cell>
          <cell r="AI4" t="str">
            <v>SKB(동작)</v>
          </cell>
          <cell r="AJ4"/>
          <cell r="AK4" t="str">
            <v>07063</v>
          </cell>
          <cell r="AL4" t="str">
            <v>서울시 동작구 여의대방로 74 (신대방동) SK브로드밴드 7층</v>
          </cell>
          <cell r="AM4" t="str">
            <v>01229</v>
          </cell>
          <cell r="AN4" t="str">
            <v>서울특별시 강북구 한천로 105길 24, 211동 1320호 (번동, 번동2단지주공아파트)</v>
          </cell>
          <cell r="AO4" t="str">
            <v>ICT Cloud팀</v>
          </cell>
          <cell r="AP4" t="str">
            <v>SKB N/W 운영</v>
          </cell>
          <cell r="AQ4" t="str">
            <v>L3 운영</v>
          </cell>
          <cell r="AR4"/>
          <cell r="AS4" t="str">
            <v>에스케이브로드밴드(주) / SKB 26년 IT장비 및 소프트웨어 유지보수_1분기(4500302989-01)</v>
          </cell>
          <cell r="AT4" t="str">
            <v>통상</v>
          </cell>
          <cell r="AU4" t="str">
            <v>프리랜서</v>
          </cell>
          <cell r="AV4" t="str">
            <v>개인(사업소득)</v>
          </cell>
          <cell r="AW4">
            <v>6488000</v>
          </cell>
          <cell r="AX4">
            <v>6488000</v>
          </cell>
          <cell r="AY4">
            <v>12</v>
          </cell>
          <cell r="AZ4">
            <v>77856000</v>
          </cell>
          <cell r="BA4">
            <v>4800000</v>
          </cell>
          <cell r="BB4">
            <v>4900000</v>
          </cell>
          <cell r="BC4">
            <v>45839</v>
          </cell>
          <cell r="BD4"/>
          <cell r="BE4"/>
          <cell r="BF4"/>
          <cell r="BG4"/>
          <cell r="BH4"/>
          <cell r="BI4"/>
          <cell r="BJ4"/>
          <cell r="BK4"/>
          <cell r="BL4"/>
          <cell r="BM4"/>
          <cell r="BN4"/>
          <cell r="BO4"/>
          <cell r="BP4"/>
          <cell r="BQ4"/>
          <cell r="BR4"/>
          <cell r="BS4"/>
          <cell r="BT4"/>
          <cell r="BU4"/>
          <cell r="BV4"/>
          <cell r="BW4">
            <v>31000</v>
          </cell>
          <cell r="BX4">
            <v>10850</v>
          </cell>
          <cell r="BY4">
            <v>4900000</v>
          </cell>
          <cell r="BZ4"/>
          <cell r="CA4"/>
          <cell r="CB4">
            <v>59302200</v>
          </cell>
          <cell r="CC4">
            <v>18553800</v>
          </cell>
          <cell r="CD4">
            <v>23.830918618988903</v>
          </cell>
        </row>
        <row r="5">
          <cell r="F5" t="str">
            <v>이규동</v>
          </cell>
          <cell r="G5" t="str">
            <v>과장</v>
          </cell>
          <cell r="H5" t="str">
            <v>중급상</v>
          </cell>
          <cell r="I5" t="str">
            <v>중급기술자</v>
          </cell>
          <cell r="J5" t="str">
            <v>하도급(FTE)</v>
          </cell>
          <cell r="K5" t="str">
            <v>DBA</v>
          </cell>
          <cell r="L5" t="str">
            <v>2023-08-08부 프리전환</v>
          </cell>
          <cell r="M5" t="str">
            <v>02-6400-8856</v>
          </cell>
          <cell r="N5" t="str">
            <v>010-7574-1133</v>
          </cell>
          <cell r="O5" t="str">
            <v>puma7574@cnthoth.com</v>
          </cell>
          <cell r="P5" t="str">
            <v>830710-1</v>
          </cell>
          <cell r="Q5">
            <v>40118</v>
          </cell>
          <cell r="R5">
            <v>45146</v>
          </cell>
          <cell r="S5"/>
          <cell r="T5" t="str">
            <v>성남서고등학교</v>
          </cell>
          <cell r="U5"/>
          <cell r="V5" t="str">
            <v>고졸</v>
          </cell>
          <cell r="W5"/>
          <cell r="X5"/>
          <cell r="Y5"/>
          <cell r="Z5">
            <v>6035</v>
          </cell>
          <cell r="AA5">
            <v>1007</v>
          </cell>
          <cell r="AB5">
            <v>46203</v>
          </cell>
          <cell r="AC5"/>
          <cell r="AD5" t="str">
            <v>분당지웰푸르지오_수내</v>
          </cell>
          <cell r="AE5" t="str">
            <v>경기도</v>
          </cell>
          <cell r="AF5" t="str">
            <v>1. Infra 운영</v>
          </cell>
          <cell r="AG5" t="str">
            <v>1. Infra 운영</v>
          </cell>
          <cell r="AH5" t="str">
            <v>SK AX</v>
          </cell>
          <cell r="AI5" t="str">
            <v>SK그룹사(공통)</v>
          </cell>
          <cell r="AJ5"/>
          <cell r="AK5">
            <v>13594</v>
          </cell>
          <cell r="AL5" t="str">
            <v>경기도 성남시 분당구 수내로 39 분당지웰푸르지오아파트 오피스 6층</v>
          </cell>
          <cell r="AM5" t="str">
            <v>05849</v>
          </cell>
          <cell r="AN5" t="str">
            <v>서울특별시 송파구 위례광장로 170, 102동 401호 (장지동, 힐스테이트 송파위례)</v>
          </cell>
          <cell r="AO5" t="str">
            <v>T Biz. Cloud팀</v>
          </cell>
          <cell r="AP5" t="str">
            <v>DB 운영</v>
          </cell>
          <cell r="AQ5" t="str">
            <v>Oracle 운영</v>
          </cell>
          <cell r="AR5" t="str">
            <v>고객 요청 처리</v>
          </cell>
          <cell r="AS5" t="str">
            <v>고객사 공통 / 2026년_인프라운영_HC12_1분기(4500303380-01)</v>
          </cell>
          <cell r="AT5" t="str">
            <v>통상</v>
          </cell>
          <cell r="AU5" t="str">
            <v>프리랜서</v>
          </cell>
          <cell r="AV5" t="str">
            <v>개인(사업소득)</v>
          </cell>
          <cell r="AW5">
            <v>5989000</v>
          </cell>
          <cell r="AX5">
            <v>5989000</v>
          </cell>
          <cell r="AY5">
            <v>12</v>
          </cell>
          <cell r="AZ5">
            <v>71868000</v>
          </cell>
          <cell r="BA5">
            <v>5100000</v>
          </cell>
          <cell r="BB5">
            <v>5200000</v>
          </cell>
          <cell r="BC5">
            <v>45839</v>
          </cell>
          <cell r="BD5"/>
          <cell r="BE5"/>
          <cell r="BF5"/>
          <cell r="BG5"/>
          <cell r="BH5"/>
          <cell r="BI5"/>
          <cell r="BJ5"/>
          <cell r="BK5"/>
          <cell r="BL5"/>
          <cell r="BM5"/>
          <cell r="BN5"/>
          <cell r="BO5"/>
          <cell r="BP5"/>
          <cell r="BQ5"/>
          <cell r="BR5"/>
          <cell r="BS5"/>
          <cell r="BT5"/>
          <cell r="BU5"/>
          <cell r="BV5"/>
          <cell r="BW5">
            <v>32900</v>
          </cell>
          <cell r="BX5">
            <v>11510</v>
          </cell>
          <cell r="BY5">
            <v>5200000</v>
          </cell>
          <cell r="BZ5"/>
          <cell r="CA5"/>
          <cell r="CB5">
            <v>62932920</v>
          </cell>
          <cell r="CC5">
            <v>8935080</v>
          </cell>
          <cell r="CD5">
            <v>12.432626481883453</v>
          </cell>
        </row>
        <row r="6">
          <cell r="F6" t="str">
            <v>박현성</v>
          </cell>
          <cell r="G6" t="str">
            <v>과장</v>
          </cell>
          <cell r="H6" t="str">
            <v>중급하</v>
          </cell>
          <cell r="I6" t="str">
            <v>중급기술자</v>
          </cell>
          <cell r="J6" t="str">
            <v>하도급(M/M)</v>
          </cell>
          <cell r="K6" t="str">
            <v>네트워크엔지니어</v>
          </cell>
          <cell r="L6" t="str">
            <v>2023-10-01부 프리전환</v>
          </cell>
          <cell r="M6"/>
          <cell r="N6" t="str">
            <v>010-2037-1515</v>
          </cell>
          <cell r="O6" t="str">
            <v>dortus535@cnthoth.com</v>
          </cell>
          <cell r="P6" t="str">
            <v>861001-1</v>
          </cell>
          <cell r="Q6">
            <v>40299</v>
          </cell>
          <cell r="R6">
            <v>45200</v>
          </cell>
          <cell r="S6"/>
          <cell r="T6" t="str">
            <v>방송통신대학교</v>
          </cell>
          <cell r="U6" t="str">
            <v>컴퓨터학과</v>
          </cell>
          <cell r="V6" t="str">
            <v>대졸예정</v>
          </cell>
          <cell r="W6"/>
          <cell r="X6"/>
          <cell r="Y6"/>
          <cell r="Z6">
            <v>5854</v>
          </cell>
          <cell r="AA6">
            <v>953</v>
          </cell>
          <cell r="AB6">
            <v>46203</v>
          </cell>
          <cell r="AC6"/>
          <cell r="AD6" t="str">
            <v>SK AX A동 4F_판교</v>
          </cell>
          <cell r="AE6" t="str">
            <v>경기도</v>
          </cell>
          <cell r="AF6" t="str">
            <v>1. Infra 운영</v>
          </cell>
          <cell r="AG6" t="str">
            <v>1. Infra 운영</v>
          </cell>
          <cell r="AH6" t="str">
            <v>SK AX</v>
          </cell>
          <cell r="AI6" t="str">
            <v>SKT(판교/SKT성수국사)</v>
          </cell>
          <cell r="AJ6"/>
          <cell r="AK6">
            <v>35259</v>
          </cell>
          <cell r="AL6" t="str">
            <v>경기도 성남시 분당구 판교로 255번길 46 SK C&amp;C 판교캠퍼스 A동 4층</v>
          </cell>
          <cell r="AM6" t="str">
            <v>06611</v>
          </cell>
          <cell r="AN6" t="str">
            <v xml:space="preserve">서울특별시 서초구 서초대로73길 54, 1412호 (서초동, 서초동 오피스텔) </v>
          </cell>
          <cell r="AO6" t="str">
            <v>Network Service팀</v>
          </cell>
          <cell r="AP6" t="str">
            <v>SKT N/W 구축 및 MA</v>
          </cell>
          <cell r="AQ6" t="str">
            <v>구축 및 유지보수</v>
          </cell>
          <cell r="AR6"/>
          <cell r="AS6" t="str">
            <v>에스케이텔레콤(주) / SKT 25년 SDN IP장비 유지보수 용역계약_26년1분기 (4500302287-01)</v>
          </cell>
          <cell r="AT6" t="str">
            <v>통상</v>
          </cell>
          <cell r="AU6" t="str">
            <v>프리랜서</v>
          </cell>
          <cell r="AV6" t="str">
            <v>개인(사업소득)</v>
          </cell>
          <cell r="AW6">
            <v>5461000</v>
          </cell>
          <cell r="AX6">
            <v>5461000</v>
          </cell>
          <cell r="AY6">
            <v>12</v>
          </cell>
          <cell r="AZ6">
            <v>65532000</v>
          </cell>
          <cell r="BA6">
            <v>4200000</v>
          </cell>
          <cell r="BB6">
            <v>4300000</v>
          </cell>
          <cell r="BC6">
            <v>45839</v>
          </cell>
          <cell r="BD6"/>
          <cell r="BE6"/>
          <cell r="BF6"/>
          <cell r="BG6"/>
          <cell r="BH6"/>
          <cell r="BI6"/>
          <cell r="BJ6"/>
          <cell r="BK6"/>
          <cell r="BL6"/>
          <cell r="BM6"/>
          <cell r="BN6"/>
          <cell r="BO6"/>
          <cell r="BP6"/>
          <cell r="BQ6"/>
          <cell r="BR6"/>
          <cell r="BS6"/>
          <cell r="BT6"/>
          <cell r="BU6"/>
          <cell r="BV6"/>
          <cell r="BW6">
            <v>27210</v>
          </cell>
          <cell r="BX6">
            <v>9520</v>
          </cell>
          <cell r="BY6">
            <v>4300000</v>
          </cell>
          <cell r="BZ6"/>
          <cell r="CA6"/>
          <cell r="CB6">
            <v>52040760</v>
          </cell>
          <cell r="CC6">
            <v>13491240</v>
          </cell>
          <cell r="CD6">
            <v>20.587255081486909</v>
          </cell>
        </row>
        <row r="7">
          <cell r="F7" t="str">
            <v>김교원</v>
          </cell>
          <cell r="G7" t="str">
            <v>부장</v>
          </cell>
          <cell r="H7" t="str">
            <v>특급</v>
          </cell>
          <cell r="I7" t="str">
            <v>특급기술자</v>
          </cell>
          <cell r="J7" t="str">
            <v>하도급(M/M)</v>
          </cell>
          <cell r="K7" t="str">
            <v>PMO</v>
          </cell>
          <cell r="L7" t="str">
            <v>2025-01-01부 프리전환</v>
          </cell>
          <cell r="M7"/>
          <cell r="N7" t="str">
            <v>010-5470-0657</v>
          </cell>
          <cell r="O7" t="str">
            <v>gk03449@cnthoth.com</v>
          </cell>
          <cell r="P7" t="str">
            <v>740212-1</v>
          </cell>
          <cell r="Q7">
            <v>34700</v>
          </cell>
          <cell r="R7">
            <v>45658</v>
          </cell>
          <cell r="S7"/>
          <cell r="T7" t="str">
            <v>동서울대학교</v>
          </cell>
          <cell r="U7" t="str">
            <v>전자계산학과</v>
          </cell>
          <cell r="V7" t="str">
            <v>전문대중퇴</v>
          </cell>
          <cell r="W7"/>
          <cell r="X7"/>
          <cell r="Y7"/>
          <cell r="Z7">
            <v>11453</v>
          </cell>
          <cell r="AA7">
            <v>495</v>
          </cell>
          <cell r="AB7">
            <v>46203</v>
          </cell>
          <cell r="AC7"/>
          <cell r="AD7" t="str">
            <v>SKB_수유 1F</v>
          </cell>
          <cell r="AE7" t="str">
            <v>서울특별시</v>
          </cell>
          <cell r="AF7" t="str">
            <v>3. 콜센터 &amp; 금융 &amp; 기타</v>
          </cell>
          <cell r="AG7" t="str">
            <v>3. 콜센터 &amp; 금융 &amp; 기타</v>
          </cell>
          <cell r="AH7" t="str">
            <v>SK AX</v>
          </cell>
          <cell r="AI7" t="str">
            <v>SKB(수유)</v>
          </cell>
          <cell r="AJ7"/>
          <cell r="AK7" t="str">
            <v>01133</v>
          </cell>
          <cell r="AL7" t="str">
            <v>서울시 강북구 도봉로 238 1층 SKB 미디어운용센터</v>
          </cell>
          <cell r="AM7" t="str">
            <v>22142</v>
          </cell>
          <cell r="AN7" t="str">
            <v>인천광역시 미추홀구 주안로205번길 18, 202호 (주안동, 대명리츠빌)</v>
          </cell>
          <cell r="AO7" t="str">
            <v>ICT Cloud팀</v>
          </cell>
          <cell r="AP7"/>
          <cell r="AQ7" t="str">
            <v>PMO</v>
          </cell>
          <cell r="AR7" t="str">
            <v>PMO</v>
          </cell>
          <cell r="AS7" t="str">
            <v>에스케이브로드밴드(주) / SKB '25년 미디어 통합 유지보수(4500301890-01)</v>
          </cell>
          <cell r="AT7" t="str">
            <v>통상</v>
          </cell>
          <cell r="AU7" t="str">
            <v>프리랜서</v>
          </cell>
          <cell r="AV7" t="str">
            <v>개인(사업소득)</v>
          </cell>
          <cell r="AW7">
            <v>12500000</v>
          </cell>
          <cell r="AX7">
            <v>12700000</v>
          </cell>
          <cell r="AY7">
            <v>12</v>
          </cell>
          <cell r="AZ7">
            <v>152400000</v>
          </cell>
          <cell r="BA7">
            <v>10000000</v>
          </cell>
          <cell r="BB7">
            <v>10100000</v>
          </cell>
          <cell r="BC7">
            <v>46023</v>
          </cell>
          <cell r="BD7"/>
          <cell r="BE7"/>
          <cell r="BF7"/>
          <cell r="BG7"/>
          <cell r="BH7"/>
          <cell r="BI7"/>
          <cell r="BJ7"/>
          <cell r="BK7"/>
          <cell r="BL7"/>
          <cell r="BM7"/>
          <cell r="BN7"/>
          <cell r="BO7"/>
          <cell r="BP7"/>
          <cell r="BQ7"/>
          <cell r="BR7"/>
          <cell r="BS7"/>
          <cell r="BT7"/>
          <cell r="BU7"/>
          <cell r="BV7"/>
          <cell r="BW7">
            <v>63910</v>
          </cell>
          <cell r="BX7">
            <v>22360</v>
          </cell>
          <cell r="BY7">
            <v>10100000</v>
          </cell>
          <cell r="BZ7"/>
          <cell r="CA7"/>
          <cell r="CB7">
            <v>122235240</v>
          </cell>
          <cell r="CC7">
            <v>30164760</v>
          </cell>
          <cell r="CD7">
            <v>19.793149606299213</v>
          </cell>
        </row>
        <row r="8">
          <cell r="F8" t="str">
            <v>하상국</v>
          </cell>
          <cell r="G8" t="str">
            <v>부장</v>
          </cell>
          <cell r="H8" t="str">
            <v>중급하</v>
          </cell>
          <cell r="I8" t="str">
            <v>중급기술자</v>
          </cell>
          <cell r="J8" t="str">
            <v>하도급(M/M)</v>
          </cell>
          <cell r="K8" t="str">
            <v>네트워크엔지니어</v>
          </cell>
          <cell r="L8" t="str">
            <v>2025-04-01부 프리전환</v>
          </cell>
          <cell r="M8"/>
          <cell r="N8" t="str">
            <v>010-5353-0680</v>
          </cell>
          <cell r="O8" t="str">
            <v>alina75@cnthoth.com</v>
          </cell>
          <cell r="P8" t="str">
            <v>750529-1</v>
          </cell>
          <cell r="Q8">
            <v>37561</v>
          </cell>
          <cell r="R8">
            <v>45748</v>
          </cell>
          <cell r="S8"/>
          <cell r="T8" t="str">
            <v>동서울대학교</v>
          </cell>
          <cell r="U8" t="str">
            <v>컴퓨터소프트웨어과</v>
          </cell>
          <cell r="V8" t="str">
            <v>전문대졸</v>
          </cell>
          <cell r="W8"/>
          <cell r="X8"/>
          <cell r="Y8"/>
          <cell r="Z8">
            <v>8592</v>
          </cell>
          <cell r="AA8">
            <v>405</v>
          </cell>
          <cell r="AB8">
            <v>46203</v>
          </cell>
          <cell r="AC8"/>
          <cell r="AD8" t="str">
            <v>SK AX_판교 B동</v>
          </cell>
          <cell r="AE8" t="str">
            <v>경기도</v>
          </cell>
          <cell r="AF8" t="str">
            <v>1. Infra 운영</v>
          </cell>
          <cell r="AG8" t="str">
            <v>1. Infra 운영</v>
          </cell>
          <cell r="AH8" t="str">
            <v>SK AX</v>
          </cell>
          <cell r="AI8" t="str">
            <v>SKT(판교/SKT성수국사)</v>
          </cell>
          <cell r="AJ8"/>
          <cell r="AK8">
            <v>13486</v>
          </cell>
          <cell r="AL8" t="str">
            <v>경기도 성남시 분당구 판교로 255번길 46 SK C&amp;C 판교캠퍼스 A동 4층</v>
          </cell>
          <cell r="AM8">
            <v>11939</v>
          </cell>
          <cell r="AN8" t="str">
            <v>경기도 구리시 체육관로 69, 201동 304호 (교문동, 하나아파트)</v>
          </cell>
          <cell r="AO8" t="str">
            <v>Network Service팀</v>
          </cell>
          <cell r="AP8" t="str">
            <v>SKT N/W 구축 및 MA</v>
          </cell>
          <cell r="AQ8" t="str">
            <v>구축 및 유지보수</v>
          </cell>
          <cell r="AR8"/>
          <cell r="AS8" t="str">
            <v>에스케이텔레콤(주) / SKT 25년 SDN IP장비 유지보수 용역계약_26년1분기 (4500302287-01)</v>
          </cell>
          <cell r="AT8" t="str">
            <v>통상</v>
          </cell>
          <cell r="AU8" t="str">
            <v>프리랜서</v>
          </cell>
          <cell r="AV8" t="str">
            <v>개인(사업소득)</v>
          </cell>
          <cell r="AW8">
            <v>5674000</v>
          </cell>
          <cell r="AX8">
            <v>5674000</v>
          </cell>
          <cell r="AY8">
            <v>12</v>
          </cell>
          <cell r="AZ8">
            <v>68088000</v>
          </cell>
          <cell r="BA8">
            <v>4700000</v>
          </cell>
          <cell r="BB8">
            <v>4850000</v>
          </cell>
          <cell r="BC8">
            <v>46023</v>
          </cell>
          <cell r="BD8"/>
          <cell r="BE8"/>
          <cell r="BF8"/>
          <cell r="BG8"/>
          <cell r="BH8"/>
          <cell r="BI8"/>
          <cell r="BJ8"/>
          <cell r="BK8"/>
          <cell r="BL8"/>
          <cell r="BM8"/>
          <cell r="BN8"/>
          <cell r="BO8"/>
          <cell r="BP8"/>
          <cell r="BQ8"/>
          <cell r="BR8"/>
          <cell r="BS8"/>
          <cell r="BT8"/>
          <cell r="BU8"/>
          <cell r="BV8"/>
          <cell r="BW8">
            <v>30690</v>
          </cell>
          <cell r="BX8">
            <v>10740</v>
          </cell>
          <cell r="BY8">
            <v>4850000</v>
          </cell>
          <cell r="BZ8"/>
          <cell r="CA8"/>
          <cell r="CB8">
            <v>58697160</v>
          </cell>
          <cell r="CC8">
            <v>9390840</v>
          </cell>
          <cell r="CD8">
            <v>13.792210081071554</v>
          </cell>
        </row>
        <row r="9">
          <cell r="F9" t="str">
            <v>이경호</v>
          </cell>
          <cell r="G9" t="str">
            <v>차장</v>
          </cell>
          <cell r="H9" t="str">
            <v>중급상</v>
          </cell>
          <cell r="I9" t="str">
            <v>중급기술자</v>
          </cell>
          <cell r="J9" t="str">
            <v>하도급(M/M)</v>
          </cell>
          <cell r="K9" t="str">
            <v>DBA</v>
          </cell>
          <cell r="L9" t="str">
            <v>홍민지 후임</v>
          </cell>
          <cell r="M9"/>
          <cell r="N9" t="str">
            <v>010-2695-6654</v>
          </cell>
          <cell r="O9"/>
          <cell r="P9" t="str">
            <v>800117-1</v>
          </cell>
          <cell r="Q9">
            <v>40183</v>
          </cell>
          <cell r="R9">
            <v>46027</v>
          </cell>
          <cell r="S9"/>
          <cell r="T9" t="str">
            <v>성공회대학교</v>
          </cell>
          <cell r="U9" t="str">
            <v>전산정보공학과</v>
          </cell>
          <cell r="V9" t="str">
            <v>대졸</v>
          </cell>
          <cell r="W9" t="str">
            <v>SQL개발자</v>
          </cell>
          <cell r="X9" t="str">
            <v>OCP</v>
          </cell>
          <cell r="Y9" t="str">
            <v>정보처리기사 외</v>
          </cell>
          <cell r="Z9">
            <v>5970</v>
          </cell>
          <cell r="AA9">
            <v>126</v>
          </cell>
          <cell r="AB9">
            <v>46387</v>
          </cell>
          <cell r="AC9"/>
          <cell r="AD9" t="str">
            <v>파라다이스_퇴계로</v>
          </cell>
          <cell r="AE9" t="str">
            <v>서울특별시</v>
          </cell>
          <cell r="AF9" t="str">
            <v>3. 콜센터 &amp; 금융 &amp; 기타</v>
          </cell>
          <cell r="AG9" t="str">
            <v>3. 콜센터 &amp; 금융 &amp; 기타</v>
          </cell>
          <cell r="AH9" t="str">
            <v>SK AX</v>
          </cell>
          <cell r="AI9" t="str">
            <v>파라다이스ITO</v>
          </cell>
          <cell r="AJ9" t="str">
            <v>본사 관리</v>
          </cell>
          <cell r="AK9" t="str">
            <v>04560</v>
          </cell>
          <cell r="AL9" t="str">
            <v>서울시 중구 퇴계로 299 파라다이스 빌딩 7층</v>
          </cell>
          <cell r="AM9" t="str">
            <v>06937</v>
          </cell>
          <cell r="AN9" t="str">
            <v>서울특별시 동작구 상도로15길 131, 601호 (상도동, 상도 휴엔하임)</v>
          </cell>
          <cell r="AO9" t="str">
            <v>Cloud서비스 2팀</v>
          </cell>
          <cell r="AP9" t="str">
            <v>파라다이스 ITO</v>
          </cell>
          <cell r="AQ9" t="str">
            <v>DB 운영</v>
          </cell>
          <cell r="AR9"/>
          <cell r="AS9" t="str">
            <v>고객사 공통  2026년_대외운영3(4500303729-01)</v>
          </cell>
          <cell r="AT9" t="str">
            <v>통상</v>
          </cell>
          <cell r="AU9" t="str">
            <v>프리랜서</v>
          </cell>
          <cell r="AV9" t="str">
            <v>개인(사업소득)</v>
          </cell>
          <cell r="AW9">
            <v>6700000</v>
          </cell>
          <cell r="AX9">
            <v>6700000</v>
          </cell>
          <cell r="AY9">
            <v>12</v>
          </cell>
          <cell r="AZ9">
            <v>80400000</v>
          </cell>
          <cell r="BA9"/>
          <cell r="BB9">
            <v>5500000</v>
          </cell>
          <cell r="BC9">
            <v>46023</v>
          </cell>
          <cell r="BD9"/>
          <cell r="BE9"/>
          <cell r="BF9"/>
          <cell r="BG9"/>
          <cell r="BH9"/>
          <cell r="BI9"/>
          <cell r="BJ9"/>
          <cell r="BK9"/>
          <cell r="BL9"/>
          <cell r="BM9"/>
          <cell r="BN9"/>
          <cell r="BO9"/>
          <cell r="BP9"/>
          <cell r="BQ9"/>
          <cell r="BR9"/>
          <cell r="BS9"/>
          <cell r="BT9"/>
          <cell r="BU9"/>
          <cell r="BV9"/>
          <cell r="BW9">
            <v>34800</v>
          </cell>
          <cell r="BX9">
            <v>12180</v>
          </cell>
          <cell r="BY9">
            <v>5500000</v>
          </cell>
          <cell r="BZ9"/>
          <cell r="CA9"/>
          <cell r="CB9">
            <v>66563760</v>
          </cell>
          <cell r="CC9">
            <v>13836240</v>
          </cell>
          <cell r="CD9">
            <v>17.209253731343281</v>
          </cell>
        </row>
        <row r="10">
          <cell r="F10" t="str">
            <v>이정민77</v>
          </cell>
          <cell r="G10" t="str">
            <v>부장</v>
          </cell>
          <cell r="H10" t="str">
            <v>고급상</v>
          </cell>
          <cell r="I10" t="str">
            <v>고급기술자</v>
          </cell>
          <cell r="J10" t="str">
            <v>하도급(M/M)</v>
          </cell>
          <cell r="K10" t="str">
            <v>서버엔지니어</v>
          </cell>
          <cell r="L10" t="str">
            <v>2026_신규</v>
          </cell>
          <cell r="M10"/>
          <cell r="N10" t="str">
            <v>010-3769-1325</v>
          </cell>
          <cell r="O10" t="str">
            <v>nin1325@cnthoth.com</v>
          </cell>
          <cell r="P10" t="str">
            <v>771227-1</v>
          </cell>
          <cell r="Q10"/>
          <cell r="R10">
            <v>46097</v>
          </cell>
          <cell r="S10"/>
          <cell r="T10" t="str">
            <v>대건고등학교</v>
          </cell>
          <cell r="U10"/>
          <cell r="V10" t="str">
            <v>고졸</v>
          </cell>
          <cell r="W10" t="str">
            <v>RHCSA</v>
          </cell>
          <cell r="X10"/>
          <cell r="Y10"/>
          <cell r="Z10"/>
          <cell r="AA10">
            <v>56</v>
          </cell>
          <cell r="AB10">
            <v>46310</v>
          </cell>
          <cell r="AC10"/>
          <cell r="AD10" t="str">
            <v>SK하이닉스_충칭</v>
          </cell>
          <cell r="AE10" t="str">
            <v>중국</v>
          </cell>
          <cell r="AF10"/>
          <cell r="AG10" t="str">
            <v>5. 신규사업</v>
          </cell>
          <cell r="AH10" t="str">
            <v>SK AX</v>
          </cell>
          <cell r="AI10" t="str">
            <v>SK하이닉스(충칭)</v>
          </cell>
          <cell r="AJ10"/>
          <cell r="AK10"/>
          <cell r="AL10"/>
          <cell r="AM10" t="str">
            <v>22835</v>
          </cell>
          <cell r="AN10" t="str">
            <v>인천광역시 서구 염곡로 128-7, 3동 102호 (가좌동, 한일빌라)</v>
          </cell>
          <cell r="AO10" t="str">
            <v>Hynix Cloud팀</v>
          </cell>
          <cell r="AP10" t="str">
            <v>SK하이닉스_충칭 DR 구축</v>
          </cell>
          <cell r="AQ10" t="str">
            <v>윈도우 서버 구축</v>
          </cell>
          <cell r="AR10"/>
          <cell r="AS10"/>
          <cell r="AT10" t="str">
            <v>통상</v>
          </cell>
          <cell r="AU10" t="str">
            <v>프리랜서</v>
          </cell>
          <cell r="AV10" t="str">
            <v>개인(사업소득)</v>
          </cell>
          <cell r="AW10"/>
          <cell r="AX10">
            <v>10000000</v>
          </cell>
          <cell r="AY10">
            <v>7</v>
          </cell>
          <cell r="AZ10">
            <v>70000000</v>
          </cell>
          <cell r="BA10"/>
          <cell r="BB10">
            <v>8500000</v>
          </cell>
          <cell r="BC10">
            <v>46097</v>
          </cell>
          <cell r="BD10"/>
          <cell r="BE10"/>
          <cell r="BF10"/>
          <cell r="BG10"/>
          <cell r="BH10"/>
          <cell r="BI10"/>
          <cell r="BJ10"/>
          <cell r="BK10"/>
          <cell r="BL10"/>
          <cell r="BM10"/>
          <cell r="BN10"/>
          <cell r="BO10"/>
          <cell r="BP10"/>
          <cell r="BQ10"/>
          <cell r="BR10"/>
          <cell r="BS10"/>
          <cell r="BT10"/>
          <cell r="BU10"/>
          <cell r="BV10"/>
          <cell r="BW10">
            <v>53780</v>
          </cell>
          <cell r="BX10">
            <v>18820</v>
          </cell>
          <cell r="BY10">
            <v>8500000</v>
          </cell>
          <cell r="BZ10"/>
          <cell r="CA10"/>
          <cell r="CB10">
            <v>60008200</v>
          </cell>
          <cell r="CC10">
            <v>9991800</v>
          </cell>
          <cell r="CD10">
            <v>14.274000000000001</v>
          </cell>
        </row>
        <row r="11">
          <cell r="F11" t="str">
            <v>전원식</v>
          </cell>
          <cell r="G11" t="str">
            <v>부장</v>
          </cell>
          <cell r="H11" t="str">
            <v>고급상</v>
          </cell>
          <cell r="I11" t="str">
            <v>고급기술자</v>
          </cell>
          <cell r="J11" t="str">
            <v>하도급(M/M)</v>
          </cell>
          <cell r="K11" t="str">
            <v>서버엔지니어</v>
          </cell>
          <cell r="L11" t="str">
            <v>2026_신규</v>
          </cell>
          <cell r="M11"/>
          <cell r="N11" t="str">
            <v>010-3692-7469</v>
          </cell>
          <cell r="O11" t="str">
            <v>wsjeon@cnthoth.com</v>
          </cell>
          <cell r="P11" t="str">
            <v>740221-1</v>
          </cell>
          <cell r="Q11"/>
          <cell r="R11">
            <v>46113</v>
          </cell>
          <cell r="S11"/>
          <cell r="T11" t="str">
            <v>서울보건대학</v>
          </cell>
          <cell r="U11" t="str">
            <v>전산정보처리</v>
          </cell>
          <cell r="V11" t="str">
            <v>전문대졸</v>
          </cell>
          <cell r="W11" t="str">
            <v>MCDBA</v>
          </cell>
          <cell r="X11"/>
          <cell r="Y11"/>
          <cell r="Z11"/>
          <cell r="AA11">
            <v>40</v>
          </cell>
          <cell r="AB11">
            <v>46326</v>
          </cell>
          <cell r="AC11"/>
          <cell r="AD11" t="str">
            <v>SK하이닉스_충칭</v>
          </cell>
          <cell r="AE11" t="str">
            <v>중국</v>
          </cell>
          <cell r="AF11"/>
          <cell r="AG11" t="str">
            <v>5. 신규사업</v>
          </cell>
          <cell r="AH11" t="str">
            <v>SK AX</v>
          </cell>
          <cell r="AI11" t="str">
            <v>SK하이닉스(충칭)</v>
          </cell>
          <cell r="AJ11"/>
          <cell r="AK11"/>
          <cell r="AL11"/>
          <cell r="AM11" t="str">
            <v>30098</v>
          </cell>
          <cell r="AN11" t="str">
            <v>세종특별자치시 보듬4로 20, 도램마을10단지 1001동 702호</v>
          </cell>
          <cell r="AO11" t="str">
            <v>Hynix Cloud팀</v>
          </cell>
          <cell r="AP11" t="str">
            <v>SK하이닉스_충칭 DR 구축</v>
          </cell>
          <cell r="AQ11" t="str">
            <v>리눅스 서버 구축</v>
          </cell>
          <cell r="AR11"/>
          <cell r="AS11"/>
          <cell r="AT11" t="str">
            <v>통상</v>
          </cell>
          <cell r="AU11" t="str">
            <v>프리랜서</v>
          </cell>
          <cell r="AV11" t="str">
            <v>개인(사업소득)</v>
          </cell>
          <cell r="AW11"/>
          <cell r="AX11">
            <v>10000000</v>
          </cell>
          <cell r="AY11">
            <v>7</v>
          </cell>
          <cell r="AZ11">
            <v>70000000</v>
          </cell>
          <cell r="BA11"/>
          <cell r="BB11">
            <v>8500000</v>
          </cell>
          <cell r="BC11"/>
          <cell r="BD11"/>
          <cell r="BE11"/>
          <cell r="BF11"/>
          <cell r="BG11"/>
          <cell r="BH11"/>
          <cell r="BI11"/>
          <cell r="BJ11"/>
          <cell r="BK11"/>
          <cell r="BL11"/>
          <cell r="BM11"/>
          <cell r="BN11"/>
          <cell r="BO11"/>
          <cell r="BP11"/>
          <cell r="BQ11"/>
          <cell r="BR11"/>
          <cell r="BS11"/>
          <cell r="BT11"/>
          <cell r="BU11"/>
          <cell r="BV11"/>
          <cell r="BW11">
            <v>53780</v>
          </cell>
          <cell r="BX11">
            <v>18820</v>
          </cell>
          <cell r="BY11">
            <v>8500000</v>
          </cell>
          <cell r="BZ11"/>
          <cell r="CA11"/>
          <cell r="CB11">
            <v>60008200</v>
          </cell>
          <cell r="CC11">
            <v>9991800</v>
          </cell>
          <cell r="CD11">
            <v>14.274000000000001</v>
          </cell>
        </row>
        <row r="12">
          <cell r="F12" t="str">
            <v>허근호</v>
          </cell>
          <cell r="G12" t="str">
            <v>부장</v>
          </cell>
          <cell r="H12" t="str">
            <v>고급상</v>
          </cell>
          <cell r="I12" t="str">
            <v>고급기술자</v>
          </cell>
          <cell r="J12" t="str">
            <v>하도급(M/M)</v>
          </cell>
          <cell r="K12" t="str">
            <v>Backup/Storage 엔지니어</v>
          </cell>
          <cell r="L12" t="str">
            <v>2026_신규</v>
          </cell>
          <cell r="M12"/>
          <cell r="N12" t="str">
            <v>010-5477-8284</v>
          </cell>
          <cell r="O12" t="str">
            <v>khhuh@cnthoth.com</v>
          </cell>
          <cell r="P12" t="str">
            <v>751023-1</v>
          </cell>
          <cell r="Q12"/>
          <cell r="R12">
            <v>46113</v>
          </cell>
          <cell r="S12"/>
          <cell r="T12" t="str">
            <v>명지대학교</v>
          </cell>
          <cell r="U12" t="str">
            <v>화학공학과</v>
          </cell>
          <cell r="V12" t="str">
            <v>대졸</v>
          </cell>
          <cell r="W12"/>
          <cell r="X12"/>
          <cell r="Y12"/>
          <cell r="Z12"/>
          <cell r="AA12">
            <v>40</v>
          </cell>
          <cell r="AB12">
            <v>46295</v>
          </cell>
          <cell r="AC12"/>
          <cell r="AD12" t="str">
            <v>SK하이닉스_충칭</v>
          </cell>
          <cell r="AE12" t="str">
            <v>중국</v>
          </cell>
          <cell r="AF12"/>
          <cell r="AG12" t="str">
            <v>5. 신규사업</v>
          </cell>
          <cell r="AH12" t="str">
            <v>SK AX</v>
          </cell>
          <cell r="AI12" t="str">
            <v>SK하이닉스(충칭)</v>
          </cell>
          <cell r="AJ12"/>
          <cell r="AK12"/>
          <cell r="AL12"/>
          <cell r="AM12" t="str">
            <v>12924</v>
          </cell>
          <cell r="AN12" t="str">
            <v>경기도 하남시 미사강변중앙로 90, 101동 2602호 (풍산동, 이편한세상미사)</v>
          </cell>
          <cell r="AO12" t="str">
            <v>Hynix Cloud팀</v>
          </cell>
          <cell r="AP12" t="str">
            <v>SK하이닉스_충칭 DR 구축</v>
          </cell>
          <cell r="AQ12" t="str">
            <v>스토리지 구축</v>
          </cell>
          <cell r="AR12"/>
          <cell r="AS12"/>
          <cell r="AT12" t="str">
            <v>통상</v>
          </cell>
          <cell r="AU12" t="str">
            <v>프리랜서</v>
          </cell>
          <cell r="AV12" t="str">
            <v>개인(사업소득)</v>
          </cell>
          <cell r="AW12"/>
          <cell r="AX12">
            <v>10000000</v>
          </cell>
          <cell r="AY12">
            <v>6</v>
          </cell>
          <cell r="AZ12">
            <v>60000000</v>
          </cell>
          <cell r="BA12"/>
          <cell r="BB12">
            <v>8500000</v>
          </cell>
          <cell r="BC12"/>
          <cell r="BD12"/>
          <cell r="BE12"/>
          <cell r="BF12"/>
          <cell r="BG12"/>
          <cell r="BH12"/>
          <cell r="BI12"/>
          <cell r="BJ12"/>
          <cell r="BK12"/>
          <cell r="BL12"/>
          <cell r="BM12"/>
          <cell r="BN12"/>
          <cell r="BO12"/>
          <cell r="BP12"/>
          <cell r="BQ12"/>
          <cell r="BR12"/>
          <cell r="BS12"/>
          <cell r="BT12"/>
          <cell r="BU12"/>
          <cell r="BV12"/>
          <cell r="BW12">
            <v>53780</v>
          </cell>
          <cell r="BX12">
            <v>18820</v>
          </cell>
          <cell r="BY12">
            <v>8500000</v>
          </cell>
          <cell r="BZ12"/>
          <cell r="CA12"/>
          <cell r="CB12">
            <v>51435600</v>
          </cell>
          <cell r="CC12">
            <v>8564400</v>
          </cell>
          <cell r="CD12">
            <v>14.274000000000001</v>
          </cell>
        </row>
        <row r="13">
          <cell r="F13" t="str">
            <v>이경원</v>
          </cell>
          <cell r="G13" t="str">
            <v>부장</v>
          </cell>
          <cell r="H13" t="str">
            <v>고급상</v>
          </cell>
          <cell r="I13" t="str">
            <v>고급기술자</v>
          </cell>
          <cell r="J13" t="str">
            <v>하도급(M/M)</v>
          </cell>
          <cell r="K13" t="str">
            <v>M/W 엔지니어</v>
          </cell>
          <cell r="L13" t="str">
            <v>2026_추가</v>
          </cell>
          <cell r="M13"/>
          <cell r="N13" t="str">
            <v>010-4398-0824</v>
          </cell>
          <cell r="O13" t="str">
            <v>campione20@naver.com</v>
          </cell>
          <cell r="P13" t="str">
            <v>731015-1</v>
          </cell>
          <cell r="Q13"/>
          <cell r="R13">
            <v>46113</v>
          </cell>
          <cell r="S13"/>
          <cell r="T13" t="str">
            <v>단국대(천안)</v>
          </cell>
          <cell r="U13" t="str">
            <v>전자계산학과</v>
          </cell>
          <cell r="V13" t="str">
            <v>대졸</v>
          </cell>
          <cell r="W13" t="str">
            <v xml:space="preserve">정보처리기사 </v>
          </cell>
          <cell r="X13"/>
          <cell r="Y13"/>
          <cell r="Z13"/>
          <cell r="AA13">
            <v>40</v>
          </cell>
          <cell r="AB13"/>
          <cell r="AC13"/>
          <cell r="AD13" t="str">
            <v>SK하이닉스_이천</v>
          </cell>
          <cell r="AE13" t="str">
            <v>경기도</v>
          </cell>
          <cell r="AF13"/>
          <cell r="AG13" t="str">
            <v>4. SKB/SK하이닉스 Infra 운영</v>
          </cell>
          <cell r="AH13" t="str">
            <v>SK AX</v>
          </cell>
          <cell r="AI13" t="str">
            <v>SK하이닉스(이천)</v>
          </cell>
          <cell r="AJ13"/>
          <cell r="AK13"/>
          <cell r="AL13"/>
          <cell r="AM13" t="str">
            <v>04321</v>
          </cell>
          <cell r="AN13" t="str">
            <v>서울특별시 용산구 한강대로87길 7-8, 202호 (갈월동)</v>
          </cell>
          <cell r="AO13" t="str">
            <v>Hynix Cloud팀</v>
          </cell>
          <cell r="AP13" t="str">
            <v>SK하이닉스 인프라 운영</v>
          </cell>
          <cell r="AQ13" t="str">
            <v>미들웨어 운영</v>
          </cell>
          <cell r="AR13"/>
          <cell r="AS13"/>
          <cell r="AT13" t="str">
            <v>통상</v>
          </cell>
          <cell r="AU13" t="str">
            <v>프리랜서</v>
          </cell>
          <cell r="AV13" t="str">
            <v>개인(사업소득)</v>
          </cell>
          <cell r="AW13"/>
          <cell r="AX13">
            <v>8950000</v>
          </cell>
          <cell r="AY13">
            <v>12</v>
          </cell>
          <cell r="AZ13">
            <v>107400000</v>
          </cell>
          <cell r="BA13"/>
          <cell r="BB13">
            <v>7500000</v>
          </cell>
          <cell r="BC13"/>
          <cell r="BD13"/>
          <cell r="BE13"/>
          <cell r="BF13"/>
          <cell r="BG13"/>
          <cell r="BH13"/>
          <cell r="BI13"/>
          <cell r="BJ13"/>
          <cell r="BK13"/>
          <cell r="BL13"/>
          <cell r="BM13"/>
          <cell r="BN13"/>
          <cell r="BO13"/>
          <cell r="BP13"/>
          <cell r="BQ13"/>
          <cell r="BR13"/>
          <cell r="BS13"/>
          <cell r="BT13"/>
          <cell r="BU13"/>
          <cell r="BV13"/>
          <cell r="BW13">
            <v>47460</v>
          </cell>
          <cell r="BX13">
            <v>16610</v>
          </cell>
          <cell r="BY13">
            <v>7500000</v>
          </cell>
          <cell r="BZ13"/>
          <cell r="CA13"/>
          <cell r="CB13">
            <v>90768840</v>
          </cell>
          <cell r="CC13">
            <v>16631160</v>
          </cell>
          <cell r="CD13">
            <v>15.485251396648044</v>
          </cell>
        </row>
        <row r="14">
          <cell r="F14" t="str">
            <v>양재훈</v>
          </cell>
          <cell r="G14" t="str">
            <v>부장</v>
          </cell>
          <cell r="H14" t="str">
            <v>고급상</v>
          </cell>
          <cell r="I14" t="str">
            <v>고급기술자</v>
          </cell>
          <cell r="J14" t="str">
            <v>하도급(M/M)</v>
          </cell>
          <cell r="K14" t="str">
            <v>시스템엔지니어</v>
          </cell>
          <cell r="L14" t="str">
            <v>2026_추가</v>
          </cell>
          <cell r="M14"/>
          <cell r="N14" t="str">
            <v>010-9029-1709</v>
          </cell>
          <cell r="O14" t="str">
            <v>jay2248@naver.com</v>
          </cell>
          <cell r="P14" t="str">
            <v>690110-1</v>
          </cell>
          <cell r="Q14"/>
          <cell r="R14">
            <v>46113</v>
          </cell>
          <cell r="S14"/>
          <cell r="T14" t="str">
            <v>경희대학교</v>
          </cell>
          <cell r="U14" t="str">
            <v>전산공학</v>
          </cell>
          <cell r="V14" t="str">
            <v>대졸</v>
          </cell>
          <cell r="W14" t="str">
            <v>CCNA</v>
          </cell>
          <cell r="X14" t="str">
            <v>Ennterprise Architecture Professional</v>
          </cell>
          <cell r="Y14" t="str">
            <v>Microsoft Aure Fundamentlals</v>
          </cell>
          <cell r="Z14"/>
          <cell r="AA14">
            <v>40</v>
          </cell>
          <cell r="AB14"/>
          <cell r="AC14"/>
          <cell r="AD14" t="str">
            <v>SK하이닉스_이천</v>
          </cell>
          <cell r="AE14" t="str">
            <v>경기도</v>
          </cell>
          <cell r="AF14"/>
          <cell r="AG14" t="str">
            <v>4. SKB/SK하이닉스 Infra 운영</v>
          </cell>
          <cell r="AH14" t="str">
            <v>SK AX</v>
          </cell>
          <cell r="AI14" t="str">
            <v>SK하이닉스(이천)</v>
          </cell>
          <cell r="AJ14"/>
          <cell r="AK14"/>
          <cell r="AL14"/>
          <cell r="AM14" t="str">
            <v>04419</v>
          </cell>
          <cell r="AN14" t="str">
            <v>서울특별시 용산구 한남대로 60, 7층 A-709호 (한남동, 금호리첸시아)</v>
          </cell>
          <cell r="AO14" t="str">
            <v>Hynix Cloud팀</v>
          </cell>
          <cell r="AP14" t="str">
            <v>SK하이닉스 인프라 구축</v>
          </cell>
          <cell r="AQ14" t="str">
            <v>용인 DC 구축 TA</v>
          </cell>
          <cell r="AR14"/>
          <cell r="AS14"/>
          <cell r="AT14" t="str">
            <v>통상</v>
          </cell>
          <cell r="AU14" t="str">
            <v>프리랜서</v>
          </cell>
          <cell r="AV14" t="str">
            <v>개인(사업소득)</v>
          </cell>
          <cell r="AW14"/>
          <cell r="AX14">
            <v>10000000</v>
          </cell>
          <cell r="AY14">
            <v>12</v>
          </cell>
          <cell r="AZ14">
            <v>120000000</v>
          </cell>
          <cell r="BA14"/>
          <cell r="BB14">
            <v>8500000</v>
          </cell>
          <cell r="BC14"/>
          <cell r="BD14"/>
          <cell r="BE14"/>
          <cell r="BF14"/>
          <cell r="BG14"/>
          <cell r="BH14"/>
          <cell r="BI14"/>
          <cell r="BJ14"/>
          <cell r="BK14"/>
          <cell r="BL14"/>
          <cell r="BM14"/>
          <cell r="BN14"/>
          <cell r="BO14"/>
          <cell r="BP14"/>
          <cell r="BQ14"/>
          <cell r="BR14"/>
          <cell r="BS14"/>
          <cell r="BT14"/>
          <cell r="BU14"/>
          <cell r="BV14"/>
          <cell r="BW14">
            <v>53780</v>
          </cell>
          <cell r="BX14">
            <v>18820</v>
          </cell>
          <cell r="BY14">
            <v>8500000</v>
          </cell>
          <cell r="BZ14"/>
          <cell r="CA14"/>
          <cell r="CB14">
            <v>102871200</v>
          </cell>
          <cell r="CC14">
            <v>17128800</v>
          </cell>
          <cell r="CD14">
            <v>14.274000000000001</v>
          </cell>
        </row>
        <row r="15">
          <cell r="F15" t="str">
            <v>김진욱</v>
          </cell>
          <cell r="G15" t="str">
            <v>차장</v>
          </cell>
          <cell r="H15" t="str">
            <v>중급상</v>
          </cell>
          <cell r="I15" t="str">
            <v>중급기술자</v>
          </cell>
          <cell r="J15" t="str">
            <v>하도급(M/M)</v>
          </cell>
          <cell r="K15" t="str">
            <v>네트워크엔지니어</v>
          </cell>
          <cell r="L15" t="str">
            <v>2021_신규</v>
          </cell>
          <cell r="M15"/>
          <cell r="N15" t="str">
            <v>010-2118-3563</v>
          </cell>
          <cell r="O15" t="str">
            <v>jwkim82@cnthoth.com</v>
          </cell>
          <cell r="P15" t="str">
            <v>821128-1</v>
          </cell>
          <cell r="Q15">
            <v>40544</v>
          </cell>
          <cell r="R15">
            <v>44348</v>
          </cell>
          <cell r="S15"/>
          <cell r="T15" t="str">
            <v>경기공업대학교</v>
          </cell>
          <cell r="U15" t="str">
            <v>컴퓨터응용제어공학</v>
          </cell>
          <cell r="V15" t="str">
            <v>대졸</v>
          </cell>
          <cell r="W15" t="str">
            <v>CCNA</v>
          </cell>
          <cell r="X15" t="str">
            <v>CCNP</v>
          </cell>
          <cell r="Y15" t="str">
            <v xml:space="preserve"> CCDA</v>
          </cell>
          <cell r="Z15">
            <v>5316</v>
          </cell>
          <cell r="AA15">
            <v>1805</v>
          </cell>
          <cell r="AB15">
            <v>46112</v>
          </cell>
          <cell r="AC15"/>
          <cell r="AD15" t="str">
            <v>분당두산타워_정자</v>
          </cell>
          <cell r="AE15" t="str">
            <v>경기도</v>
          </cell>
          <cell r="AF15" t="str">
            <v>3. 콜센터 &amp; 금융 &amp; 기타</v>
          </cell>
          <cell r="AG15" t="str">
            <v>3. 콜센터 &amp; 금융 &amp; 기타</v>
          </cell>
          <cell r="AH15" t="str">
            <v>SK AX</v>
          </cell>
          <cell r="AI15" t="str">
            <v>SK하이닉스</v>
          </cell>
          <cell r="AJ15"/>
          <cell r="AK15">
            <v>13558</v>
          </cell>
          <cell r="AL15" t="str">
            <v>경기도 성남시 분당구 정자일로 155 분당두산타워 4층</v>
          </cell>
          <cell r="AM15" t="str">
            <v>16875</v>
          </cell>
          <cell r="AN15" t="str">
            <v>경기도 용인시 수지구 현암로 125번길 11, 새터마을죽전힐스테이트 722-102호</v>
          </cell>
          <cell r="AO15" t="str">
            <v>Hynix Cloud팀</v>
          </cell>
          <cell r="AP15" t="str">
            <v>SK하이닉스 네트워크/교환기</v>
          </cell>
          <cell r="AQ15" t="str">
            <v>네트워크 운영</v>
          </cell>
          <cell r="AR15" t="str">
            <v>화상회의 시스템, 교환기 등</v>
          </cell>
          <cell r="AS15" t="str">
            <v>에스케이하이닉스 주식회사 / 26년 Hynix SW개발센터 운영_1분기(4500302431-01)</v>
          </cell>
          <cell r="AT15" t="str">
            <v>외주_통상</v>
          </cell>
          <cell r="AU15" t="str">
            <v>협력사</v>
          </cell>
          <cell r="AV15" t="str">
            <v>㈜인노인</v>
          </cell>
          <cell r="AW15">
            <v>6306000</v>
          </cell>
          <cell r="AX15">
            <v>6306000</v>
          </cell>
          <cell r="AY15">
            <v>12</v>
          </cell>
          <cell r="AZ15">
            <v>75672000</v>
          </cell>
          <cell r="BA15">
            <v>5880000</v>
          </cell>
          <cell r="BB15">
            <v>6000000</v>
          </cell>
          <cell r="BC15">
            <v>45839</v>
          </cell>
          <cell r="BD15"/>
          <cell r="BE15"/>
          <cell r="BF15"/>
          <cell r="BG15"/>
          <cell r="BH15"/>
          <cell r="BI15"/>
          <cell r="BJ15"/>
          <cell r="BK15"/>
          <cell r="BL15"/>
          <cell r="BM15"/>
          <cell r="BN15"/>
          <cell r="BO15"/>
          <cell r="BP15"/>
          <cell r="BQ15"/>
          <cell r="BR15"/>
          <cell r="BS15"/>
          <cell r="BT15"/>
          <cell r="BU15"/>
          <cell r="BV15"/>
          <cell r="BW15"/>
          <cell r="BX15"/>
          <cell r="BY15">
            <v>6000000</v>
          </cell>
          <cell r="BZ15"/>
          <cell r="CA15"/>
          <cell r="CB15">
            <v>72000000</v>
          </cell>
          <cell r="CC15">
            <v>3672000</v>
          </cell>
          <cell r="CD15">
            <v>4.8525214081826835</v>
          </cell>
        </row>
        <row r="16">
          <cell r="F16" t="str">
            <v>최종수</v>
          </cell>
          <cell r="G16" t="str">
            <v>사원</v>
          </cell>
          <cell r="H16" t="str">
            <v>고능</v>
          </cell>
          <cell r="I16" t="str">
            <v>고급기능사</v>
          </cell>
          <cell r="J16" t="str">
            <v>하도급(M/M)</v>
          </cell>
          <cell r="K16" t="str">
            <v>서비스 관제 엔지니어</v>
          </cell>
          <cell r="L16" t="str">
            <v>Pool</v>
          </cell>
          <cell r="M16" t="str">
            <v>02-6400-5026</v>
          </cell>
          <cell r="N16" t="str">
            <v>010-9740-6321</v>
          </cell>
          <cell r="O16" t="str">
            <v>js9876@cnthoth.com</v>
          </cell>
          <cell r="P16" t="str">
            <v>960828-1</v>
          </cell>
          <cell r="Q16">
            <v>45873</v>
          </cell>
          <cell r="R16">
            <v>45873</v>
          </cell>
          <cell r="S16"/>
          <cell r="T16" t="str">
            <v>가톨릭대학교</v>
          </cell>
          <cell r="U16" t="str">
            <v>정보통신전자공학부</v>
          </cell>
          <cell r="V16" t="str">
            <v>대졸</v>
          </cell>
          <cell r="W16" t="str">
            <v>SQLD</v>
          </cell>
          <cell r="X16" t="str">
            <v>네트워크관리사2급</v>
          </cell>
          <cell r="Y16"/>
          <cell r="Z16">
            <v>280</v>
          </cell>
          <cell r="AA16">
            <v>280</v>
          </cell>
          <cell r="AB16"/>
          <cell r="AC16"/>
          <cell r="AD16" t="str">
            <v>판교DC</v>
          </cell>
          <cell r="AE16" t="str">
            <v>경기도</v>
          </cell>
          <cell r="AF16" t="str">
            <v>1. Infra 운영</v>
          </cell>
          <cell r="AG16" t="str">
            <v>1. Infra 운영</v>
          </cell>
          <cell r="AH16" t="str">
            <v>SK AX</v>
          </cell>
          <cell r="AI16" t="str">
            <v>SK그룹사(공통)</v>
          </cell>
          <cell r="AJ16" t="str">
            <v>김성구</v>
          </cell>
          <cell r="AK16">
            <v>13486</v>
          </cell>
          <cell r="AL16" t="str">
            <v>경기도 성남시 분당구 판교로 255번길 46 SK(주) C&amp;C 판교캠퍼스 A동 1층</v>
          </cell>
          <cell r="AM16" t="str">
            <v>07975</v>
          </cell>
          <cell r="AN16" t="str">
            <v>서울특별시 양천구 목동중앙본로20길 20, 파인빌 102호 (목동, 목동다세대주택)</v>
          </cell>
          <cell r="AO16" t="str">
            <v>CloudControlCenter팀</v>
          </cell>
          <cell r="AP16" t="str">
            <v>판교 DC 운영</v>
          </cell>
          <cell r="AQ16" t="str">
            <v>H/W 육안점검, 시스템 모니터링 및 장애 전파</v>
          </cell>
          <cell r="AR16"/>
          <cell r="AS16"/>
          <cell r="AT16" t="str">
            <v>스케줄</v>
          </cell>
          <cell r="AU16" t="str">
            <v>정직원</v>
          </cell>
          <cell r="AV16" t="str">
            <v>씨앤토트플러스㈜</v>
          </cell>
          <cell r="AW16">
            <v>0</v>
          </cell>
          <cell r="AX16">
            <v>0</v>
          </cell>
          <cell r="AY16">
            <v>12</v>
          </cell>
          <cell r="AZ16">
            <v>0</v>
          </cell>
          <cell r="BA16"/>
          <cell r="BB16"/>
          <cell r="BC16">
            <v>46023</v>
          </cell>
          <cell r="BD16"/>
          <cell r="BE16">
            <v>27498000</v>
          </cell>
          <cell r="BF16">
            <v>28203600</v>
          </cell>
          <cell r="BG16">
            <v>2350300</v>
          </cell>
          <cell r="BH16">
            <v>1699000</v>
          </cell>
          <cell r="BI16">
            <v>10320.65</v>
          </cell>
          <cell r="BJ16">
            <v>184</v>
          </cell>
          <cell r="BK16">
            <v>38.020000000000003</v>
          </cell>
          <cell r="BL16">
            <v>49.43</v>
          </cell>
          <cell r="BM16">
            <v>196200</v>
          </cell>
          <cell r="BN16">
            <v>255100</v>
          </cell>
          <cell r="BO16">
            <v>200000</v>
          </cell>
          <cell r="BP16">
            <v>1869328</v>
          </cell>
          <cell r="BQ16" t="str">
            <v>적합</v>
          </cell>
          <cell r="BR16"/>
          <cell r="BS16">
            <v>1032065</v>
          </cell>
          <cell r="BT16">
            <v>2436305.4166666665</v>
          </cell>
          <cell r="BU16">
            <v>1225671</v>
          </cell>
          <cell r="BV16">
            <v>1050990.9494399999</v>
          </cell>
          <cell r="BW16">
            <v>399955.8</v>
          </cell>
          <cell r="BX16">
            <v>170303.76</v>
          </cell>
          <cell r="BY16">
            <v>2937875</v>
          </cell>
          <cell r="BZ16">
            <v>31671970.416666668</v>
          </cell>
          <cell r="CA16">
            <v>2846921.5094399992</v>
          </cell>
          <cell r="CB16">
            <v>35254500</v>
          </cell>
          <cell r="CC16">
            <v>-37516386.880000003</v>
          </cell>
          <cell r="CD16">
            <v>0</v>
          </cell>
        </row>
        <row r="17">
          <cell r="F17" t="str">
            <v>김성구</v>
          </cell>
          <cell r="G17" t="str">
            <v>부장</v>
          </cell>
          <cell r="H17" t="str">
            <v>고급상</v>
          </cell>
          <cell r="I17" t="str">
            <v>고급기술자</v>
          </cell>
          <cell r="J17" t="str">
            <v>하도급(M/M)</v>
          </cell>
          <cell r="K17" t="str">
            <v>서비스 관제 센터장</v>
          </cell>
          <cell r="L17" t="str">
            <v xml:space="preserve"> </v>
          </cell>
          <cell r="M17" t="str">
            <v>02-6400-5026</v>
          </cell>
          <cell r="N17" t="str">
            <v>010-4095-7792</v>
          </cell>
          <cell r="O17" t="str">
            <v>skkim@cnthoth.com</v>
          </cell>
          <cell r="P17" t="str">
            <v>721222-1</v>
          </cell>
          <cell r="Q17">
            <v>33725</v>
          </cell>
          <cell r="R17">
            <v>40613</v>
          </cell>
          <cell r="S17">
            <v>41640</v>
          </cell>
          <cell r="T17" t="str">
            <v>서울강동고등학교</v>
          </cell>
          <cell r="U17"/>
          <cell r="V17" t="str">
            <v>고졸</v>
          </cell>
          <cell r="W17"/>
          <cell r="X17"/>
          <cell r="Y17"/>
          <cell r="Z17">
            <v>12428</v>
          </cell>
          <cell r="AA17">
            <v>5540</v>
          </cell>
          <cell r="AB17"/>
          <cell r="AC17"/>
          <cell r="AD17" t="str">
            <v>판교DC_주간</v>
          </cell>
          <cell r="AE17" t="str">
            <v>경기도</v>
          </cell>
          <cell r="AF17" t="str">
            <v>1. Infra 운영</v>
          </cell>
          <cell r="AG17" t="str">
            <v>1. Infra 운영</v>
          </cell>
          <cell r="AH17" t="str">
            <v>SK AX</v>
          </cell>
          <cell r="AI17" t="str">
            <v>SK그룹사(공통)</v>
          </cell>
          <cell r="AJ17" t="str">
            <v>김성구</v>
          </cell>
          <cell r="AK17">
            <v>13486</v>
          </cell>
          <cell r="AL17" t="str">
            <v>경기도 성남시 분당구 판교로 255번길 46 SK(주) C&amp;C 판교캠퍼스 A동 1층</v>
          </cell>
          <cell r="AM17">
            <v>10494</v>
          </cell>
          <cell r="AN17" t="str">
            <v>경기도 고양시 덕양구 중앙로 558번길 57, 1818동 203호 (행신동, 햇빛마을18단지아파트)</v>
          </cell>
          <cell r="AO17" t="str">
            <v>CloudControlCenter팀</v>
          </cell>
          <cell r="AP17" t="str">
            <v>판교 DC 운영</v>
          </cell>
          <cell r="AQ17" t="str">
            <v>센터 총괄 운영</v>
          </cell>
          <cell r="AS17" t="str">
            <v>고객사 공통 / 2026년_VDI_01_1분기(4500302906-01)</v>
          </cell>
          <cell r="AT17" t="str">
            <v>통상</v>
          </cell>
          <cell r="AU17" t="str">
            <v>정직원</v>
          </cell>
          <cell r="AV17" t="str">
            <v>씨앤토트플러스㈜</v>
          </cell>
          <cell r="AW17">
            <v>8160000</v>
          </cell>
          <cell r="AX17">
            <v>8160000</v>
          </cell>
          <cell r="AY17">
            <v>12</v>
          </cell>
          <cell r="AZ17">
            <v>97920000</v>
          </cell>
          <cell r="BA17"/>
          <cell r="BB17"/>
          <cell r="BC17">
            <v>45839</v>
          </cell>
          <cell r="BD17">
            <v>70848000</v>
          </cell>
          <cell r="BE17">
            <v>73248000</v>
          </cell>
          <cell r="BF17">
            <v>73248000</v>
          </cell>
          <cell r="BG17">
            <v>6104000</v>
          </cell>
          <cell r="BH17">
            <v>5310700</v>
          </cell>
          <cell r="BI17">
            <v>26366.99</v>
          </cell>
          <cell r="BJ17">
            <v>209</v>
          </cell>
          <cell r="BK17">
            <v>15</v>
          </cell>
          <cell r="BL17">
            <v>0</v>
          </cell>
          <cell r="BM17">
            <v>593300</v>
          </cell>
          <cell r="BN17">
            <v>0</v>
          </cell>
          <cell r="BO17">
            <v>200000</v>
          </cell>
          <cell r="BP17">
            <v>0</v>
          </cell>
          <cell r="BQ17" t="str">
            <v>적합</v>
          </cell>
          <cell r="BR17"/>
          <cell r="BS17">
            <v>1054679.6000000001</v>
          </cell>
          <cell r="BT17">
            <v>6191889.9666666668</v>
          </cell>
          <cell r="BU17">
            <v>3365280</v>
          </cell>
          <cell r="BV17">
            <v>2885667.3791999999</v>
          </cell>
          <cell r="BW17">
            <v>1098144</v>
          </cell>
          <cell r="BX17">
            <v>467596.79999999999</v>
          </cell>
          <cell r="BY17">
            <v>7630000</v>
          </cell>
          <cell r="BZ17">
            <v>80494569.566666663</v>
          </cell>
          <cell r="CA17">
            <v>7816688.1792000001</v>
          </cell>
          <cell r="CB17">
            <v>91560000</v>
          </cell>
          <cell r="CC17">
            <v>6360000</v>
          </cell>
          <cell r="CD17">
            <v>6.4950980392156872</v>
          </cell>
        </row>
        <row r="18">
          <cell r="F18" t="str">
            <v>이기홍</v>
          </cell>
          <cell r="G18" t="str">
            <v>부장</v>
          </cell>
          <cell r="H18" t="str">
            <v>고급하</v>
          </cell>
          <cell r="I18" t="str">
            <v>중급기술자</v>
          </cell>
          <cell r="J18" t="str">
            <v>하도급(FTE)</v>
          </cell>
          <cell r="K18" t="str">
            <v>IT Facility 매니저</v>
          </cell>
          <cell r="L18"/>
          <cell r="M18" t="str">
            <v>02-6343-9321</v>
          </cell>
          <cell r="N18" t="str">
            <v>010-5327-0922</v>
          </cell>
          <cell r="O18" t="str">
            <v>skymonst@cnthoth.com</v>
          </cell>
          <cell r="P18" t="str">
            <v>630725-1</v>
          </cell>
          <cell r="Q18">
            <v>33664</v>
          </cell>
          <cell r="R18">
            <v>45139</v>
          </cell>
          <cell r="S18"/>
          <cell r="T18" t="str">
            <v>안양과학대학</v>
          </cell>
          <cell r="U18"/>
          <cell r="V18" t="str">
            <v>전문대졸</v>
          </cell>
          <cell r="W18"/>
          <cell r="X18"/>
          <cell r="Y18"/>
          <cell r="Z18">
            <v>12489</v>
          </cell>
          <cell r="AA18">
            <v>1014</v>
          </cell>
          <cell r="AB18"/>
          <cell r="AC18"/>
          <cell r="AD18" t="str">
            <v>SKT장안국사_주간</v>
          </cell>
          <cell r="AE18" t="str">
            <v>서울특별시</v>
          </cell>
          <cell r="AF18" t="str">
            <v>3. 콜센터 &amp; 금융 &amp; 기타</v>
          </cell>
          <cell r="AG18" t="str">
            <v>3. 콜센터 &amp; 금융 &amp; 기타</v>
          </cell>
          <cell r="AH18" t="str">
            <v>SK AX</v>
          </cell>
          <cell r="AI18" t="str">
            <v>SKT(장안콜센터)</v>
          </cell>
          <cell r="AJ18" t="str">
            <v>이기홍</v>
          </cell>
          <cell r="AK18" t="str">
            <v>02635</v>
          </cell>
          <cell r="AL18" t="str">
            <v>서울시 동대문구 장한로3길 34 SKT 장안고객센터 구관 2층 시스템 운영실</v>
          </cell>
          <cell r="AM18">
            <v>15875</v>
          </cell>
          <cell r="AN18" t="str">
            <v>경기도 군포시 용호2로 51, 101동 404호 (당동, 쌍용아파트)</v>
          </cell>
          <cell r="AO18" t="str">
            <v>T Biz. Cloud팀</v>
          </cell>
          <cell r="AP18" t="str">
            <v>SKT_장안 시스템 운영</v>
          </cell>
          <cell r="AQ18" t="str">
            <v>Facility 운영</v>
          </cell>
          <cell r="AR18" t="str">
            <v>/ 시스템 관제 관리</v>
          </cell>
          <cell r="AS18" t="str">
            <v>고객사 공통 / 2026년_ICT운영171_1분기(4500303362-01)</v>
          </cell>
          <cell r="AT18" t="str">
            <v>통상</v>
          </cell>
          <cell r="AU18" t="str">
            <v>정직원</v>
          </cell>
          <cell r="AV18" t="str">
            <v>씨앤토트플러스㈜</v>
          </cell>
          <cell r="AW18">
            <v>6598000</v>
          </cell>
          <cell r="AX18">
            <v>6598000</v>
          </cell>
          <cell r="AY18">
            <v>12</v>
          </cell>
          <cell r="AZ18">
            <v>79176000</v>
          </cell>
          <cell r="BA18"/>
          <cell r="BB18"/>
          <cell r="BC18">
            <v>45839</v>
          </cell>
          <cell r="BD18">
            <v>54444000</v>
          </cell>
          <cell r="BE18">
            <v>55644000</v>
          </cell>
          <cell r="BF18">
            <v>55644000</v>
          </cell>
          <cell r="BG18">
            <v>4637000</v>
          </cell>
          <cell r="BH18">
            <v>3986300</v>
          </cell>
          <cell r="BI18">
            <v>20030.14</v>
          </cell>
          <cell r="BJ18">
            <v>209</v>
          </cell>
          <cell r="BK18">
            <v>15</v>
          </cell>
          <cell r="BL18">
            <v>0</v>
          </cell>
          <cell r="BM18">
            <v>450700</v>
          </cell>
          <cell r="BN18">
            <v>0</v>
          </cell>
          <cell r="BO18">
            <v>200000</v>
          </cell>
          <cell r="BP18">
            <v>0</v>
          </cell>
          <cell r="BQ18" t="str">
            <v>적합</v>
          </cell>
          <cell r="BR18"/>
          <cell r="BS18">
            <v>801205.6</v>
          </cell>
          <cell r="BT18">
            <v>4703767.1333333338</v>
          </cell>
          <cell r="BU18">
            <v>2529090</v>
          </cell>
          <cell r="BV18">
            <v>2168649.4175999998</v>
          </cell>
          <cell r="BW18">
            <v>825282</v>
          </cell>
          <cell r="BX18">
            <v>351410.4</v>
          </cell>
          <cell r="BY18">
            <v>5796250</v>
          </cell>
          <cell r="BZ18">
            <v>61148972.733333334</v>
          </cell>
          <cell r="CA18">
            <v>5874431.8176000006</v>
          </cell>
          <cell r="CB18">
            <v>69555000</v>
          </cell>
          <cell r="CC18">
            <v>9621000</v>
          </cell>
          <cell r="CD18">
            <v>12.151409518035768</v>
          </cell>
        </row>
        <row r="19">
          <cell r="F19" t="str">
            <v>최재유</v>
          </cell>
          <cell r="G19" t="str">
            <v>부장</v>
          </cell>
          <cell r="H19" t="str">
            <v>고급상</v>
          </cell>
          <cell r="I19" t="str">
            <v>고급기술자</v>
          </cell>
          <cell r="J19" t="str">
            <v>하도급(FTE)</v>
          </cell>
          <cell r="K19" t="str">
            <v>네트워크엔지니어</v>
          </cell>
          <cell r="L19"/>
          <cell r="M19" t="str">
            <v>02-6400-6080</v>
          </cell>
          <cell r="N19" t="str">
            <v>010-3781-9230</v>
          </cell>
          <cell r="O19" t="str">
            <v>pelikan.ju@cnthoth.com</v>
          </cell>
          <cell r="P19" t="str">
            <v>690507-1</v>
          </cell>
          <cell r="Q19">
            <v>32964</v>
          </cell>
          <cell r="R19">
            <v>40613</v>
          </cell>
          <cell r="S19">
            <v>41640</v>
          </cell>
          <cell r="T19" t="str">
            <v>강남대학교</v>
          </cell>
          <cell r="U19"/>
          <cell r="V19" t="str">
            <v>대졸</v>
          </cell>
          <cell r="W19"/>
          <cell r="X19"/>
          <cell r="Y19"/>
          <cell r="Z19">
            <v>13189</v>
          </cell>
          <cell r="AA19">
            <v>5540</v>
          </cell>
          <cell r="AB19"/>
          <cell r="AC19"/>
          <cell r="AD19" t="str">
            <v>SK AX B동 4F_판교</v>
          </cell>
          <cell r="AE19" t="str">
            <v>경기도</v>
          </cell>
          <cell r="AF19" t="str">
            <v>2. Network Service</v>
          </cell>
          <cell r="AG19" t="str">
            <v>2. Network Service</v>
          </cell>
          <cell r="AH19" t="str">
            <v>SK AX</v>
          </cell>
          <cell r="AI19" t="str">
            <v>SK그룹사(공통)</v>
          </cell>
          <cell r="AJ19" t="str">
            <v>최재유</v>
          </cell>
          <cell r="AK19">
            <v>13486</v>
          </cell>
          <cell r="AL19" t="str">
            <v>경기도 성남시 분당구 판교로 255번길 38 SK C&amp;C 판교캠퍼스 B동 4층</v>
          </cell>
          <cell r="AM19">
            <v>13436</v>
          </cell>
          <cell r="AN19" t="str">
            <v>경기도 성남시 중원구 성남대로 1000, 318동 101호 (여수동, 센트럴타운 3단지)</v>
          </cell>
          <cell r="AO19" t="str">
            <v>Network Service팀</v>
          </cell>
          <cell r="AP19" t="str">
            <v>SK공통 N/W 보안 운영</v>
          </cell>
          <cell r="AQ19" t="str">
            <v>NW 일반 운영 및 회선관리</v>
          </cell>
          <cell r="AS19" t="str">
            <v>고객사 공통 / 2026년_인프라운영_HC11_1분기(4500303149-01)</v>
          </cell>
          <cell r="AT19" t="str">
            <v>통상</v>
          </cell>
          <cell r="AU19" t="str">
            <v>정직원</v>
          </cell>
          <cell r="AV19" t="str">
            <v>씨앤토트플러스㈜</v>
          </cell>
          <cell r="AW19">
            <v>7355000</v>
          </cell>
          <cell r="AX19">
            <v>7355000</v>
          </cell>
          <cell r="AY19">
            <v>12</v>
          </cell>
          <cell r="AZ19">
            <v>88260000</v>
          </cell>
          <cell r="BA19"/>
          <cell r="BB19"/>
          <cell r="BC19">
            <v>45839</v>
          </cell>
          <cell r="BD19">
            <v>65040000</v>
          </cell>
          <cell r="BE19">
            <v>66480000</v>
          </cell>
          <cell r="BF19">
            <v>66480000</v>
          </cell>
          <cell r="BG19">
            <v>5540000</v>
          </cell>
          <cell r="BH19">
            <v>4801500</v>
          </cell>
          <cell r="BI19">
            <v>23930.62</v>
          </cell>
          <cell r="BJ19">
            <v>209</v>
          </cell>
          <cell r="BK19">
            <v>15</v>
          </cell>
          <cell r="BL19">
            <v>0</v>
          </cell>
          <cell r="BM19">
            <v>538500</v>
          </cell>
          <cell r="BN19">
            <v>0</v>
          </cell>
          <cell r="BO19">
            <v>200000</v>
          </cell>
          <cell r="BP19">
            <v>0</v>
          </cell>
          <cell r="BQ19" t="str">
            <v>적합</v>
          </cell>
          <cell r="BR19"/>
          <cell r="BS19">
            <v>957224.79999999993</v>
          </cell>
          <cell r="BT19">
            <v>5619768.7333333334</v>
          </cell>
          <cell r="BU19">
            <v>3043800</v>
          </cell>
          <cell r="BV19">
            <v>2610004.0320000001</v>
          </cell>
          <cell r="BW19">
            <v>993240</v>
          </cell>
          <cell r="BX19">
            <v>422928</v>
          </cell>
          <cell r="BY19">
            <v>6925000</v>
          </cell>
          <cell r="BZ19">
            <v>73056993.533333331</v>
          </cell>
          <cell r="CA19">
            <v>7069972.0319999997</v>
          </cell>
          <cell r="CB19">
            <v>83100000</v>
          </cell>
          <cell r="CC19">
            <v>5160000</v>
          </cell>
          <cell r="CD19">
            <v>5.8463630183548609</v>
          </cell>
        </row>
        <row r="20">
          <cell r="F20" t="str">
            <v>조원석</v>
          </cell>
          <cell r="G20" t="str">
            <v>부장</v>
          </cell>
          <cell r="H20" t="str">
            <v>고급하</v>
          </cell>
          <cell r="I20" t="str">
            <v>고급기술자</v>
          </cell>
          <cell r="J20" t="str">
            <v>하도급(FTE)</v>
          </cell>
          <cell r="K20" t="str">
            <v>서비스 관제 센터장</v>
          </cell>
          <cell r="L20"/>
          <cell r="M20" t="str">
            <v>02-829-2382</v>
          </cell>
          <cell r="N20" t="str">
            <v>010-8706-7076</v>
          </cell>
          <cell r="O20" t="str">
            <v>chobung@cnthoth.com</v>
          </cell>
          <cell r="P20" t="str">
            <v>701001-1</v>
          </cell>
          <cell r="Q20">
            <v>36008</v>
          </cell>
          <cell r="R20">
            <v>40634</v>
          </cell>
          <cell r="S20">
            <v>41640</v>
          </cell>
          <cell r="T20" t="str">
            <v>서울 대진고등학교</v>
          </cell>
          <cell r="U20"/>
          <cell r="V20" t="str">
            <v>고졸</v>
          </cell>
          <cell r="W20" t="str">
            <v>정보처리기사</v>
          </cell>
          <cell r="X20" t="str">
            <v>전기산업기사</v>
          </cell>
          <cell r="Y20" t="str">
            <v>전기기사</v>
          </cell>
          <cell r="Z20">
            <v>10145</v>
          </cell>
          <cell r="AA20">
            <v>5519</v>
          </cell>
          <cell r="AB20"/>
          <cell r="AC20"/>
          <cell r="AD20" t="str">
            <v>보라매DC_주간</v>
          </cell>
          <cell r="AE20" t="str">
            <v>서울특별시</v>
          </cell>
          <cell r="AF20" t="str">
            <v>1. Infra 운영</v>
          </cell>
          <cell r="AG20" t="str">
            <v>1. Infra 운영</v>
          </cell>
          <cell r="AH20" t="str">
            <v>SK AX</v>
          </cell>
          <cell r="AI20" t="str">
            <v>SKT(보라매)</v>
          </cell>
          <cell r="AJ20" t="str">
            <v>조원석</v>
          </cell>
          <cell r="AK20" t="str">
            <v>08708</v>
          </cell>
          <cell r="AL20" t="str">
            <v>서울시 관악구 보라매로5길 1  SK텔레콤빌딩 6F (봉천동)</v>
          </cell>
          <cell r="AM20" t="str">
            <v>07704</v>
          </cell>
          <cell r="AN20" t="str">
            <v>서울특별시 강서구 강서로45다길 30-27, 109동 1002호 (화곡동, 초록아파트)</v>
          </cell>
          <cell r="AO20" t="str">
            <v>T Biz. Cloud팀</v>
          </cell>
          <cell r="AP20" t="str">
            <v>보라매 DC 운영</v>
          </cell>
          <cell r="AQ20" t="str">
            <v>Facility 운영</v>
          </cell>
          <cell r="AR20" t="str">
            <v>/ 관제 운영</v>
          </cell>
          <cell r="AS20" t="str">
            <v>고객사 공통 / 2026년_인프라운영_HC12_1분기(4500303380-01)</v>
          </cell>
          <cell r="AT20" t="str">
            <v>통상</v>
          </cell>
          <cell r="AU20" t="str">
            <v>정직원</v>
          </cell>
          <cell r="AV20" t="str">
            <v>씨앤토트플러스㈜</v>
          </cell>
          <cell r="AW20">
            <v>6316000</v>
          </cell>
          <cell r="AX20">
            <v>6316000</v>
          </cell>
          <cell r="AY20">
            <v>12</v>
          </cell>
          <cell r="AZ20">
            <v>75792000</v>
          </cell>
          <cell r="BA20"/>
          <cell r="BB20"/>
          <cell r="BC20">
            <v>45839</v>
          </cell>
          <cell r="BD20">
            <v>56604000</v>
          </cell>
          <cell r="BE20">
            <v>57804000</v>
          </cell>
          <cell r="BF20">
            <v>57804000</v>
          </cell>
          <cell r="BG20">
            <v>4817000</v>
          </cell>
          <cell r="BH20">
            <v>4148800</v>
          </cell>
          <cell r="BI20">
            <v>20807.66</v>
          </cell>
          <cell r="BJ20">
            <v>209</v>
          </cell>
          <cell r="BK20">
            <v>15</v>
          </cell>
          <cell r="BL20">
            <v>0</v>
          </cell>
          <cell r="BM20">
            <v>468200</v>
          </cell>
          <cell r="BN20">
            <v>0</v>
          </cell>
          <cell r="BO20">
            <v>200000</v>
          </cell>
          <cell r="BP20">
            <v>0</v>
          </cell>
          <cell r="BQ20" t="str">
            <v>적합</v>
          </cell>
          <cell r="BR20"/>
          <cell r="BS20">
            <v>832306.4</v>
          </cell>
          <cell r="BT20">
            <v>4886358.8666666662</v>
          </cell>
          <cell r="BU20">
            <v>2631690</v>
          </cell>
          <cell r="BV20">
            <v>2256627.0815999997</v>
          </cell>
          <cell r="BW20">
            <v>858762</v>
          </cell>
          <cell r="BX20">
            <v>365666.4</v>
          </cell>
          <cell r="BY20">
            <v>6021250</v>
          </cell>
          <cell r="BZ20">
            <v>63522665.266666666</v>
          </cell>
          <cell r="CA20">
            <v>6112745.4815999996</v>
          </cell>
          <cell r="CB20">
            <v>72255000</v>
          </cell>
          <cell r="CC20">
            <v>3537000</v>
          </cell>
          <cell r="CD20">
            <v>4.6667194426852436</v>
          </cell>
        </row>
        <row r="21">
          <cell r="F21" t="str">
            <v>하상영</v>
          </cell>
          <cell r="G21" t="str">
            <v>부장</v>
          </cell>
          <cell r="H21" t="str">
            <v>고급하</v>
          </cell>
          <cell r="I21" t="str">
            <v>고급기술자</v>
          </cell>
          <cell r="J21" t="str">
            <v>하도급(FTE)</v>
          </cell>
          <cell r="K21" t="str">
            <v>IT Facility 매니저</v>
          </cell>
          <cell r="L21"/>
          <cell r="M21" t="str">
            <v>02-6400-6111</v>
          </cell>
          <cell r="N21" t="str">
            <v>010-3745-1745</v>
          </cell>
          <cell r="O21" t="str">
            <v>hsy403@cnthoth.com</v>
          </cell>
          <cell r="P21" t="str">
            <v>670601-1</v>
          </cell>
          <cell r="Q21">
            <v>33512</v>
          </cell>
          <cell r="R21">
            <v>40634</v>
          </cell>
          <cell r="S21">
            <v>41640</v>
          </cell>
          <cell r="T21" t="str">
            <v>서울 잠실고등학교</v>
          </cell>
          <cell r="U21"/>
          <cell r="V21" t="str">
            <v>고졸</v>
          </cell>
          <cell r="W21" t="str">
            <v xml:space="preserve">정보처리산업기사 </v>
          </cell>
          <cell r="X21"/>
          <cell r="Y21"/>
          <cell r="Z21">
            <v>12641</v>
          </cell>
          <cell r="AA21">
            <v>5519</v>
          </cell>
          <cell r="AB21"/>
          <cell r="AC21"/>
          <cell r="AD21" t="str">
            <v>SK AX_판교 B동</v>
          </cell>
          <cell r="AE21" t="str">
            <v>경기도</v>
          </cell>
          <cell r="AF21" t="str">
            <v>1. Infra 운영</v>
          </cell>
          <cell r="AG21" t="str">
            <v>1. Infra 운영</v>
          </cell>
          <cell r="AH21" t="str">
            <v>SK AX</v>
          </cell>
          <cell r="AI21" t="str">
            <v>SK그룹사(공통)</v>
          </cell>
          <cell r="AJ21" t="str">
            <v>김홍범</v>
          </cell>
          <cell r="AK21">
            <v>13558</v>
          </cell>
          <cell r="AL21" t="str">
            <v>경기도 성남시 분당구 판교로 255번길 46 SK C&amp;C 판교캠퍼스 A동 1층</v>
          </cell>
          <cell r="AM21" t="str">
            <v>05783</v>
          </cell>
          <cell r="AN21" t="str">
            <v>서울특별시 송파구 동남로18길 9, 2동 405호 (가락동, 극동아파트)</v>
          </cell>
          <cell r="AO21" t="str">
            <v>제조/환경Cloud팀 </v>
          </cell>
          <cell r="AP21" t="str">
            <v>Facility 운영</v>
          </cell>
          <cell r="AQ21" t="str">
            <v>Facility 운영</v>
          </cell>
          <cell r="AS21" t="str">
            <v>고객사 공통 / 2026년_인프라운영_HC22_01_1분기 (4500303129-01)</v>
          </cell>
          <cell r="AT21" t="str">
            <v>통상</v>
          </cell>
          <cell r="AU21" t="str">
            <v>정직원</v>
          </cell>
          <cell r="AV21" t="str">
            <v>씨앤토트플러스㈜</v>
          </cell>
          <cell r="AW21">
            <v>6600000</v>
          </cell>
          <cell r="AX21">
            <v>6600000</v>
          </cell>
          <cell r="AY21">
            <v>12</v>
          </cell>
          <cell r="AZ21">
            <v>79200000</v>
          </cell>
          <cell r="BA21"/>
          <cell r="BB21"/>
          <cell r="BC21">
            <v>45839</v>
          </cell>
          <cell r="BD21">
            <v>51444000</v>
          </cell>
          <cell r="BE21">
            <v>52644000</v>
          </cell>
          <cell r="BF21">
            <v>52644000</v>
          </cell>
          <cell r="BG21">
            <v>4387000</v>
          </cell>
          <cell r="BH21">
            <v>3760600</v>
          </cell>
          <cell r="BI21">
            <v>18950.240000000002</v>
          </cell>
          <cell r="BJ21">
            <v>209</v>
          </cell>
          <cell r="BK21">
            <v>15</v>
          </cell>
          <cell r="BL21">
            <v>0</v>
          </cell>
          <cell r="BM21">
            <v>426400</v>
          </cell>
          <cell r="BN21">
            <v>0</v>
          </cell>
          <cell r="BO21">
            <v>200000</v>
          </cell>
          <cell r="BP21">
            <v>0</v>
          </cell>
          <cell r="BQ21" t="str">
            <v>적합</v>
          </cell>
          <cell r="BR21"/>
          <cell r="BS21">
            <v>758009.60000000009</v>
          </cell>
          <cell r="BT21">
            <v>4450167.4666666668</v>
          </cell>
          <cell r="BU21">
            <v>2386590</v>
          </cell>
          <cell r="BV21">
            <v>2046458.2175999996</v>
          </cell>
          <cell r="BW21">
            <v>778782</v>
          </cell>
          <cell r="BX21">
            <v>331610.40000000002</v>
          </cell>
          <cell r="BY21">
            <v>5483750</v>
          </cell>
          <cell r="BZ21">
            <v>57852177.06666667</v>
          </cell>
          <cell r="CA21">
            <v>5543440.6175999995</v>
          </cell>
          <cell r="CB21">
            <v>65805000</v>
          </cell>
          <cell r="CC21">
            <v>13395000</v>
          </cell>
          <cell r="CD21">
            <v>16.912878787878789</v>
          </cell>
        </row>
        <row r="22">
          <cell r="F22" t="str">
            <v>정태옥</v>
          </cell>
          <cell r="G22" t="str">
            <v>부장</v>
          </cell>
          <cell r="H22" t="str">
            <v>고급상</v>
          </cell>
          <cell r="I22" t="str">
            <v>고급기술자</v>
          </cell>
          <cell r="J22" t="str">
            <v>하도급(FTE)</v>
          </cell>
          <cell r="K22" t="str">
            <v>Backup/Storage 엔지니어</v>
          </cell>
          <cell r="L22"/>
          <cell r="M22" t="str">
            <v>02-6400-6551</v>
          </cell>
          <cell r="N22" t="str">
            <v>010-4948-0954</v>
          </cell>
          <cell r="O22" t="str">
            <v>oktojung@cnthoth.com</v>
          </cell>
          <cell r="P22" t="str">
            <v>700110-1</v>
          </cell>
          <cell r="Q22">
            <v>33970</v>
          </cell>
          <cell r="R22">
            <v>40664</v>
          </cell>
          <cell r="S22">
            <v>41640</v>
          </cell>
          <cell r="T22" t="str">
            <v>신흥대학</v>
          </cell>
          <cell r="U22"/>
          <cell r="V22" t="str">
            <v>전문대졸</v>
          </cell>
          <cell r="W22"/>
          <cell r="X22"/>
          <cell r="Y22"/>
          <cell r="Z22">
            <v>12183</v>
          </cell>
          <cell r="AA22">
            <v>5489</v>
          </cell>
          <cell r="AB22"/>
          <cell r="AC22"/>
          <cell r="AD22" t="str">
            <v>분당지웰푸르지오_수내</v>
          </cell>
          <cell r="AE22" t="str">
            <v>경기도</v>
          </cell>
          <cell r="AF22" t="str">
            <v>1. Infra 운영</v>
          </cell>
          <cell r="AG22" t="str">
            <v>1. Infra 운영</v>
          </cell>
          <cell r="AH22" t="str">
            <v>SK AX</v>
          </cell>
          <cell r="AI22" t="str">
            <v>SK그룹사(공통)</v>
          </cell>
          <cell r="AJ22" t="str">
            <v>김홍범</v>
          </cell>
          <cell r="AK22">
            <v>13594</v>
          </cell>
          <cell r="AL22" t="str">
            <v>경기도 성남시 분당구 수내로 39 분당지웰푸르지오아파트 오피스 6층</v>
          </cell>
          <cell r="AM22" t="str">
            <v>02248</v>
          </cell>
          <cell r="AN22" t="str">
            <v>서울특별시 중랑구 동일로 483, 101동 1902호 (면목4동, 두원아파트)</v>
          </cell>
          <cell r="AO22" t="str">
            <v>T Biz. Cloud팀</v>
          </cell>
          <cell r="AP22" t="str">
            <v>Backup/Storage</v>
          </cell>
          <cell r="AQ22" t="str">
            <v>Backup/Restore 관리</v>
          </cell>
          <cell r="AR22" t="str">
            <v>/ Storage 구축 지원, 운영</v>
          </cell>
          <cell r="AS22" t="str">
            <v>고객사 공통 / 2026년_인프라운영_HC12_1분기(4500303380-01)</v>
          </cell>
          <cell r="AT22" t="str">
            <v>통상</v>
          </cell>
          <cell r="AU22" t="str">
            <v>정직원</v>
          </cell>
          <cell r="AV22" t="str">
            <v>씨앤토트플러스㈜</v>
          </cell>
          <cell r="AW22">
            <v>8615000</v>
          </cell>
          <cell r="AX22">
            <v>8615000</v>
          </cell>
          <cell r="AY22">
            <v>12</v>
          </cell>
          <cell r="AZ22">
            <v>103380000</v>
          </cell>
          <cell r="BA22"/>
          <cell r="BB22"/>
          <cell r="BC22">
            <v>45839</v>
          </cell>
          <cell r="BD22">
            <v>72900000</v>
          </cell>
          <cell r="BE22">
            <v>74520000</v>
          </cell>
          <cell r="BF22">
            <v>74520000</v>
          </cell>
          <cell r="BG22">
            <v>6210000</v>
          </cell>
          <cell r="BH22">
            <v>5406400</v>
          </cell>
          <cell r="BI22">
            <v>26824.880000000001</v>
          </cell>
          <cell r="BJ22">
            <v>209</v>
          </cell>
          <cell r="BK22">
            <v>15</v>
          </cell>
          <cell r="BL22">
            <v>0</v>
          </cell>
          <cell r="BM22">
            <v>603600</v>
          </cell>
          <cell r="BN22">
            <v>0</v>
          </cell>
          <cell r="BO22">
            <v>200000</v>
          </cell>
          <cell r="BP22">
            <v>0</v>
          </cell>
          <cell r="BQ22" t="str">
            <v>적합</v>
          </cell>
          <cell r="BR22"/>
          <cell r="BS22">
            <v>1072995.2</v>
          </cell>
          <cell r="BT22">
            <v>6299416.2666666666</v>
          </cell>
          <cell r="BU22">
            <v>3425700</v>
          </cell>
          <cell r="BV22">
            <v>2937476.4479999999</v>
          </cell>
          <cell r="BW22">
            <v>1117860</v>
          </cell>
          <cell r="BX22">
            <v>475992</v>
          </cell>
          <cell r="BY22">
            <v>7762500</v>
          </cell>
          <cell r="BZ22">
            <v>81892411.466666669</v>
          </cell>
          <cell r="CA22">
            <v>7957028.4479999999</v>
          </cell>
          <cell r="CB22">
            <v>93150000</v>
          </cell>
          <cell r="CC22">
            <v>10230000</v>
          </cell>
          <cell r="CD22">
            <v>9.8955310504933252</v>
          </cell>
        </row>
        <row r="23">
          <cell r="F23" t="str">
            <v>임정재</v>
          </cell>
          <cell r="G23" t="str">
            <v>부장</v>
          </cell>
          <cell r="H23" t="str">
            <v>고급하</v>
          </cell>
          <cell r="I23" t="str">
            <v>고급기술자</v>
          </cell>
          <cell r="J23" t="str">
            <v>하도급(FTE)</v>
          </cell>
          <cell r="K23" t="str">
            <v>네트워크엔지니어</v>
          </cell>
          <cell r="L23"/>
          <cell r="M23" t="str">
            <v>02-6100-2712</v>
          </cell>
          <cell r="N23" t="str">
            <v>010-3100-8444</v>
          </cell>
          <cell r="O23" t="str">
            <v>netcomm@cnthoth.com</v>
          </cell>
          <cell r="P23" t="str">
            <v>720810-1</v>
          </cell>
          <cell r="Q23">
            <v>36373</v>
          </cell>
          <cell r="R23">
            <v>41000</v>
          </cell>
          <cell r="S23">
            <v>41640</v>
          </cell>
          <cell r="T23" t="str">
            <v>호원대학교</v>
          </cell>
          <cell r="U23"/>
          <cell r="V23" t="str">
            <v>대졸</v>
          </cell>
          <cell r="W23" t="str">
            <v>SCJP</v>
          </cell>
          <cell r="X23"/>
          <cell r="Y23"/>
          <cell r="Z23">
            <v>9780</v>
          </cell>
          <cell r="AA23">
            <v>5153</v>
          </cell>
          <cell r="AB23"/>
          <cell r="AC23"/>
          <cell r="AD23" t="str">
            <v>SKT_을지로</v>
          </cell>
          <cell r="AE23" t="str">
            <v>서울특별시</v>
          </cell>
          <cell r="AF23" t="str">
            <v>1. Infra 운영</v>
          </cell>
          <cell r="AG23" t="str">
            <v>1. Infra 운영</v>
          </cell>
          <cell r="AH23" t="str">
            <v>SK AX</v>
          </cell>
          <cell r="AI23" t="str">
            <v>SKT_T타워(을지로)</v>
          </cell>
          <cell r="AJ23" t="str">
            <v>임정재</v>
          </cell>
          <cell r="AK23" t="str">
            <v>04539</v>
          </cell>
          <cell r="AL23" t="str">
            <v>서울시 중구 을지로 65 (을지로2가) SK텔레콤빌딩 9층 IT Infra 그룹</v>
          </cell>
          <cell r="AM23" t="str">
            <v>03337</v>
          </cell>
          <cell r="AN23" t="str">
            <v>서울특별시 은평구 통일로 942-11, 202호 (불광동)</v>
          </cell>
          <cell r="AO23" t="str">
            <v>CloudControlCenter팀</v>
          </cell>
          <cell r="AP23" t="str">
            <v>SKT 정보보안</v>
          </cell>
          <cell r="AQ23" t="str">
            <v>서비스 종합 장애조치</v>
          </cell>
          <cell r="AR23"/>
          <cell r="AS23" t="str">
            <v>고객사 공통 / 2026년_인프라운영_HC10_21_1분기(4500303124-01)</v>
          </cell>
          <cell r="AT23" t="str">
            <v>통상</v>
          </cell>
          <cell r="AU23" t="str">
            <v>정직원</v>
          </cell>
          <cell r="AV23" t="str">
            <v>씨앤토트플러스㈜</v>
          </cell>
          <cell r="AW23">
            <v>8373000</v>
          </cell>
          <cell r="AX23">
            <v>8373000</v>
          </cell>
          <cell r="AY23">
            <v>12</v>
          </cell>
          <cell r="AZ23">
            <v>100476000</v>
          </cell>
          <cell r="BA23"/>
          <cell r="BB23"/>
          <cell r="BC23">
            <v>45839</v>
          </cell>
          <cell r="BD23">
            <v>70008000.000000015</v>
          </cell>
          <cell r="BE23">
            <v>71568000</v>
          </cell>
          <cell r="BF23">
            <v>71568000</v>
          </cell>
          <cell r="BG23">
            <v>5964000</v>
          </cell>
          <cell r="BH23">
            <v>5184300</v>
          </cell>
          <cell r="BI23">
            <v>25762.2</v>
          </cell>
          <cell r="BJ23">
            <v>209</v>
          </cell>
          <cell r="BK23">
            <v>15</v>
          </cell>
          <cell r="BL23">
            <v>0</v>
          </cell>
          <cell r="BM23">
            <v>579700</v>
          </cell>
          <cell r="BN23">
            <v>0</v>
          </cell>
          <cell r="BO23">
            <v>200000</v>
          </cell>
          <cell r="BP23">
            <v>0</v>
          </cell>
          <cell r="BQ23" t="str">
            <v>적합</v>
          </cell>
          <cell r="BR23"/>
          <cell r="BS23">
            <v>1030488</v>
          </cell>
          <cell r="BT23">
            <v>6049874</v>
          </cell>
          <cell r="BU23">
            <v>3285480</v>
          </cell>
          <cell r="BV23">
            <v>2817240.3072000002</v>
          </cell>
          <cell r="BW23">
            <v>1072104</v>
          </cell>
          <cell r="BX23">
            <v>456508.8</v>
          </cell>
          <cell r="BY23">
            <v>7455000</v>
          </cell>
          <cell r="BZ23">
            <v>78648362</v>
          </cell>
          <cell r="CA23">
            <v>7631333.1071999995</v>
          </cell>
          <cell r="CB23">
            <v>89460000</v>
          </cell>
          <cell r="CC23">
            <v>11016000</v>
          </cell>
          <cell r="CD23">
            <v>10.963812253672518</v>
          </cell>
        </row>
        <row r="24">
          <cell r="F24" t="str">
            <v>박규성</v>
          </cell>
          <cell r="G24" t="str">
            <v>부장</v>
          </cell>
          <cell r="H24" t="str">
            <v>고급상</v>
          </cell>
          <cell r="I24" t="str">
            <v>고급기술자</v>
          </cell>
          <cell r="J24" t="str">
            <v>하도급(M/M)</v>
          </cell>
          <cell r="K24" t="str">
            <v>네트워크엔지니어</v>
          </cell>
          <cell r="L24"/>
          <cell r="M24" t="str">
            <v>02-6266-6459</v>
          </cell>
          <cell r="N24" t="str">
            <v>010-8155-6509</v>
          </cell>
          <cell r="O24" t="str">
            <v>gspark12@cnthoth.com</v>
          </cell>
          <cell r="P24" t="str">
            <v>701205-1</v>
          </cell>
          <cell r="Q24">
            <v>33543</v>
          </cell>
          <cell r="R24">
            <v>41091</v>
          </cell>
          <cell r="S24">
            <v>41640</v>
          </cell>
          <cell r="T24" t="str">
            <v>한국정보기능대</v>
          </cell>
          <cell r="V24" t="str">
            <v>전문대졸</v>
          </cell>
          <cell r="W24" t="str">
            <v>정보설비기사2급</v>
          </cell>
          <cell r="X24" t="str">
            <v>유선설비기사2급</v>
          </cell>
          <cell r="Z24">
            <v>12610</v>
          </cell>
          <cell r="AA24">
            <v>5062</v>
          </cell>
          <cell r="AB24"/>
          <cell r="AC24"/>
          <cell r="AD24" t="str">
            <v>SKB 7층_동작</v>
          </cell>
          <cell r="AE24" t="str">
            <v>서울특별시</v>
          </cell>
          <cell r="AF24" t="str">
            <v>4. SKB/SK하이닉스 Infra 운영</v>
          </cell>
          <cell r="AG24" t="str">
            <v>4. SKB/SK하이닉스 Infra 운영</v>
          </cell>
          <cell r="AH24" t="str">
            <v>SK AX</v>
          </cell>
          <cell r="AI24" t="str">
            <v>SKB(동작)</v>
          </cell>
          <cell r="AJ24" t="str">
            <v>박규성</v>
          </cell>
          <cell r="AK24" t="str">
            <v>07063</v>
          </cell>
          <cell r="AL24" t="str">
            <v>서울시 동작구 여의대방로 74 (신대방동) SK브로드밴드 7층</v>
          </cell>
          <cell r="AM24" t="str">
            <v>07950</v>
          </cell>
          <cell r="AN24" t="str">
            <v>서울특별시 양천구 목동중앙북로6길 31-1, 2층 (목동)</v>
          </cell>
          <cell r="AO24" t="str">
            <v>ICT Cloud팀</v>
          </cell>
          <cell r="AP24" t="str">
            <v>SKB N/W 운영</v>
          </cell>
          <cell r="AQ24" t="str">
            <v>SKB N/W 운영 총괄</v>
          </cell>
          <cell r="AS24" t="str">
            <v>에스케이브로드밴드(주) / SKB 26년 IT장비 및 소프트웨어 유지보수_1분기(4500302989-01)</v>
          </cell>
          <cell r="AT24" t="str">
            <v>통상</v>
          </cell>
          <cell r="AU24" t="str">
            <v>정직원</v>
          </cell>
          <cell r="AV24" t="str">
            <v>씨앤토트플러스㈜</v>
          </cell>
          <cell r="AW24">
            <v>7186000</v>
          </cell>
          <cell r="AX24">
            <v>7186000</v>
          </cell>
          <cell r="AY24">
            <v>12</v>
          </cell>
          <cell r="AZ24">
            <v>86232000</v>
          </cell>
          <cell r="BC24">
            <v>45839</v>
          </cell>
          <cell r="BD24">
            <v>63204000</v>
          </cell>
          <cell r="BE24">
            <v>64548000</v>
          </cell>
          <cell r="BF24">
            <v>64548000</v>
          </cell>
          <cell r="BG24">
            <v>5379000</v>
          </cell>
          <cell r="BH24">
            <v>4656200</v>
          </cell>
          <cell r="BI24">
            <v>23235.41</v>
          </cell>
          <cell r="BJ24">
            <v>209</v>
          </cell>
          <cell r="BK24">
            <v>15</v>
          </cell>
          <cell r="BL24">
            <v>0</v>
          </cell>
          <cell r="BM24">
            <v>522800</v>
          </cell>
          <cell r="BN24">
            <v>0</v>
          </cell>
          <cell r="BO24">
            <v>200000</v>
          </cell>
          <cell r="BP24">
            <v>0</v>
          </cell>
          <cell r="BQ24" t="str">
            <v>적합</v>
          </cell>
          <cell r="BR24"/>
          <cell r="BS24">
            <v>929416.4</v>
          </cell>
          <cell r="BT24">
            <v>5456451.3666666662</v>
          </cell>
          <cell r="BU24">
            <v>2952030</v>
          </cell>
          <cell r="BV24">
            <v>2531312.8991999999</v>
          </cell>
          <cell r="BW24">
            <v>963294</v>
          </cell>
          <cell r="BX24">
            <v>410176.8</v>
          </cell>
          <cell r="BY24">
            <v>6723750</v>
          </cell>
          <cell r="BZ24">
            <v>70933867.766666666</v>
          </cell>
          <cell r="CA24">
            <v>6856813.6991999997</v>
          </cell>
          <cell r="CB24">
            <v>80685000</v>
          </cell>
          <cell r="CC24">
            <v>5547000</v>
          </cell>
          <cell r="CD24">
            <v>6.4326468132479819</v>
          </cell>
        </row>
        <row r="25">
          <cell r="F25" t="str">
            <v>신동호</v>
          </cell>
          <cell r="G25" t="str">
            <v>부장</v>
          </cell>
          <cell r="H25" t="str">
            <v>고급상</v>
          </cell>
          <cell r="I25" t="str">
            <v>고급기술자</v>
          </cell>
          <cell r="J25" t="str">
            <v>하도급(M/M)</v>
          </cell>
          <cell r="K25" t="str">
            <v>DBA</v>
          </cell>
          <cell r="L25" t="str">
            <v>배동환 후임</v>
          </cell>
          <cell r="M25" t="str">
            <v>02-6266-6907</v>
          </cell>
          <cell r="N25" t="str">
            <v>010-3459-0208</v>
          </cell>
          <cell r="O25" t="str">
            <v>sdhcoo@cnthoth.com</v>
          </cell>
          <cell r="P25" t="str">
            <v>710208-1</v>
          </cell>
          <cell r="Q25">
            <v>35582</v>
          </cell>
          <cell r="R25">
            <v>41275</v>
          </cell>
          <cell r="S25">
            <v>41640</v>
          </cell>
          <cell r="T25" t="str">
            <v>한신대학교</v>
          </cell>
          <cell r="V25" t="str">
            <v>대졸</v>
          </cell>
          <cell r="W25" t="str">
            <v>정보처리기사</v>
          </cell>
          <cell r="X25" t="str">
            <v>OCP10g</v>
          </cell>
          <cell r="Z25">
            <v>10571</v>
          </cell>
          <cell r="AA25">
            <v>4878</v>
          </cell>
          <cell r="AB25"/>
          <cell r="AC25"/>
          <cell r="AD25" t="str">
            <v>SKB 7층_동작</v>
          </cell>
          <cell r="AE25" t="str">
            <v>서울특별시</v>
          </cell>
          <cell r="AF25" t="str">
            <v>4. SKB/SK하이닉스 Infra 운영</v>
          </cell>
          <cell r="AG25" t="str">
            <v>4. SKB/SK하이닉스 Infra 운영</v>
          </cell>
          <cell r="AH25" t="str">
            <v>SK AX</v>
          </cell>
          <cell r="AI25" t="str">
            <v>SKB(동작)</v>
          </cell>
          <cell r="AJ25" t="str">
            <v>박규성</v>
          </cell>
          <cell r="AK25" t="str">
            <v>07063</v>
          </cell>
          <cell r="AL25" t="str">
            <v>서울시 동작구 여의대방로 74 (신대방동) SK브로드밴드 7층</v>
          </cell>
          <cell r="AM25" t="str">
            <v>03304</v>
          </cell>
          <cell r="AN25" t="str">
            <v>서울특별시 은평구 진관4로 78-7, 602동 301호 (진관동)</v>
          </cell>
          <cell r="AO25" t="str">
            <v>ICT Cloud팀</v>
          </cell>
          <cell r="AP25" t="str">
            <v>DB 운영</v>
          </cell>
          <cell r="AQ25" t="str">
            <v>DB 운영</v>
          </cell>
          <cell r="AR25" t="str">
            <v>/ Oracle</v>
          </cell>
          <cell r="AS25" t="str">
            <v>에스케이브로드밴드(주) / SKB 26년 IT장비 및 소프트웨어 유지보수_1분기(4500302989-01)</v>
          </cell>
          <cell r="AT25" t="str">
            <v>통상</v>
          </cell>
          <cell r="AU25" t="str">
            <v>정직원</v>
          </cell>
          <cell r="AV25" t="str">
            <v>씨앤토트플러스㈜</v>
          </cell>
          <cell r="AW25">
            <v>7186000</v>
          </cell>
          <cell r="AX25">
            <v>7186000</v>
          </cell>
          <cell r="AY25">
            <v>12</v>
          </cell>
          <cell r="AZ25">
            <v>86232000</v>
          </cell>
          <cell r="BA25"/>
          <cell r="BB25"/>
          <cell r="BC25">
            <v>45839</v>
          </cell>
          <cell r="BD25">
            <v>61800000</v>
          </cell>
          <cell r="BE25">
            <v>63144000</v>
          </cell>
          <cell r="BF25">
            <v>63144000</v>
          </cell>
          <cell r="BG25">
            <v>5262000</v>
          </cell>
          <cell r="BH25">
            <v>4550500</v>
          </cell>
          <cell r="BI25">
            <v>22729.67</v>
          </cell>
          <cell r="BJ25">
            <v>209</v>
          </cell>
          <cell r="BK25">
            <v>15</v>
          </cell>
          <cell r="BL25">
            <v>0</v>
          </cell>
          <cell r="BM25">
            <v>511500</v>
          </cell>
          <cell r="BN25">
            <v>0</v>
          </cell>
          <cell r="BO25">
            <v>200000</v>
          </cell>
          <cell r="BP25">
            <v>0</v>
          </cell>
          <cell r="BQ25" t="str">
            <v>적합</v>
          </cell>
          <cell r="BR25"/>
          <cell r="BS25">
            <v>909186.79999999993</v>
          </cell>
          <cell r="BT25">
            <v>5337765.5666666664</v>
          </cell>
          <cell r="BU25">
            <v>2885340</v>
          </cell>
          <cell r="BV25">
            <v>2474127.4175999998</v>
          </cell>
          <cell r="BW25">
            <v>941532</v>
          </cell>
          <cell r="BX25">
            <v>400910.4</v>
          </cell>
          <cell r="BY25">
            <v>6577500</v>
          </cell>
          <cell r="BZ25">
            <v>69390952.36666666</v>
          </cell>
          <cell r="CA25">
            <v>6701909.8176000006</v>
          </cell>
          <cell r="CB25">
            <v>78930000</v>
          </cell>
          <cell r="CC25">
            <v>7302000</v>
          </cell>
          <cell r="CD25">
            <v>8.467854160868356</v>
          </cell>
        </row>
        <row r="26">
          <cell r="F26" t="str">
            <v>배상용</v>
          </cell>
          <cell r="G26" t="str">
            <v>부장</v>
          </cell>
          <cell r="H26" t="str">
            <v>중급상</v>
          </cell>
          <cell r="I26" t="str">
            <v>중급기술자</v>
          </cell>
          <cell r="J26" t="str">
            <v>하도급(FTE)</v>
          </cell>
          <cell r="K26" t="str">
            <v>M/W 엔지니어</v>
          </cell>
          <cell r="L26"/>
          <cell r="M26" t="str">
            <v>02-6900-7095</v>
          </cell>
          <cell r="N26" t="str">
            <v>010-8668-2882</v>
          </cell>
          <cell r="O26" t="str">
            <v>hollowmind@cnthoth.com</v>
          </cell>
          <cell r="P26" t="str">
            <v>761203-1</v>
          </cell>
          <cell r="Q26">
            <v>38112</v>
          </cell>
          <cell r="R26">
            <v>40360</v>
          </cell>
          <cell r="S26">
            <v>41640</v>
          </cell>
          <cell r="T26" t="str">
            <v>전북대학교</v>
          </cell>
          <cell r="U26"/>
          <cell r="V26" t="str">
            <v>대졸</v>
          </cell>
          <cell r="W26"/>
          <cell r="X26"/>
          <cell r="Y26"/>
          <cell r="Z26">
            <v>8041</v>
          </cell>
          <cell r="AA26">
            <v>5793</v>
          </cell>
          <cell r="AB26"/>
          <cell r="AC26"/>
          <cell r="AD26" t="str">
            <v>분당지웰푸르지오_수내</v>
          </cell>
          <cell r="AE26" t="str">
            <v>경기도</v>
          </cell>
          <cell r="AF26" t="str">
            <v>1. Infra 운영</v>
          </cell>
          <cell r="AG26" t="str">
            <v>1. Infra 운영</v>
          </cell>
          <cell r="AH26" t="str">
            <v>SK AX</v>
          </cell>
          <cell r="AI26" t="str">
            <v>SK그룹사(공통)</v>
          </cell>
          <cell r="AJ26" t="str">
            <v>김홍범</v>
          </cell>
          <cell r="AK26">
            <v>13594</v>
          </cell>
          <cell r="AL26" t="str">
            <v>경기도 성남시 분당구 수내로 39 분당지웰푸르지오아파트 오피스 6층</v>
          </cell>
          <cell r="AM26" t="str">
            <v>16817</v>
          </cell>
          <cell r="AN26" t="str">
            <v>경기도 용인시 수지구 신봉2로 26, 108동 504호 (신봉동, 신봉마을엘지자이1차아파트)</v>
          </cell>
          <cell r="AO26" t="str">
            <v>T Biz. Cloud팀</v>
          </cell>
          <cell r="AP26" t="str">
            <v>Middleware 운영</v>
          </cell>
          <cell r="AQ26" t="str">
            <v>WAS 운영</v>
          </cell>
          <cell r="AS26" t="str">
            <v>고객사 공통 / 2026년_인프라운영_HC12_1분기(4500303380-01)</v>
          </cell>
          <cell r="AT26" t="str">
            <v>통상</v>
          </cell>
          <cell r="AU26" t="str">
            <v>정직원</v>
          </cell>
          <cell r="AV26" t="str">
            <v>씨앤토트플러스㈜</v>
          </cell>
          <cell r="AW26">
            <v>6800000</v>
          </cell>
          <cell r="AX26">
            <v>6800000</v>
          </cell>
          <cell r="AY26">
            <v>12</v>
          </cell>
          <cell r="AZ26">
            <v>81600000</v>
          </cell>
          <cell r="BA26"/>
          <cell r="BB26"/>
          <cell r="BC26">
            <v>45839</v>
          </cell>
          <cell r="BD26">
            <v>51408000</v>
          </cell>
          <cell r="BE26">
            <v>52608000</v>
          </cell>
          <cell r="BF26">
            <v>52608000</v>
          </cell>
          <cell r="BG26">
            <v>4384000</v>
          </cell>
          <cell r="BH26">
            <v>3757900</v>
          </cell>
          <cell r="BI26">
            <v>18937.32</v>
          </cell>
          <cell r="BJ26">
            <v>209</v>
          </cell>
          <cell r="BK26">
            <v>15</v>
          </cell>
          <cell r="BL26">
            <v>0</v>
          </cell>
          <cell r="BM26">
            <v>426100</v>
          </cell>
          <cell r="BN26">
            <v>0</v>
          </cell>
          <cell r="BO26">
            <v>200000</v>
          </cell>
          <cell r="BP26">
            <v>0</v>
          </cell>
          <cell r="BQ26" t="str">
            <v>적합</v>
          </cell>
          <cell r="BR26"/>
          <cell r="BS26">
            <v>757492.8</v>
          </cell>
          <cell r="BT26">
            <v>4447124.4000000004</v>
          </cell>
          <cell r="BU26">
            <v>2384880</v>
          </cell>
          <cell r="BV26">
            <v>2044991.9231999996</v>
          </cell>
          <cell r="BW26">
            <v>778224</v>
          </cell>
          <cell r="BX26">
            <v>331372.79999999999</v>
          </cell>
          <cell r="BY26">
            <v>5480000</v>
          </cell>
          <cell r="BZ26">
            <v>57812617.199999996</v>
          </cell>
          <cell r="CA26">
            <v>5539468.7231999999</v>
          </cell>
          <cell r="CB26">
            <v>65760000</v>
          </cell>
          <cell r="CC26">
            <v>15840000</v>
          </cell>
          <cell r="CD26">
            <v>19.411764705882355</v>
          </cell>
        </row>
        <row r="27">
          <cell r="F27" t="str">
            <v>김홍범</v>
          </cell>
          <cell r="G27" t="str">
            <v>부장</v>
          </cell>
          <cell r="H27" t="str">
            <v>중급하</v>
          </cell>
          <cell r="I27" t="str">
            <v>중급기술자</v>
          </cell>
          <cell r="J27" t="str">
            <v>하도급(FTE)</v>
          </cell>
          <cell r="K27" t="str">
            <v>시스템엔지니어</v>
          </cell>
          <cell r="L27"/>
          <cell r="M27" t="str">
            <v>02-6400-6043</v>
          </cell>
          <cell r="N27" t="str">
            <v>010-8685-7893</v>
          </cell>
          <cell r="O27" t="str">
            <v>victor20@cnthoth.com</v>
          </cell>
          <cell r="P27" t="str">
            <v>710103-1</v>
          </cell>
          <cell r="Q27">
            <v>35034</v>
          </cell>
          <cell r="R27">
            <v>40634</v>
          </cell>
          <cell r="S27">
            <v>41640</v>
          </cell>
          <cell r="T27" t="str">
            <v>충남전산전문대</v>
          </cell>
          <cell r="U27"/>
          <cell r="V27" t="str">
            <v>전문대졸</v>
          </cell>
          <cell r="W27" t="str">
            <v>CSA</v>
          </cell>
          <cell r="X27" t="str">
            <v>해상무선통신사</v>
          </cell>
          <cell r="Y27" t="str">
            <v>정보기기운용기능사</v>
          </cell>
          <cell r="Z27">
            <v>11119</v>
          </cell>
          <cell r="AA27">
            <v>5519</v>
          </cell>
          <cell r="AB27"/>
          <cell r="AC27"/>
          <cell r="AD27" t="str">
            <v>SK㈜ U타워_정자</v>
          </cell>
          <cell r="AE27" t="str">
            <v>경기도</v>
          </cell>
          <cell r="AF27" t="str">
            <v>1. Infra 운영</v>
          </cell>
          <cell r="AG27" t="str">
            <v>1. Infra 운영</v>
          </cell>
          <cell r="AH27" t="str">
            <v>SK AX</v>
          </cell>
          <cell r="AI27" t="str">
            <v>SK그룹사(공통)</v>
          </cell>
          <cell r="AJ27" t="str">
            <v>김홍범</v>
          </cell>
          <cell r="AK27">
            <v>13558</v>
          </cell>
          <cell r="AL27" t="str">
            <v>경기도 성남시 분당구 성남대로 343번길 9 SK U타워 23층</v>
          </cell>
          <cell r="AM27">
            <v>13584</v>
          </cell>
          <cell r="AN27" t="str">
            <v>경기도 성남시 분당구 서현로494번길 8-10 (분당동)</v>
          </cell>
          <cell r="AO27" t="str">
            <v>Cloud VDI팀</v>
          </cell>
          <cell r="AP27" t="str">
            <v>긴급 장애대응</v>
          </cell>
          <cell r="AQ27" t="str">
            <v>인프라 종합 장애조치</v>
          </cell>
          <cell r="AS27" t="str">
            <v>고객사 공통 / 2026년_VDI_01_1분기 (4500303359-01)</v>
          </cell>
          <cell r="AT27" t="str">
            <v>통상</v>
          </cell>
          <cell r="AU27" t="str">
            <v>정직원</v>
          </cell>
          <cell r="AV27" t="str">
            <v>씨앤토트플러스㈜</v>
          </cell>
          <cell r="AW27">
            <v>5320000</v>
          </cell>
          <cell r="AX27">
            <v>5320000</v>
          </cell>
          <cell r="AY27">
            <v>12</v>
          </cell>
          <cell r="AZ27">
            <v>63840000</v>
          </cell>
          <cell r="BA27"/>
          <cell r="BB27"/>
          <cell r="BC27">
            <v>45839</v>
          </cell>
          <cell r="BD27">
            <v>43307999.999999993</v>
          </cell>
          <cell r="BE27">
            <v>44316000</v>
          </cell>
          <cell r="BF27">
            <v>44316000</v>
          </cell>
          <cell r="BG27">
            <v>3693000</v>
          </cell>
          <cell r="BH27">
            <v>3134000</v>
          </cell>
          <cell r="BI27">
            <v>15952.15</v>
          </cell>
          <cell r="BJ27">
            <v>209</v>
          </cell>
          <cell r="BK27">
            <v>15</v>
          </cell>
          <cell r="BL27">
            <v>0</v>
          </cell>
          <cell r="BM27">
            <v>359000</v>
          </cell>
          <cell r="BN27">
            <v>0</v>
          </cell>
          <cell r="BO27">
            <v>200000</v>
          </cell>
          <cell r="BP27">
            <v>0</v>
          </cell>
          <cell r="BQ27" t="str">
            <v>적합</v>
          </cell>
          <cell r="BR27"/>
          <cell r="BS27">
            <v>638086</v>
          </cell>
          <cell r="BT27">
            <v>3746173.8333333335</v>
          </cell>
          <cell r="BU27">
            <v>1991010</v>
          </cell>
          <cell r="BV27">
            <v>1707255.4464</v>
          </cell>
          <cell r="BW27">
            <v>649698</v>
          </cell>
          <cell r="BX27">
            <v>276645.59999999998</v>
          </cell>
          <cell r="BY27">
            <v>4616250</v>
          </cell>
          <cell r="BZ27">
            <v>48700259.833333336</v>
          </cell>
          <cell r="CA27">
            <v>4624609.0463999994</v>
          </cell>
          <cell r="CB27">
            <v>55395000</v>
          </cell>
          <cell r="CC27">
            <v>8445000</v>
          </cell>
          <cell r="CD27">
            <v>13.228383458646617</v>
          </cell>
        </row>
        <row r="28">
          <cell r="F28" t="str">
            <v>서상우</v>
          </cell>
          <cell r="G28" t="str">
            <v>부장</v>
          </cell>
          <cell r="H28" t="str">
            <v>고급상</v>
          </cell>
          <cell r="I28" t="str">
            <v>고급기술자</v>
          </cell>
          <cell r="J28" t="str">
            <v>하도급(FTE)</v>
          </cell>
          <cell r="K28" t="str">
            <v>시스템엔지니어</v>
          </cell>
          <cell r="L28"/>
          <cell r="M28" t="str">
            <v>02-6400-6042</v>
          </cell>
          <cell r="N28" t="str">
            <v>010-3755-8429</v>
          </cell>
          <cell r="O28" t="str">
            <v>unish99@cnthoth.com</v>
          </cell>
          <cell r="P28" t="str">
            <v>720718-1</v>
          </cell>
          <cell r="Q28">
            <v>34851</v>
          </cell>
          <cell r="R28">
            <v>40634</v>
          </cell>
          <cell r="S28">
            <v>41640</v>
          </cell>
          <cell r="T28" t="str">
            <v>현대전산원</v>
          </cell>
          <cell r="U28"/>
          <cell r="V28" t="str">
            <v>전문대졸</v>
          </cell>
          <cell r="W28" t="str">
            <v>정보처리기사</v>
          </cell>
          <cell r="X28"/>
          <cell r="Y28"/>
          <cell r="Z28">
            <v>11302</v>
          </cell>
          <cell r="AA28">
            <v>5519</v>
          </cell>
          <cell r="AB28"/>
          <cell r="AC28"/>
          <cell r="AD28" t="str">
            <v>분당지웰푸르지오_수내</v>
          </cell>
          <cell r="AE28" t="str">
            <v>경기도</v>
          </cell>
          <cell r="AF28" t="str">
            <v>1. Infra 운영</v>
          </cell>
          <cell r="AG28" t="str">
            <v>1. Infra 운영</v>
          </cell>
          <cell r="AH28" t="str">
            <v>SK AX</v>
          </cell>
          <cell r="AI28" t="str">
            <v>SK그룹사(공통)</v>
          </cell>
          <cell r="AJ28" t="str">
            <v>김홍범</v>
          </cell>
          <cell r="AK28">
            <v>13594</v>
          </cell>
          <cell r="AL28" t="str">
            <v>경기도 성남시 분당구 수내로 39 분당지웰푸르지오아파트 오피스 6층</v>
          </cell>
          <cell r="AM28">
            <v>18407</v>
          </cell>
          <cell r="AN28" t="str">
            <v>경기도 화성시 병점2로 141 603동 707호(병점동 안화동마을주공아파트)</v>
          </cell>
          <cell r="AO28" t="str">
            <v>CloudControlCenter팀</v>
          </cell>
          <cell r="AP28" t="str">
            <v>긴급 장애대응</v>
          </cell>
          <cell r="AQ28" t="str">
            <v>인프라 종합 장애조치</v>
          </cell>
          <cell r="AS28" t="str">
            <v>고객사 공통 / 2026년_인프라운영_HC10_21_1분기(4500303124-01)</v>
          </cell>
          <cell r="AT28" t="str">
            <v>통상</v>
          </cell>
          <cell r="AU28" t="str">
            <v>정직원</v>
          </cell>
          <cell r="AV28" t="str">
            <v>씨앤토트플러스㈜</v>
          </cell>
          <cell r="AW28">
            <v>7040000</v>
          </cell>
          <cell r="AX28">
            <v>7040000</v>
          </cell>
          <cell r="AY28">
            <v>12</v>
          </cell>
          <cell r="AZ28">
            <v>84480000</v>
          </cell>
          <cell r="BA28"/>
          <cell r="BB28"/>
          <cell r="BC28">
            <v>45839</v>
          </cell>
          <cell r="BD28">
            <v>55404000</v>
          </cell>
          <cell r="BE28">
            <v>56736000</v>
          </cell>
          <cell r="BF28">
            <v>56736000</v>
          </cell>
          <cell r="BG28">
            <v>4728000</v>
          </cell>
          <cell r="BH28">
            <v>4068400</v>
          </cell>
          <cell r="BI28">
            <v>20422.97</v>
          </cell>
          <cell r="BJ28">
            <v>209</v>
          </cell>
          <cell r="BK28">
            <v>15</v>
          </cell>
          <cell r="BL28">
            <v>0</v>
          </cell>
          <cell r="BM28">
            <v>459600</v>
          </cell>
          <cell r="BN28">
            <v>0</v>
          </cell>
          <cell r="BO28">
            <v>200000</v>
          </cell>
          <cell r="BP28">
            <v>0</v>
          </cell>
          <cell r="BQ28" t="str">
            <v>적합</v>
          </cell>
          <cell r="BR28"/>
          <cell r="BS28">
            <v>816918.8</v>
          </cell>
          <cell r="BT28">
            <v>4796076.5666666664</v>
          </cell>
          <cell r="BU28">
            <v>2580960</v>
          </cell>
          <cell r="BV28">
            <v>2213127.0143999998</v>
          </cell>
          <cell r="BW28">
            <v>842208</v>
          </cell>
          <cell r="BX28">
            <v>358617.59999999998</v>
          </cell>
          <cell r="BY28">
            <v>5910000</v>
          </cell>
          <cell r="BZ28">
            <v>62348995.36666666</v>
          </cell>
          <cell r="CA28">
            <v>5994912.6143999994</v>
          </cell>
          <cell r="CB28">
            <v>70920000</v>
          </cell>
          <cell r="CC28">
            <v>13560000</v>
          </cell>
          <cell r="CD28">
            <v>16.051136363636363</v>
          </cell>
        </row>
        <row r="29">
          <cell r="F29" t="str">
            <v>김명국</v>
          </cell>
          <cell r="G29" t="str">
            <v>부장</v>
          </cell>
          <cell r="H29" t="str">
            <v>중급상</v>
          </cell>
          <cell r="I29" t="str">
            <v>중급기술자</v>
          </cell>
          <cell r="J29" t="str">
            <v>하도급(FTE)</v>
          </cell>
          <cell r="K29" t="str">
            <v>서버엔지니어</v>
          </cell>
          <cell r="L29"/>
          <cell r="M29"/>
          <cell r="N29" t="str">
            <v>010-8923-1140</v>
          </cell>
          <cell r="O29" t="str">
            <v>hongtae70@cnthoth.com</v>
          </cell>
          <cell r="P29" t="str">
            <v>700911-1</v>
          </cell>
          <cell r="Q29">
            <v>36617</v>
          </cell>
          <cell r="R29">
            <v>40634</v>
          </cell>
          <cell r="S29">
            <v>41640</v>
          </cell>
          <cell r="T29" t="str">
            <v>동서울대학</v>
          </cell>
          <cell r="U29"/>
          <cell r="V29" t="str">
            <v>전문대졸</v>
          </cell>
          <cell r="W29"/>
          <cell r="X29"/>
          <cell r="Y29"/>
          <cell r="Z29">
            <v>9536</v>
          </cell>
          <cell r="AA29">
            <v>5519</v>
          </cell>
          <cell r="AB29"/>
          <cell r="AC29"/>
          <cell r="AD29" t="str">
            <v>SK㈜ U타워_정자</v>
          </cell>
          <cell r="AE29" t="str">
            <v>경기도</v>
          </cell>
          <cell r="AF29" t="str">
            <v>1. Infra 운영</v>
          </cell>
          <cell r="AG29" t="str">
            <v>1. Infra 운영</v>
          </cell>
          <cell r="AH29" t="str">
            <v>SK AX</v>
          </cell>
          <cell r="AI29" t="str">
            <v>SK네트웍스</v>
          </cell>
          <cell r="AJ29" t="str">
            <v>개인</v>
          </cell>
          <cell r="AK29">
            <v>13558</v>
          </cell>
          <cell r="AL29" t="str">
            <v>경기도 성남시 분당구 성남대로 343번길 9 SK U타워 19층</v>
          </cell>
          <cell r="AM29" t="str">
            <v>04984</v>
          </cell>
          <cell r="AN29" t="str">
            <v>서울특별시 광진구 아차산로 503-23, 102동 501호 (광장동, 청구아파트)</v>
          </cell>
          <cell r="AO29" t="str">
            <v>제조/환경Cloud팀 </v>
          </cell>
          <cell r="AP29" t="str">
            <v>SK네트웍스 서버 운영</v>
          </cell>
          <cell r="AQ29" t="str">
            <v>Unix 서버 운영</v>
          </cell>
          <cell r="AS29" t="str">
            <v>고객사 공통 / 2026년_인프라운영_HC22_01_1분기 (4500303129-01)</v>
          </cell>
          <cell r="AT29" t="str">
            <v>통상</v>
          </cell>
          <cell r="AU29" t="str">
            <v>정직원</v>
          </cell>
          <cell r="AV29" t="str">
            <v>씨앤토트플러스㈜</v>
          </cell>
          <cell r="AW29">
            <v>5929000</v>
          </cell>
          <cell r="AX29">
            <v>5929000</v>
          </cell>
          <cell r="AY29">
            <v>12</v>
          </cell>
          <cell r="AZ29">
            <v>71148000</v>
          </cell>
          <cell r="BA29"/>
          <cell r="BB29"/>
          <cell r="BC29">
            <v>45839</v>
          </cell>
          <cell r="BD29">
            <v>48708000</v>
          </cell>
          <cell r="BE29">
            <v>49824000</v>
          </cell>
          <cell r="BF29">
            <v>49824000</v>
          </cell>
          <cell r="BG29">
            <v>4152000</v>
          </cell>
          <cell r="BH29">
            <v>3548400</v>
          </cell>
          <cell r="BI29">
            <v>17934.93</v>
          </cell>
          <cell r="BJ29">
            <v>209</v>
          </cell>
          <cell r="BK29">
            <v>15</v>
          </cell>
          <cell r="BL29">
            <v>0</v>
          </cell>
          <cell r="BM29">
            <v>403600</v>
          </cell>
          <cell r="BN29">
            <v>0</v>
          </cell>
          <cell r="BO29">
            <v>200000</v>
          </cell>
          <cell r="BP29">
            <v>0</v>
          </cell>
          <cell r="BQ29" t="str">
            <v>적합</v>
          </cell>
          <cell r="BR29"/>
          <cell r="BS29">
            <v>717397.2</v>
          </cell>
          <cell r="BT29">
            <v>4211783.0999999996</v>
          </cell>
          <cell r="BU29">
            <v>2252640</v>
          </cell>
          <cell r="BV29">
            <v>1931598.4895999997</v>
          </cell>
          <cell r="BW29">
            <v>735072</v>
          </cell>
          <cell r="BX29">
            <v>312998.40000000002</v>
          </cell>
          <cell r="BY29">
            <v>5190000</v>
          </cell>
          <cell r="BZ29">
            <v>54753180.300000004</v>
          </cell>
          <cell r="CA29">
            <v>5232308.8896000003</v>
          </cell>
          <cell r="CB29">
            <v>62280000</v>
          </cell>
          <cell r="CC29">
            <v>8868000</v>
          </cell>
          <cell r="CD29">
            <v>12.464159217405971</v>
          </cell>
        </row>
        <row r="30">
          <cell r="F30" t="str">
            <v>이창환</v>
          </cell>
          <cell r="G30" t="str">
            <v>부장</v>
          </cell>
          <cell r="H30" t="str">
            <v>고급하</v>
          </cell>
          <cell r="I30" t="str">
            <v>고급기술자</v>
          </cell>
          <cell r="J30" t="str">
            <v>하도급(FTE)</v>
          </cell>
          <cell r="K30" t="str">
            <v>서버엔지니어</v>
          </cell>
          <cell r="L30"/>
          <cell r="M30" t="str">
            <v>031-250-7885</v>
          </cell>
          <cell r="N30" t="str">
            <v>010-6264-1021</v>
          </cell>
          <cell r="O30" t="str">
            <v>hwanlee@cnthoth.com</v>
          </cell>
          <cell r="P30" t="str">
            <v>740814-1</v>
          </cell>
          <cell r="Q30">
            <v>36008</v>
          </cell>
          <cell r="R30">
            <v>40634</v>
          </cell>
          <cell r="S30">
            <v>41640</v>
          </cell>
          <cell r="T30" t="str">
            <v>서울 송곡고등학교</v>
          </cell>
          <cell r="U30"/>
          <cell r="V30" t="str">
            <v>고졸</v>
          </cell>
          <cell r="W30" t="str">
            <v>MCP</v>
          </cell>
          <cell r="X30"/>
          <cell r="Y30"/>
          <cell r="Z30">
            <v>10145</v>
          </cell>
          <cell r="AA30">
            <v>5519</v>
          </cell>
          <cell r="AB30"/>
          <cell r="AC30"/>
          <cell r="AD30" t="str">
            <v>SKC수원공장_수원</v>
          </cell>
          <cell r="AE30" t="str">
            <v>경기도</v>
          </cell>
          <cell r="AF30" t="str">
            <v>1. Infra 운영</v>
          </cell>
          <cell r="AG30" t="str">
            <v>1. Infra 운영</v>
          </cell>
          <cell r="AH30" t="str">
            <v>SK AX</v>
          </cell>
          <cell r="AI30" t="str">
            <v>SKC(수원)</v>
          </cell>
          <cell r="AJ30" t="str">
            <v>개인</v>
          </cell>
          <cell r="AK30">
            <v>16336</v>
          </cell>
          <cell r="AL30" t="str">
            <v>경기도 수원시 장안구 장안로 309번길 84 SKC수원공장 SKCC_IT지원팀</v>
          </cell>
          <cell r="AM30">
            <v>21577</v>
          </cell>
          <cell r="AN30" t="str">
            <v>인천광역시 남동구 성리로27번길 3, 202호 (구월동, 성리주택)</v>
          </cell>
          <cell r="AO30" t="str">
            <v>제조/환경Cloud팀 </v>
          </cell>
          <cell r="AP30" t="str">
            <v>SKC 서버 운영</v>
          </cell>
          <cell r="AQ30" t="str">
            <v>Unix 서버 운영</v>
          </cell>
          <cell r="AR30" t="str">
            <v>/ Linux 서버 운영</v>
          </cell>
          <cell r="AS30" t="str">
            <v>고객사 공통 / 2026년_인프라운영_HC22_01_1분기 (4500303129-01)</v>
          </cell>
          <cell r="AT30" t="str">
            <v>통상</v>
          </cell>
          <cell r="AU30" t="str">
            <v>정직원</v>
          </cell>
          <cell r="AV30" t="str">
            <v>씨앤토트플러스㈜</v>
          </cell>
          <cell r="AW30">
            <v>6592000</v>
          </cell>
          <cell r="AX30">
            <v>6592000</v>
          </cell>
          <cell r="AY30">
            <v>12</v>
          </cell>
          <cell r="AZ30">
            <v>79104000</v>
          </cell>
          <cell r="BA30"/>
          <cell r="BB30"/>
          <cell r="BC30">
            <v>45839</v>
          </cell>
          <cell r="BD30">
            <v>53400000</v>
          </cell>
          <cell r="BE30">
            <v>54600000</v>
          </cell>
          <cell r="BF30">
            <v>54600000</v>
          </cell>
          <cell r="BG30">
            <v>4550000</v>
          </cell>
          <cell r="BH30">
            <v>3907700</v>
          </cell>
          <cell r="BI30">
            <v>19654.07</v>
          </cell>
          <cell r="BJ30">
            <v>209</v>
          </cell>
          <cell r="BK30">
            <v>15</v>
          </cell>
          <cell r="BL30">
            <v>0</v>
          </cell>
          <cell r="BM30">
            <v>442300</v>
          </cell>
          <cell r="BN30">
            <v>0</v>
          </cell>
          <cell r="BO30">
            <v>200000</v>
          </cell>
          <cell r="BP30">
            <v>0</v>
          </cell>
          <cell r="BQ30" t="str">
            <v>적합</v>
          </cell>
          <cell r="BR30"/>
          <cell r="BS30">
            <v>786162.8</v>
          </cell>
          <cell r="BT30">
            <v>4615513.5666666664</v>
          </cell>
          <cell r="BU30">
            <v>2479500</v>
          </cell>
          <cell r="BV30">
            <v>2126126.88</v>
          </cell>
          <cell r="BW30">
            <v>809100</v>
          </cell>
          <cell r="BX30">
            <v>344520</v>
          </cell>
          <cell r="BY30">
            <v>5687500</v>
          </cell>
          <cell r="BZ30">
            <v>60001676.36666666</v>
          </cell>
          <cell r="CA30">
            <v>5759246.8799999999</v>
          </cell>
          <cell r="CB30">
            <v>68250000</v>
          </cell>
          <cell r="CC30">
            <v>10854000</v>
          </cell>
          <cell r="CD30">
            <v>13.721177184466018</v>
          </cell>
        </row>
        <row r="31">
          <cell r="F31" t="str">
            <v>노상필</v>
          </cell>
          <cell r="G31" t="str">
            <v>부장</v>
          </cell>
          <cell r="H31" t="str">
            <v>중급하</v>
          </cell>
          <cell r="I31" t="str">
            <v>중급기술자</v>
          </cell>
          <cell r="J31" t="str">
            <v>하도급(FTE)</v>
          </cell>
          <cell r="K31" t="str">
            <v>네트워크엔지니어</v>
          </cell>
          <cell r="L31"/>
          <cell r="M31" t="str">
            <v>02-6400-6071</v>
          </cell>
          <cell r="N31" t="str">
            <v>010-5050-7113</v>
          </cell>
          <cell r="O31" t="str">
            <v>nosfeels@cnthoth.com</v>
          </cell>
          <cell r="P31" t="str">
            <v>750114-1</v>
          </cell>
          <cell r="Q31">
            <v>36161</v>
          </cell>
          <cell r="R31">
            <v>40634</v>
          </cell>
          <cell r="S31">
            <v>41640</v>
          </cell>
          <cell r="T31" t="str">
            <v>안산공과대학</v>
          </cell>
          <cell r="U31"/>
          <cell r="V31" t="str">
            <v>전문대졸</v>
          </cell>
          <cell r="W31"/>
          <cell r="X31"/>
          <cell r="Y31"/>
          <cell r="Z31">
            <v>9992</v>
          </cell>
          <cell r="AA31">
            <v>5519</v>
          </cell>
          <cell r="AB31"/>
          <cell r="AC31"/>
          <cell r="AD31" t="str">
            <v>내외빌딩_을지로</v>
          </cell>
          <cell r="AE31" t="str">
            <v>서울특별시</v>
          </cell>
          <cell r="AF31" t="str">
            <v>2. Network Service</v>
          </cell>
          <cell r="AG31" t="str">
            <v>2. Network Service</v>
          </cell>
          <cell r="AH31" t="str">
            <v>SK AX</v>
          </cell>
          <cell r="AI31" t="str">
            <v>SK그룹사(공통)</v>
          </cell>
          <cell r="AJ31" t="str">
            <v>최재유</v>
          </cell>
          <cell r="AK31" t="str">
            <v>04539</v>
          </cell>
          <cell r="AL31" t="str">
            <v>서울특별시 중구 을지로2가 6, 14층 (을지로2가, 내외빌딩)</v>
          </cell>
          <cell r="AM31" t="str">
            <v>04339</v>
          </cell>
          <cell r="AN31" t="str">
            <v>서울특별시 용산구 신흥로 12길 27, 3층 (용산동2가)</v>
          </cell>
          <cell r="AO31" t="str">
            <v>Network Service팀</v>
          </cell>
          <cell r="AP31" t="str">
            <v>SK공통 N/W 운영</v>
          </cell>
          <cell r="AQ31" t="str">
            <v>N/W 장애처리</v>
          </cell>
          <cell r="AS31" t="str">
            <v>고객사 공통 / 2026년_인프라운영_HC11_1분기(4500303149-01)</v>
          </cell>
          <cell r="AT31" t="str">
            <v>통상</v>
          </cell>
          <cell r="AU31" t="str">
            <v>정직원</v>
          </cell>
          <cell r="AV31" t="str">
            <v>씨앤토트플러스㈜</v>
          </cell>
          <cell r="AW31">
            <v>4728000</v>
          </cell>
          <cell r="AX31">
            <v>4728000</v>
          </cell>
          <cell r="AY31">
            <v>12</v>
          </cell>
          <cell r="AZ31">
            <v>56736000</v>
          </cell>
          <cell r="BA31"/>
          <cell r="BB31"/>
          <cell r="BC31">
            <v>45839</v>
          </cell>
          <cell r="BD31">
            <v>42120000</v>
          </cell>
          <cell r="BE31">
            <v>43008000</v>
          </cell>
          <cell r="BF31">
            <v>43008000</v>
          </cell>
          <cell r="BG31">
            <v>3584000</v>
          </cell>
          <cell r="BH31">
            <v>3035600</v>
          </cell>
          <cell r="BI31">
            <v>15481.34</v>
          </cell>
          <cell r="BJ31">
            <v>209</v>
          </cell>
          <cell r="BK31">
            <v>15</v>
          </cell>
          <cell r="BL31">
            <v>0</v>
          </cell>
          <cell r="BM31">
            <v>348400</v>
          </cell>
          <cell r="BN31">
            <v>0</v>
          </cell>
          <cell r="BO31">
            <v>200000</v>
          </cell>
          <cell r="BP31">
            <v>0</v>
          </cell>
          <cell r="BQ31" t="str">
            <v>적합</v>
          </cell>
          <cell r="BR31"/>
          <cell r="BS31">
            <v>619253.6</v>
          </cell>
          <cell r="BT31">
            <v>3635604.4666666668</v>
          </cell>
          <cell r="BU31">
            <v>1928880</v>
          </cell>
          <cell r="BV31">
            <v>1653980.0832</v>
          </cell>
          <cell r="BW31">
            <v>629424</v>
          </cell>
          <cell r="BX31">
            <v>268012.79999999999</v>
          </cell>
          <cell r="BY31">
            <v>4480000</v>
          </cell>
          <cell r="BZ31">
            <v>47262858.06666667</v>
          </cell>
          <cell r="CA31">
            <v>4480296.8832</v>
          </cell>
          <cell r="CB31">
            <v>53760000</v>
          </cell>
          <cell r="CC31">
            <v>2976000</v>
          </cell>
          <cell r="CD31">
            <v>5.2453468697123524</v>
          </cell>
        </row>
        <row r="32">
          <cell r="F32" t="str">
            <v>이창훈</v>
          </cell>
          <cell r="G32" t="str">
            <v>부장</v>
          </cell>
          <cell r="H32" t="str">
            <v>중급상</v>
          </cell>
          <cell r="I32" t="str">
            <v>중급기술자</v>
          </cell>
          <cell r="J32" t="str">
            <v>하도급(FTE)</v>
          </cell>
          <cell r="K32" t="str">
            <v>네트워크엔지니어</v>
          </cell>
          <cell r="L32"/>
          <cell r="M32" t="str">
            <v>02-6400-7005</v>
          </cell>
          <cell r="N32" t="str">
            <v>010-5254-7095</v>
          </cell>
          <cell r="O32" t="str">
            <v>fanta966@cnthoth.com</v>
          </cell>
          <cell r="P32" t="str">
            <v>740708-1</v>
          </cell>
          <cell r="Q32">
            <v>36526</v>
          </cell>
          <cell r="R32">
            <v>40634</v>
          </cell>
          <cell r="S32">
            <v>41640</v>
          </cell>
          <cell r="T32" t="str">
            <v>오산대학</v>
          </cell>
          <cell r="U32"/>
          <cell r="V32" t="str">
            <v>전문대졸</v>
          </cell>
          <cell r="W32"/>
          <cell r="X32"/>
          <cell r="Y32"/>
          <cell r="Z32">
            <v>9627</v>
          </cell>
          <cell r="AA32">
            <v>5519</v>
          </cell>
          <cell r="AB32"/>
          <cell r="AC32"/>
          <cell r="AD32" t="str">
            <v>판교NOC</v>
          </cell>
          <cell r="AE32" t="str">
            <v>경기도</v>
          </cell>
          <cell r="AF32" t="str">
            <v>2. Network Service</v>
          </cell>
          <cell r="AG32" t="str">
            <v>2. Network Service</v>
          </cell>
          <cell r="AH32" t="str">
            <v>SK AX</v>
          </cell>
          <cell r="AI32" t="str">
            <v>SK그룹사(공통)</v>
          </cell>
          <cell r="AJ32" t="str">
            <v>최재유</v>
          </cell>
          <cell r="AK32">
            <v>13486</v>
          </cell>
          <cell r="AL32" t="str">
            <v>경기도 성남시 분당구 판교로 255번길 46 SK C&amp;C 판교캠퍼스 A동 4층</v>
          </cell>
          <cell r="AM32" t="str">
            <v>03301</v>
          </cell>
          <cell r="AN32" t="str">
            <v>서울특별시 은평구 진관3로 21, 102동 1502호 (진관동, 은평뉴타운엘크루)</v>
          </cell>
          <cell r="AO32" t="str">
            <v>Network Service팀</v>
          </cell>
          <cell r="AP32" t="str">
            <v>SK공통 N/W 운영</v>
          </cell>
          <cell r="AQ32" t="str">
            <v>N/W 모니터링 및 장애처리</v>
          </cell>
          <cell r="AS32" t="str">
            <v>고객사 공통 / 2026년_인프라운영_HC11_1분기(4500303149-01)</v>
          </cell>
          <cell r="AT32" t="str">
            <v>통상</v>
          </cell>
          <cell r="AU32" t="str">
            <v>정직원</v>
          </cell>
          <cell r="AV32" t="str">
            <v>씨앤토트플러스㈜</v>
          </cell>
          <cell r="AW32">
            <v>6339000</v>
          </cell>
          <cell r="AX32">
            <v>6339000</v>
          </cell>
          <cell r="AY32">
            <v>12</v>
          </cell>
          <cell r="AZ32">
            <v>76068000</v>
          </cell>
          <cell r="BA32"/>
          <cell r="BB32"/>
          <cell r="BC32">
            <v>45839</v>
          </cell>
          <cell r="BD32">
            <v>56928000</v>
          </cell>
          <cell r="BE32">
            <v>58666800</v>
          </cell>
          <cell r="BF32">
            <v>58666800</v>
          </cell>
          <cell r="BG32">
            <v>4888900</v>
          </cell>
          <cell r="BH32">
            <v>4213700</v>
          </cell>
          <cell r="BI32">
            <v>21118.18</v>
          </cell>
          <cell r="BJ32">
            <v>209</v>
          </cell>
          <cell r="BK32">
            <v>15</v>
          </cell>
          <cell r="BL32">
            <v>0</v>
          </cell>
          <cell r="BM32">
            <v>475200</v>
          </cell>
          <cell r="BN32">
            <v>0</v>
          </cell>
          <cell r="BO32">
            <v>200000</v>
          </cell>
          <cell r="BP32">
            <v>0</v>
          </cell>
          <cell r="BQ32" t="str">
            <v>적합</v>
          </cell>
          <cell r="BR32"/>
          <cell r="BS32">
            <v>844727.2</v>
          </cell>
          <cell r="BT32">
            <v>4959293.9333333336</v>
          </cell>
          <cell r="BU32">
            <v>2672673</v>
          </cell>
          <cell r="BV32">
            <v>2291769.2707199999</v>
          </cell>
          <cell r="BW32">
            <v>872135.4</v>
          </cell>
          <cell r="BX32">
            <v>371360.88</v>
          </cell>
          <cell r="BY32">
            <v>6111125</v>
          </cell>
          <cell r="BZ32">
            <v>64470821.13333334</v>
          </cell>
          <cell r="CA32">
            <v>6207938.5507199997</v>
          </cell>
          <cell r="CB32">
            <v>73333500</v>
          </cell>
          <cell r="CC32">
            <v>2734500</v>
          </cell>
          <cell r="CD32">
            <v>3.594809906925382</v>
          </cell>
        </row>
        <row r="33">
          <cell r="F33" t="str">
            <v>이현태</v>
          </cell>
          <cell r="G33" t="str">
            <v>부장</v>
          </cell>
          <cell r="H33" t="str">
            <v>중급상</v>
          </cell>
          <cell r="I33" t="str">
            <v>중급기술자</v>
          </cell>
          <cell r="J33" t="str">
            <v>하도급(FTE)</v>
          </cell>
          <cell r="K33" t="str">
            <v>네트워크엔지니어</v>
          </cell>
          <cell r="L33"/>
          <cell r="M33" t="str">
            <v>02-6400-7010</v>
          </cell>
          <cell r="N33" t="str">
            <v>010-6424-0729</v>
          </cell>
          <cell r="O33" t="str">
            <v>skycall@cnthoth.com</v>
          </cell>
          <cell r="P33" t="str">
            <v>710729-1</v>
          </cell>
          <cell r="Q33">
            <v>35521</v>
          </cell>
          <cell r="R33">
            <v>40634</v>
          </cell>
          <cell r="S33">
            <v>41640</v>
          </cell>
          <cell r="T33" t="str">
            <v>전북대학교</v>
          </cell>
          <cell r="U33"/>
          <cell r="V33" t="str">
            <v>대졸</v>
          </cell>
          <cell r="W33" t="str">
            <v>정보처리기사</v>
          </cell>
          <cell r="X33" t="str">
            <v>네트워크관리사2급</v>
          </cell>
          <cell r="Y33"/>
          <cell r="Z33">
            <v>10632</v>
          </cell>
          <cell r="AA33">
            <v>5519</v>
          </cell>
          <cell r="AB33"/>
          <cell r="AC33"/>
          <cell r="AD33" t="str">
            <v>판교NOC</v>
          </cell>
          <cell r="AE33" t="str">
            <v>경기도</v>
          </cell>
          <cell r="AF33" t="str">
            <v>2. Network Service</v>
          </cell>
          <cell r="AG33" t="str">
            <v>2. Network Service</v>
          </cell>
          <cell r="AH33" t="str">
            <v>SK AX</v>
          </cell>
          <cell r="AI33" t="str">
            <v>SK그룹사(공통)</v>
          </cell>
          <cell r="AJ33" t="str">
            <v>최재유</v>
          </cell>
          <cell r="AK33">
            <v>13486</v>
          </cell>
          <cell r="AL33" t="str">
            <v>경기도 성남시 분당구 판교로 255번길 46 SK C&amp;C 판교캠퍼스 A동 4층</v>
          </cell>
          <cell r="AM33">
            <v>16909</v>
          </cell>
          <cell r="AN33" t="str">
            <v>경기도 용인시 기흥구 연원로 42번길 2, 121동 401호 (마북동, 연원마을벽산아파트)</v>
          </cell>
          <cell r="AO33" t="str">
            <v>Network Service팀</v>
          </cell>
          <cell r="AP33" t="str">
            <v>SK공통 N/W 운영</v>
          </cell>
          <cell r="AQ33" t="str">
            <v>N/W 모니터링 및 장애처리</v>
          </cell>
          <cell r="AS33" t="str">
            <v>고객사 공통 / 2026년_인프라운영_HC11_1분기(4500303149-01)</v>
          </cell>
          <cell r="AT33" t="str">
            <v>통상</v>
          </cell>
          <cell r="AU33" t="str">
            <v>정직원</v>
          </cell>
          <cell r="AV33" t="str">
            <v>씨앤토트플러스㈜</v>
          </cell>
          <cell r="AW33">
            <v>6304000</v>
          </cell>
          <cell r="AX33">
            <v>6304000</v>
          </cell>
          <cell r="AY33">
            <v>12</v>
          </cell>
          <cell r="AZ33">
            <v>75648000</v>
          </cell>
          <cell r="BA33"/>
          <cell r="BB33"/>
          <cell r="BC33">
            <v>45839</v>
          </cell>
          <cell r="BD33">
            <v>57588000</v>
          </cell>
          <cell r="BE33">
            <v>58788000</v>
          </cell>
          <cell r="BF33">
            <v>58788000</v>
          </cell>
          <cell r="BG33">
            <v>4899000</v>
          </cell>
          <cell r="BH33">
            <v>4222800</v>
          </cell>
          <cell r="BI33">
            <v>21161.72</v>
          </cell>
          <cell r="BJ33">
            <v>209</v>
          </cell>
          <cell r="BK33">
            <v>15</v>
          </cell>
          <cell r="BL33">
            <v>0</v>
          </cell>
          <cell r="BM33">
            <v>476200</v>
          </cell>
          <cell r="BN33">
            <v>0</v>
          </cell>
          <cell r="BO33">
            <v>200000</v>
          </cell>
          <cell r="BP33">
            <v>0</v>
          </cell>
          <cell r="BQ33" t="str">
            <v>적합</v>
          </cell>
          <cell r="BR33"/>
          <cell r="BS33">
            <v>846468.8</v>
          </cell>
          <cell r="BT33">
            <v>4969539.0666666664</v>
          </cell>
          <cell r="BU33">
            <v>2678430</v>
          </cell>
          <cell r="BV33">
            <v>2296705.7951999996</v>
          </cell>
          <cell r="BW33">
            <v>874014</v>
          </cell>
          <cell r="BX33">
            <v>372160.8</v>
          </cell>
          <cell r="BY33">
            <v>6123750</v>
          </cell>
          <cell r="BZ33">
            <v>64604007.86666666</v>
          </cell>
          <cell r="CA33">
            <v>6221310.5951999994</v>
          </cell>
          <cell r="CB33">
            <v>73485000</v>
          </cell>
          <cell r="CC33">
            <v>2163000</v>
          </cell>
          <cell r="CD33">
            <v>2.859295685279188</v>
          </cell>
        </row>
        <row r="34">
          <cell r="F34" t="str">
            <v>임영준</v>
          </cell>
          <cell r="G34" t="str">
            <v>부장</v>
          </cell>
          <cell r="H34" t="str">
            <v>중급상</v>
          </cell>
          <cell r="I34" t="str">
            <v>중급기술자</v>
          </cell>
          <cell r="J34" t="str">
            <v>하도급(FTE)</v>
          </cell>
          <cell r="K34" t="str">
            <v>네트워크엔지니어</v>
          </cell>
          <cell r="L34"/>
          <cell r="M34" t="str">
            <v>02-829-2425</v>
          </cell>
          <cell r="N34" t="str">
            <v>010-9009-9201</v>
          </cell>
          <cell r="O34" t="str">
            <v>netsky88@cnthoth.com</v>
          </cell>
          <cell r="P34" t="str">
            <v>771126-1</v>
          </cell>
          <cell r="Q34">
            <v>35947</v>
          </cell>
          <cell r="R34">
            <v>40634</v>
          </cell>
          <cell r="S34">
            <v>41640</v>
          </cell>
          <cell r="T34" t="str">
            <v>호서전산전문학교</v>
          </cell>
          <cell r="U34"/>
          <cell r="V34" t="str">
            <v>전문대졸</v>
          </cell>
          <cell r="W34" t="str">
            <v>전자계산기산업기사</v>
          </cell>
          <cell r="X34" t="str">
            <v>정보기기운용기능사</v>
          </cell>
          <cell r="Y34"/>
          <cell r="Z34">
            <v>10206</v>
          </cell>
          <cell r="AA34">
            <v>5519</v>
          </cell>
          <cell r="AB34"/>
          <cell r="AC34"/>
          <cell r="AD34" t="str">
            <v>SKT_보라매 7F</v>
          </cell>
          <cell r="AE34" t="str">
            <v>서울특별시</v>
          </cell>
          <cell r="AF34" t="str">
            <v>2. Network Service</v>
          </cell>
          <cell r="AG34" t="str">
            <v>2. Network Service</v>
          </cell>
          <cell r="AH34" t="str">
            <v>SK AX</v>
          </cell>
          <cell r="AI34" t="str">
            <v>SKT(보라매)</v>
          </cell>
          <cell r="AJ34" t="str">
            <v>임영준</v>
          </cell>
          <cell r="AK34" t="str">
            <v>08708</v>
          </cell>
          <cell r="AL34" t="str">
            <v>서울시 관악구 보라매로5길 1 SK텔레콤빌딩 7F (봉천동)</v>
          </cell>
          <cell r="AM34" t="str">
            <v>03964</v>
          </cell>
          <cell r="AN34" t="str">
            <v>서울특별시 마포구 망원로7길 19-12, 301호 (망원동, 펠리스빌)</v>
          </cell>
          <cell r="AO34" t="str">
            <v>Network Service팀</v>
          </cell>
          <cell r="AP34" t="str">
            <v>SK공통 N/W 운영</v>
          </cell>
          <cell r="AQ34" t="str">
            <v>N/W 모니터링 및 장애처리</v>
          </cell>
          <cell r="AS34" t="str">
            <v>고객사 공통 / 2026년_인프라운영_HC11_1분기(4500303149-01)</v>
          </cell>
          <cell r="AT34" t="str">
            <v>통상</v>
          </cell>
          <cell r="AU34" t="str">
            <v>정직원</v>
          </cell>
          <cell r="AV34" t="str">
            <v>씨앤토트플러스㈜</v>
          </cell>
          <cell r="AW34">
            <v>5999000</v>
          </cell>
          <cell r="AX34">
            <v>5999000</v>
          </cell>
          <cell r="AY34">
            <v>12</v>
          </cell>
          <cell r="AZ34">
            <v>71988000</v>
          </cell>
          <cell r="BA34"/>
          <cell r="BB34"/>
          <cell r="BC34">
            <v>45839</v>
          </cell>
          <cell r="BD34">
            <v>51168000</v>
          </cell>
          <cell r="BE34">
            <v>53376000</v>
          </cell>
          <cell r="BF34">
            <v>53376000</v>
          </cell>
          <cell r="BG34">
            <v>4448000</v>
          </cell>
          <cell r="BH34">
            <v>3815600</v>
          </cell>
          <cell r="BI34">
            <v>19213.400000000001</v>
          </cell>
          <cell r="BJ34">
            <v>209</v>
          </cell>
          <cell r="BK34">
            <v>15</v>
          </cell>
          <cell r="BL34">
            <v>0</v>
          </cell>
          <cell r="BM34">
            <v>432400</v>
          </cell>
          <cell r="BN34">
            <v>0</v>
          </cell>
          <cell r="BO34">
            <v>200000</v>
          </cell>
          <cell r="BP34">
            <v>0</v>
          </cell>
          <cell r="BQ34" t="str">
            <v>적합</v>
          </cell>
          <cell r="BR34"/>
          <cell r="BS34">
            <v>768536</v>
          </cell>
          <cell r="BT34">
            <v>4512044.666666667</v>
          </cell>
          <cell r="BU34">
            <v>2421360</v>
          </cell>
          <cell r="BV34">
            <v>2076272.8703999997</v>
          </cell>
          <cell r="BW34">
            <v>790128</v>
          </cell>
          <cell r="BX34">
            <v>336441.59999999998</v>
          </cell>
          <cell r="BY34">
            <v>5560000</v>
          </cell>
          <cell r="BZ34">
            <v>58656580.666666664</v>
          </cell>
          <cell r="CA34">
            <v>5624202.4703999991</v>
          </cell>
          <cell r="CB34">
            <v>66720000</v>
          </cell>
          <cell r="CC34">
            <v>5268000</v>
          </cell>
          <cell r="CD34">
            <v>7.3178863143857313</v>
          </cell>
        </row>
        <row r="35">
          <cell r="F35" t="str">
            <v>강윤식</v>
          </cell>
          <cell r="G35" t="str">
            <v>부장</v>
          </cell>
          <cell r="H35" t="str">
            <v>중급상</v>
          </cell>
          <cell r="I35" t="str">
            <v>중급기술자</v>
          </cell>
          <cell r="J35" t="str">
            <v>하도급(FTE)</v>
          </cell>
          <cell r="K35" t="str">
            <v>네트워크엔지니어</v>
          </cell>
          <cell r="L35"/>
          <cell r="M35" t="str">
            <v>02-6400-7009</v>
          </cell>
          <cell r="N35" t="str">
            <v>010-9055-0358</v>
          </cell>
          <cell r="O35" t="str">
            <v>lokang@cnthoth.com</v>
          </cell>
          <cell r="P35" t="str">
            <v>711023-1</v>
          </cell>
          <cell r="Q35">
            <v>35065</v>
          </cell>
          <cell r="R35">
            <v>40634</v>
          </cell>
          <cell r="S35">
            <v>41640</v>
          </cell>
          <cell r="T35" t="str">
            <v>인하대학</v>
          </cell>
          <cell r="U35"/>
          <cell r="V35" t="str">
            <v>전문대졸</v>
          </cell>
          <cell r="W35"/>
          <cell r="X35"/>
          <cell r="Y35"/>
          <cell r="Z35">
            <v>11088</v>
          </cell>
          <cell r="AA35">
            <v>5519</v>
          </cell>
          <cell r="AB35"/>
          <cell r="AC35"/>
          <cell r="AD35" t="str">
            <v>판교NOC</v>
          </cell>
          <cell r="AE35" t="str">
            <v>경기도</v>
          </cell>
          <cell r="AF35" t="str">
            <v>2. Network Service</v>
          </cell>
          <cell r="AG35" t="str">
            <v>2. Network Service</v>
          </cell>
          <cell r="AH35" t="str">
            <v>SK AX</v>
          </cell>
          <cell r="AI35" t="str">
            <v>SK그룹사(공통)</v>
          </cell>
          <cell r="AJ35" t="str">
            <v>최재유</v>
          </cell>
          <cell r="AK35">
            <v>13486</v>
          </cell>
          <cell r="AL35" t="str">
            <v>경기도 성남시 분당구 판교로 255번길 46 SK C&amp;C 판교캠퍼스 A동 4층</v>
          </cell>
          <cell r="AM35">
            <v>10518</v>
          </cell>
          <cell r="AN35" t="str">
            <v>경기도 고양시 덕양구 충장로118-30, 226동 1505호 (행신동, 샘터마을2단지아파트)</v>
          </cell>
          <cell r="AO35" t="str">
            <v>Network Service팀</v>
          </cell>
          <cell r="AP35" t="str">
            <v>SK공통 N/W 운영</v>
          </cell>
          <cell r="AQ35" t="str">
            <v>N/W 모니터링 및 장애처리</v>
          </cell>
          <cell r="AR35" t="str">
            <v>/ 관제 운영</v>
          </cell>
          <cell r="AS35" t="str">
            <v>고객사 공통 / 2026년_인프라운영_HC11_1분기(4500303149-01)</v>
          </cell>
          <cell r="AT35" t="str">
            <v>통상</v>
          </cell>
          <cell r="AU35" t="str">
            <v>정직원</v>
          </cell>
          <cell r="AV35" t="str">
            <v>씨앤토트플러스㈜</v>
          </cell>
          <cell r="AW35">
            <v>6304000</v>
          </cell>
          <cell r="AX35">
            <v>6304000</v>
          </cell>
          <cell r="AY35">
            <v>12</v>
          </cell>
          <cell r="AZ35">
            <v>75648000</v>
          </cell>
          <cell r="BA35"/>
          <cell r="BB35"/>
          <cell r="BC35">
            <v>45839</v>
          </cell>
          <cell r="BD35">
            <v>57024000</v>
          </cell>
          <cell r="BE35">
            <v>58224000</v>
          </cell>
          <cell r="BF35">
            <v>58224000</v>
          </cell>
          <cell r="BG35">
            <v>4852000</v>
          </cell>
          <cell r="BH35">
            <v>4180400</v>
          </cell>
          <cell r="BI35">
            <v>20958.849999999999</v>
          </cell>
          <cell r="BJ35">
            <v>209</v>
          </cell>
          <cell r="BK35">
            <v>15</v>
          </cell>
          <cell r="BL35">
            <v>0</v>
          </cell>
          <cell r="BM35">
            <v>471600</v>
          </cell>
          <cell r="BN35">
            <v>0</v>
          </cell>
          <cell r="BO35">
            <v>200000</v>
          </cell>
          <cell r="BP35">
            <v>0</v>
          </cell>
          <cell r="BQ35" t="str">
            <v>적합</v>
          </cell>
          <cell r="BR35"/>
          <cell r="BS35">
            <v>838354</v>
          </cell>
          <cell r="BT35">
            <v>4921862.833333333</v>
          </cell>
          <cell r="BU35">
            <v>2651640</v>
          </cell>
          <cell r="BV35">
            <v>2273733.8495999998</v>
          </cell>
          <cell r="BW35">
            <v>865272</v>
          </cell>
          <cell r="BX35">
            <v>368438.4</v>
          </cell>
          <cell r="BY35">
            <v>6065000</v>
          </cell>
          <cell r="BZ35">
            <v>63984216.833333336</v>
          </cell>
          <cell r="CA35">
            <v>6159084.2496000007</v>
          </cell>
          <cell r="CB35">
            <v>72780000</v>
          </cell>
          <cell r="CC35">
            <v>2868000</v>
          </cell>
          <cell r="CD35">
            <v>3.7912436548223347</v>
          </cell>
        </row>
        <row r="36">
          <cell r="F36" t="str">
            <v>유재현</v>
          </cell>
          <cell r="G36" t="str">
            <v>부장</v>
          </cell>
          <cell r="H36" t="str">
            <v>중급상</v>
          </cell>
          <cell r="I36" t="str">
            <v>중급기술자</v>
          </cell>
          <cell r="J36" t="str">
            <v>하도급(FTE)</v>
          </cell>
          <cell r="K36" t="str">
            <v>네트워크보안엔지니어</v>
          </cell>
          <cell r="L36"/>
          <cell r="M36" t="str">
            <v>02-6400-6090</v>
          </cell>
          <cell r="N36" t="str">
            <v>010-6671-4145</v>
          </cell>
          <cell r="O36" t="str">
            <v>apospace@cnthoth.com</v>
          </cell>
          <cell r="P36" t="str">
            <v>760316-1</v>
          </cell>
          <cell r="Q36">
            <v>37846</v>
          </cell>
          <cell r="R36">
            <v>40634</v>
          </cell>
          <cell r="S36">
            <v>41640</v>
          </cell>
          <cell r="T36" t="str">
            <v>한양대(안산)</v>
          </cell>
          <cell r="U36"/>
          <cell r="V36" t="str">
            <v>대졸</v>
          </cell>
          <cell r="W36"/>
          <cell r="X36"/>
          <cell r="Y36"/>
          <cell r="Z36">
            <v>8307</v>
          </cell>
          <cell r="AA36">
            <v>5519</v>
          </cell>
          <cell r="AB36"/>
          <cell r="AC36"/>
          <cell r="AD36" t="str">
            <v>SK AX A동 1F_판교</v>
          </cell>
          <cell r="AE36" t="str">
            <v>경기도</v>
          </cell>
          <cell r="AF36" t="str">
            <v>2. Network Service</v>
          </cell>
          <cell r="AG36" t="str">
            <v>2. Network Service</v>
          </cell>
          <cell r="AH36" t="str">
            <v>SK AX</v>
          </cell>
          <cell r="AI36" t="str">
            <v>SK그룹사(공통)</v>
          </cell>
          <cell r="AJ36" t="str">
            <v>최재유</v>
          </cell>
          <cell r="AK36">
            <v>13486</v>
          </cell>
          <cell r="AL36" t="str">
            <v>경기도 성남시 분당구 판교로 255번길 46 SK C&amp;C 판교캠퍼스 A동 4층</v>
          </cell>
          <cell r="AM36" t="str">
            <v>14092</v>
          </cell>
          <cell r="AN36" t="str">
            <v>경기도 시흥시 서해안로 1645, 112동 1104호 (대야동, 대야역 두산위브 더파크)</v>
          </cell>
          <cell r="AO36" t="str">
            <v>Network Service팀</v>
          </cell>
          <cell r="AP36" t="str">
            <v>SK공통 N/W 보안 운영</v>
          </cell>
          <cell r="AQ36" t="str">
            <v>N/W 보안 운영</v>
          </cell>
          <cell r="AR36" t="str">
            <v>/ 방화벽 운영</v>
          </cell>
          <cell r="AS36" t="str">
            <v>고객사 공통 / 2026년_인프라운영_HC11_1분기(4500303149-01)</v>
          </cell>
          <cell r="AT36" t="str">
            <v>통상</v>
          </cell>
          <cell r="AU36" t="str">
            <v>정직원</v>
          </cell>
          <cell r="AV36" t="str">
            <v>씨앤토트플러스㈜</v>
          </cell>
          <cell r="AW36">
            <v>5790000</v>
          </cell>
          <cell r="AX36">
            <v>5790000</v>
          </cell>
          <cell r="AY36">
            <v>12</v>
          </cell>
          <cell r="AZ36">
            <v>69480000</v>
          </cell>
          <cell r="BA36"/>
          <cell r="BB36"/>
          <cell r="BC36">
            <v>45839</v>
          </cell>
          <cell r="BD36">
            <v>49488000</v>
          </cell>
          <cell r="BE36">
            <v>50580000</v>
          </cell>
          <cell r="BF36">
            <v>50580000</v>
          </cell>
          <cell r="BG36">
            <v>4215000</v>
          </cell>
          <cell r="BH36">
            <v>3605300</v>
          </cell>
          <cell r="BI36">
            <v>18207.18</v>
          </cell>
          <cell r="BJ36">
            <v>209</v>
          </cell>
          <cell r="BK36">
            <v>15</v>
          </cell>
          <cell r="BL36">
            <v>0</v>
          </cell>
          <cell r="BM36">
            <v>409700</v>
          </cell>
          <cell r="BN36">
            <v>0</v>
          </cell>
          <cell r="BO36">
            <v>200000</v>
          </cell>
          <cell r="BP36">
            <v>0</v>
          </cell>
          <cell r="BQ36" t="str">
            <v>적합</v>
          </cell>
          <cell r="BR36"/>
          <cell r="BS36">
            <v>728287.2</v>
          </cell>
          <cell r="BT36">
            <v>4275690.5999999996</v>
          </cell>
          <cell r="BU36">
            <v>2288550</v>
          </cell>
          <cell r="BV36">
            <v>1962390.6719999998</v>
          </cell>
          <cell r="BW36">
            <v>746790</v>
          </cell>
          <cell r="BX36">
            <v>317988</v>
          </cell>
          <cell r="BY36">
            <v>5268750</v>
          </cell>
          <cell r="BZ36">
            <v>55583977.800000004</v>
          </cell>
          <cell r="CA36">
            <v>5315718.6720000003</v>
          </cell>
          <cell r="CB36">
            <v>63225000</v>
          </cell>
          <cell r="CC36">
            <v>6255000</v>
          </cell>
          <cell r="CD36">
            <v>9.0025906735751295</v>
          </cell>
        </row>
        <row r="37">
          <cell r="F37" t="str">
            <v>이승열</v>
          </cell>
          <cell r="G37" t="str">
            <v>부장</v>
          </cell>
          <cell r="H37" t="str">
            <v>중급상</v>
          </cell>
          <cell r="I37" t="str">
            <v>중급기술자</v>
          </cell>
          <cell r="J37" t="str">
            <v>하도급(FTE)</v>
          </cell>
          <cell r="K37" t="str">
            <v>네트워크엔지니어</v>
          </cell>
          <cell r="L37"/>
          <cell r="M37" t="str">
            <v>02-6400-7021</v>
          </cell>
          <cell r="N37" t="str">
            <v>010-3772-7380</v>
          </cell>
          <cell r="O37" t="str">
            <v>july30@cnthoth.com</v>
          </cell>
          <cell r="P37" t="str">
            <v>700730-1</v>
          </cell>
          <cell r="Q37">
            <v>35339</v>
          </cell>
          <cell r="R37">
            <v>40634</v>
          </cell>
          <cell r="S37">
            <v>41640</v>
          </cell>
          <cell r="T37" t="str">
            <v>숭실전자계산원</v>
          </cell>
          <cell r="U37"/>
          <cell r="V37" t="str">
            <v>전문대졸</v>
          </cell>
          <cell r="W37"/>
          <cell r="X37"/>
          <cell r="Y37"/>
          <cell r="Z37">
            <v>10814</v>
          </cell>
          <cell r="AA37">
            <v>5519</v>
          </cell>
          <cell r="AB37"/>
          <cell r="AC37"/>
          <cell r="AD37" t="str">
            <v>내외빌딩_을지로</v>
          </cell>
          <cell r="AE37" t="str">
            <v>서울특별시</v>
          </cell>
          <cell r="AF37" t="str">
            <v>2. Network Service</v>
          </cell>
          <cell r="AG37" t="str">
            <v>2. Network Service</v>
          </cell>
          <cell r="AH37" t="str">
            <v>SK AX</v>
          </cell>
          <cell r="AI37" t="str">
            <v>SK그룹사(공통)</v>
          </cell>
          <cell r="AJ37" t="str">
            <v>최재유</v>
          </cell>
          <cell r="AK37" t="str">
            <v>04539</v>
          </cell>
          <cell r="AL37" t="str">
            <v>서울특별시 중구 을지로2가 6, 14층 (을지로2가, 내외빌딩)</v>
          </cell>
          <cell r="AM37">
            <v>10872</v>
          </cell>
          <cell r="AN37" t="str">
            <v>경기도 파주시 교하로 70, 308동 2403호 (목동동, 산내마을3단지아파트)</v>
          </cell>
          <cell r="AO37" t="str">
            <v>Network Service팀</v>
          </cell>
          <cell r="AP37" t="str">
            <v>SK공통 N/W 운영</v>
          </cell>
          <cell r="AQ37" t="str">
            <v>N/W 회선 관리</v>
          </cell>
          <cell r="AS37" t="str">
            <v>고객사 공통 / 2026년_인프라운영_HC11_1분기(4500303149-01)</v>
          </cell>
          <cell r="AT37" t="str">
            <v>통상</v>
          </cell>
          <cell r="AU37" t="str">
            <v>정직원</v>
          </cell>
          <cell r="AV37" t="str">
            <v>씨앤토트플러스㈜</v>
          </cell>
          <cell r="AW37">
            <v>5571000</v>
          </cell>
          <cell r="AX37">
            <v>5571000</v>
          </cell>
          <cell r="AY37">
            <v>12</v>
          </cell>
          <cell r="AZ37">
            <v>66852000</v>
          </cell>
          <cell r="BA37"/>
          <cell r="BB37"/>
          <cell r="BC37">
            <v>45839</v>
          </cell>
          <cell r="BD37">
            <v>47604000</v>
          </cell>
          <cell r="BE37">
            <v>49668000</v>
          </cell>
          <cell r="BF37">
            <v>49668000</v>
          </cell>
          <cell r="BG37">
            <v>4139000</v>
          </cell>
          <cell r="BH37">
            <v>3536700</v>
          </cell>
          <cell r="BI37">
            <v>17878.95</v>
          </cell>
          <cell r="BJ37">
            <v>209</v>
          </cell>
          <cell r="BK37">
            <v>15</v>
          </cell>
          <cell r="BL37">
            <v>0</v>
          </cell>
          <cell r="BM37">
            <v>402300</v>
          </cell>
          <cell r="BN37">
            <v>0</v>
          </cell>
          <cell r="BO37">
            <v>200000</v>
          </cell>
          <cell r="BP37">
            <v>0</v>
          </cell>
          <cell r="BQ37" t="str">
            <v>적합</v>
          </cell>
          <cell r="BR37"/>
          <cell r="BS37">
            <v>715158</v>
          </cell>
          <cell r="BT37">
            <v>4198596.5</v>
          </cell>
          <cell r="BU37">
            <v>2245230</v>
          </cell>
          <cell r="BV37">
            <v>1925244.5471999997</v>
          </cell>
          <cell r="BW37">
            <v>732654</v>
          </cell>
          <cell r="BX37">
            <v>311968.8</v>
          </cell>
          <cell r="BY37">
            <v>5173750</v>
          </cell>
          <cell r="BZ37">
            <v>54581754.5</v>
          </cell>
          <cell r="CA37">
            <v>5215097.3471999997</v>
          </cell>
          <cell r="CB37">
            <v>62085000</v>
          </cell>
          <cell r="CC37">
            <v>4767000</v>
          </cell>
          <cell r="CD37">
            <v>7.1306767187219524</v>
          </cell>
        </row>
        <row r="38">
          <cell r="F38" t="str">
            <v>박정길</v>
          </cell>
          <cell r="G38" t="str">
            <v>부장</v>
          </cell>
          <cell r="H38" t="str">
            <v>중급하</v>
          </cell>
          <cell r="I38" t="str">
            <v>중급기술자</v>
          </cell>
          <cell r="J38" t="str">
            <v>하도급(M/M)</v>
          </cell>
          <cell r="K38" t="str">
            <v>네트워크보안엔지니어</v>
          </cell>
          <cell r="L38"/>
          <cell r="M38" t="str">
            <v>02-6266-4237</v>
          </cell>
          <cell r="N38" t="str">
            <v>010-8216-5057</v>
          </cell>
          <cell r="O38" t="str">
            <v>bardbard@cnthoth.com</v>
          </cell>
          <cell r="P38" t="str">
            <v>750617-1</v>
          </cell>
          <cell r="Q38">
            <v>36192</v>
          </cell>
          <cell r="R38">
            <v>41000</v>
          </cell>
          <cell r="S38">
            <v>41640</v>
          </cell>
          <cell r="T38" t="str">
            <v>부천대학</v>
          </cell>
          <cell r="V38" t="str">
            <v>전문대졸</v>
          </cell>
          <cell r="Z38">
            <v>9961</v>
          </cell>
          <cell r="AA38">
            <v>5153</v>
          </cell>
          <cell r="AB38"/>
          <cell r="AC38"/>
          <cell r="AD38" t="str">
            <v>SKB 7층_동작</v>
          </cell>
          <cell r="AE38" t="str">
            <v>서울특별시</v>
          </cell>
          <cell r="AF38" t="str">
            <v>4. SKB/SK하이닉스 Infra 운영</v>
          </cell>
          <cell r="AG38" t="str">
            <v>4. SKB/SK하이닉스 Infra 운영</v>
          </cell>
          <cell r="AH38" t="str">
            <v>SK AX</v>
          </cell>
          <cell r="AI38" t="str">
            <v>SKB(동작)</v>
          </cell>
          <cell r="AJ38" t="str">
            <v>박규성</v>
          </cell>
          <cell r="AK38" t="str">
            <v>07063</v>
          </cell>
          <cell r="AL38" t="str">
            <v>서울시 동작구 여의대방로 74 (신대방동) SK브로드밴드 7층</v>
          </cell>
          <cell r="AM38">
            <v>21962</v>
          </cell>
          <cell r="AN38" t="str">
            <v>인천광역시 연수구 청능말로 8번길 13, 402호 (청학동, 대심주택)</v>
          </cell>
          <cell r="AO38" t="str">
            <v>ICT Cloud팀</v>
          </cell>
          <cell r="AP38" t="str">
            <v>SKB N/W 운영</v>
          </cell>
          <cell r="AQ38" t="str">
            <v>NAC, 무선, 서버 운영</v>
          </cell>
          <cell r="AR38" t="str">
            <v>/ L3, L4, 방화벽 운영</v>
          </cell>
          <cell r="AS38" t="str">
            <v>에스케이브로드밴드(주) / SKB 26년 IT장비 및 소프트웨어 유지보수_1분기(4500302989-01)</v>
          </cell>
          <cell r="AT38" t="str">
            <v>통상</v>
          </cell>
          <cell r="AU38" t="str">
            <v>정직원</v>
          </cell>
          <cell r="AV38" t="str">
            <v>씨앤토트플러스㈜</v>
          </cell>
          <cell r="AW38">
            <v>4809000</v>
          </cell>
          <cell r="AX38">
            <v>4809000</v>
          </cell>
          <cell r="AY38">
            <v>12</v>
          </cell>
          <cell r="AZ38">
            <v>57708000</v>
          </cell>
          <cell r="BC38">
            <v>45839</v>
          </cell>
          <cell r="BD38">
            <v>45000000</v>
          </cell>
          <cell r="BE38">
            <v>45912000</v>
          </cell>
          <cell r="BF38">
            <v>45912000</v>
          </cell>
          <cell r="BG38">
            <v>3826000</v>
          </cell>
          <cell r="BH38">
            <v>3254100</v>
          </cell>
          <cell r="BI38">
            <v>16526.79</v>
          </cell>
          <cell r="BJ38">
            <v>209</v>
          </cell>
          <cell r="BK38">
            <v>15</v>
          </cell>
          <cell r="BL38">
            <v>0</v>
          </cell>
          <cell r="BM38">
            <v>371900</v>
          </cell>
          <cell r="BN38">
            <v>0</v>
          </cell>
          <cell r="BO38">
            <v>200000</v>
          </cell>
          <cell r="BP38">
            <v>0</v>
          </cell>
          <cell r="BQ38" t="str">
            <v>적합</v>
          </cell>
          <cell r="BR38"/>
          <cell r="BS38">
            <v>661071.60000000009</v>
          </cell>
          <cell r="BT38">
            <v>3881089.3</v>
          </cell>
          <cell r="BU38">
            <v>2066820</v>
          </cell>
          <cell r="BV38">
            <v>1772261.1647999997</v>
          </cell>
          <cell r="BW38">
            <v>674436</v>
          </cell>
          <cell r="BX38">
            <v>287179.2</v>
          </cell>
          <cell r="BY38">
            <v>4782500</v>
          </cell>
          <cell r="BZ38">
            <v>50454160.899999999</v>
          </cell>
          <cell r="CA38">
            <v>4800696.3647999996</v>
          </cell>
          <cell r="CB38">
            <v>57390000</v>
          </cell>
          <cell r="CC38">
            <v>318000</v>
          </cell>
          <cell r="CD38">
            <v>0.55105011436889173</v>
          </cell>
        </row>
        <row r="39">
          <cell r="F39" t="str">
            <v>정재욱</v>
          </cell>
          <cell r="G39" t="str">
            <v>부장</v>
          </cell>
          <cell r="H39" t="str">
            <v>초급상</v>
          </cell>
          <cell r="I39" t="str">
            <v>초급기술자</v>
          </cell>
          <cell r="J39" t="str">
            <v>하도급(M/M)</v>
          </cell>
          <cell r="K39" t="str">
            <v>네트워크엔지니어</v>
          </cell>
          <cell r="L39"/>
          <cell r="M39" t="str">
            <v>042-340-2451</v>
          </cell>
          <cell r="N39" t="str">
            <v>010-6406-6586</v>
          </cell>
          <cell r="O39" t="str">
            <v>peridot1140@cnthoth.com</v>
          </cell>
          <cell r="P39" t="str">
            <v>720718-1</v>
          </cell>
          <cell r="Q39">
            <v>37530</v>
          </cell>
          <cell r="R39">
            <v>41000</v>
          </cell>
          <cell r="S39">
            <v>41640</v>
          </cell>
          <cell r="T39" t="str">
            <v>배재대학교</v>
          </cell>
          <cell r="V39" t="str">
            <v>대졸</v>
          </cell>
          <cell r="W39" t="str">
            <v>CISSP</v>
          </cell>
          <cell r="X39" t="str">
            <v>정보통신기술사(초급)</v>
          </cell>
          <cell r="Z39">
            <v>8623</v>
          </cell>
          <cell r="AA39">
            <v>5153</v>
          </cell>
          <cell r="AB39"/>
          <cell r="AC39"/>
          <cell r="AD39" t="str">
            <v>SKB 3F_대전</v>
          </cell>
          <cell r="AE39" t="str">
            <v>대전광역시</v>
          </cell>
          <cell r="AF39" t="str">
            <v>4. SKB/SK하이닉스 Infra 운영</v>
          </cell>
          <cell r="AG39" t="str">
            <v>4. SKB/SK하이닉스 Infra 운영</v>
          </cell>
          <cell r="AH39" t="str">
            <v>SK AX</v>
          </cell>
          <cell r="AI39" t="str">
            <v>SKB(대전)</v>
          </cell>
          <cell r="AJ39" t="str">
            <v>박규성</v>
          </cell>
          <cell r="AK39">
            <v>35234</v>
          </cell>
          <cell r="AL39" t="str">
            <v>대전광역시 서구 둔산로62 SK브로드밴드 3층</v>
          </cell>
          <cell r="AM39" t="str">
            <v>35206</v>
          </cell>
          <cell r="AN39" t="str">
            <v>대전광역시 서구 청사로 282, 10동 1305호 (둔산동, 수정타운)</v>
          </cell>
          <cell r="AO39" t="str">
            <v>ICT Cloud팀</v>
          </cell>
          <cell r="AP39" t="str">
            <v>SKB N/W 운영</v>
          </cell>
          <cell r="AQ39" t="str">
            <v>대전 지역 N/W 운영</v>
          </cell>
          <cell r="AS39" t="str">
            <v>에스케이브로드밴드(주) / SKB 26년 IT장비 및 소프트웨어 유지보수_1분기(4500302989-01)</v>
          </cell>
          <cell r="AT39" t="str">
            <v>통상</v>
          </cell>
          <cell r="AU39" t="str">
            <v>정직원</v>
          </cell>
          <cell r="AV39" t="str">
            <v>씨앤토트플러스㈜</v>
          </cell>
          <cell r="AW39">
            <v>4417000</v>
          </cell>
          <cell r="AX39">
            <v>4417000</v>
          </cell>
          <cell r="AY39">
            <v>12</v>
          </cell>
          <cell r="AZ39">
            <v>53004000</v>
          </cell>
          <cell r="BC39">
            <v>45839</v>
          </cell>
          <cell r="BD39">
            <v>38808000</v>
          </cell>
          <cell r="BE39">
            <v>39636000</v>
          </cell>
          <cell r="BF39">
            <v>39636000</v>
          </cell>
          <cell r="BG39">
            <v>3303000</v>
          </cell>
          <cell r="BH39">
            <v>2781900</v>
          </cell>
          <cell r="BI39">
            <v>14267.46</v>
          </cell>
          <cell r="BJ39">
            <v>209</v>
          </cell>
          <cell r="BK39">
            <v>15</v>
          </cell>
          <cell r="BL39">
            <v>0</v>
          </cell>
          <cell r="BM39">
            <v>321100</v>
          </cell>
          <cell r="BN39">
            <v>0</v>
          </cell>
          <cell r="BO39">
            <v>200000</v>
          </cell>
          <cell r="BP39">
            <v>0</v>
          </cell>
          <cell r="BQ39" t="str">
            <v>적합</v>
          </cell>
          <cell r="BR39"/>
          <cell r="BS39">
            <v>570698.39999999991</v>
          </cell>
          <cell r="BT39">
            <v>3350558.2</v>
          </cell>
          <cell r="BU39">
            <v>1768710</v>
          </cell>
          <cell r="BV39">
            <v>1516637.1743999999</v>
          </cell>
          <cell r="BW39">
            <v>577158</v>
          </cell>
          <cell r="BX39">
            <v>245757.6</v>
          </cell>
          <cell r="BY39">
            <v>4128750</v>
          </cell>
          <cell r="BZ39">
            <v>43557256.600000001</v>
          </cell>
          <cell r="CA39">
            <v>4108262.7744</v>
          </cell>
          <cell r="CB39">
            <v>49545000</v>
          </cell>
          <cell r="CC39">
            <v>3459000</v>
          </cell>
          <cell r="CD39">
            <v>6.5259225718813676</v>
          </cell>
        </row>
        <row r="40">
          <cell r="F40" t="str">
            <v>최종원</v>
          </cell>
          <cell r="G40" t="str">
            <v>부장</v>
          </cell>
          <cell r="H40" t="str">
            <v>중급상</v>
          </cell>
          <cell r="I40" t="str">
            <v>중급기술자</v>
          </cell>
          <cell r="J40" t="str">
            <v>하도급(FTE)</v>
          </cell>
          <cell r="K40" t="str">
            <v>네트워크엔지니어</v>
          </cell>
          <cell r="L40"/>
          <cell r="M40" t="str">
            <v>02-6100-0343</v>
          </cell>
          <cell r="N40" t="str">
            <v>010-4108-2333</v>
          </cell>
          <cell r="O40" t="str">
            <v>choice1975@cnthoth.com</v>
          </cell>
          <cell r="P40" t="str">
            <v>750719-1</v>
          </cell>
          <cell r="Q40">
            <v>37469</v>
          </cell>
          <cell r="R40">
            <v>41000</v>
          </cell>
          <cell r="S40">
            <v>41640</v>
          </cell>
          <cell r="T40" t="str">
            <v>서울디지털대학교</v>
          </cell>
          <cell r="U40" t="str">
            <v>상담심리학과</v>
          </cell>
          <cell r="V40" t="str">
            <v>대졸</v>
          </cell>
          <cell r="W40" t="str">
            <v>ITIL Foundation V3</v>
          </cell>
          <cell r="X40"/>
          <cell r="Y40"/>
          <cell r="Z40">
            <v>8684</v>
          </cell>
          <cell r="AA40">
            <v>5153</v>
          </cell>
          <cell r="AB40"/>
          <cell r="AC40"/>
          <cell r="AD40" t="str">
            <v>SKT_을지로</v>
          </cell>
          <cell r="AE40" t="str">
            <v>서울특별시</v>
          </cell>
          <cell r="AF40" t="str">
            <v>1. Infra 운영</v>
          </cell>
          <cell r="AG40" t="str">
            <v>1. Infra 운영</v>
          </cell>
          <cell r="AH40" t="str">
            <v>SK AX</v>
          </cell>
          <cell r="AI40" t="str">
            <v>SKT_T타워(을지로)</v>
          </cell>
          <cell r="AJ40" t="str">
            <v>임정재</v>
          </cell>
          <cell r="AK40" t="str">
            <v>04539</v>
          </cell>
          <cell r="AL40" t="str">
            <v>서울시 중구 을지로 65 (을지로2가) SK텔레콤빌딩 9층 ICT기술원 인프라Tech.Lab</v>
          </cell>
          <cell r="AM40" t="str">
            <v>04161</v>
          </cell>
          <cell r="AN40" t="str">
            <v>서울특별시 마포구 토정로31길 23, 109동 901호 (용강동, 래미안 마포 리버웰)</v>
          </cell>
          <cell r="AO40" t="str">
            <v>CloudInfraGovernance</v>
          </cell>
          <cell r="AP40" t="str">
            <v>인프라 자산관리</v>
          </cell>
          <cell r="AQ40" t="str">
            <v>N/W 운영 및 자산 관리</v>
          </cell>
          <cell r="AS40" t="str">
            <v>고객사 공통 / 2026년_인프라운영_HC13_1분기(4500302965-01)</v>
          </cell>
          <cell r="AT40" t="str">
            <v>통상</v>
          </cell>
          <cell r="AU40" t="str">
            <v>정직원</v>
          </cell>
          <cell r="AV40" t="str">
            <v>씨앤토트플러스㈜</v>
          </cell>
          <cell r="AW40">
            <v>6864000</v>
          </cell>
          <cell r="AX40">
            <v>6864000</v>
          </cell>
          <cell r="AY40">
            <v>12</v>
          </cell>
          <cell r="AZ40">
            <v>82368000</v>
          </cell>
          <cell r="BA40"/>
          <cell r="BB40"/>
          <cell r="BC40">
            <v>45839</v>
          </cell>
          <cell r="BD40">
            <v>56604000</v>
          </cell>
          <cell r="BE40">
            <v>57804000</v>
          </cell>
          <cell r="BF40">
            <v>57804000</v>
          </cell>
          <cell r="BG40">
            <v>4817000</v>
          </cell>
          <cell r="BH40">
            <v>4148800</v>
          </cell>
          <cell r="BI40">
            <v>20807.66</v>
          </cell>
          <cell r="BJ40">
            <v>209</v>
          </cell>
          <cell r="BK40">
            <v>15</v>
          </cell>
          <cell r="BL40">
            <v>0</v>
          </cell>
          <cell r="BM40">
            <v>468200</v>
          </cell>
          <cell r="BN40">
            <v>0</v>
          </cell>
          <cell r="BO40">
            <v>200000</v>
          </cell>
          <cell r="BP40">
            <v>0</v>
          </cell>
          <cell r="BQ40" t="str">
            <v>적합</v>
          </cell>
          <cell r="BR40"/>
          <cell r="BS40">
            <v>832306.4</v>
          </cell>
          <cell r="BT40">
            <v>4886358.8666666662</v>
          </cell>
          <cell r="BU40">
            <v>2631690</v>
          </cell>
          <cell r="BV40">
            <v>2256627.0815999997</v>
          </cell>
          <cell r="BW40">
            <v>858762</v>
          </cell>
          <cell r="BX40">
            <v>365666.4</v>
          </cell>
          <cell r="BY40">
            <v>6021250</v>
          </cell>
          <cell r="BZ40">
            <v>63522665.266666666</v>
          </cell>
          <cell r="CA40">
            <v>6112745.4815999996</v>
          </cell>
          <cell r="CB40">
            <v>72255000</v>
          </cell>
          <cell r="CC40">
            <v>10113000</v>
          </cell>
          <cell r="CD40">
            <v>12.277826340326341</v>
          </cell>
        </row>
        <row r="41">
          <cell r="F41" t="str">
            <v>김용균</v>
          </cell>
          <cell r="G41" t="str">
            <v>부장</v>
          </cell>
          <cell r="H41" t="str">
            <v>고급상</v>
          </cell>
          <cell r="I41" t="str">
            <v>고급기술자</v>
          </cell>
          <cell r="J41" t="str">
            <v>하도급(M/M)</v>
          </cell>
          <cell r="K41" t="str">
            <v>서버엔지니어</v>
          </cell>
          <cell r="L41"/>
          <cell r="M41" t="str">
            <v>02-6266-2486</v>
          </cell>
          <cell r="N41" t="str">
            <v>010-3234-4863</v>
          </cell>
          <cell r="O41" t="str">
            <v>ca530531@cnthoth.com</v>
          </cell>
          <cell r="P41" t="str">
            <v>730422-1</v>
          </cell>
          <cell r="Q41">
            <v>36526</v>
          </cell>
          <cell r="R41">
            <v>41030</v>
          </cell>
          <cell r="S41">
            <v>41640</v>
          </cell>
          <cell r="T41" t="str">
            <v>서울특별시립대학교</v>
          </cell>
          <cell r="U41"/>
          <cell r="V41" t="str">
            <v>대졸</v>
          </cell>
          <cell r="W41" t="str">
            <v>정보처리기사</v>
          </cell>
          <cell r="X41" t="str">
            <v>HPASE</v>
          </cell>
          <cell r="Y41"/>
          <cell r="Z41">
            <v>9627</v>
          </cell>
          <cell r="AA41">
            <v>5123</v>
          </cell>
          <cell r="AB41"/>
          <cell r="AC41"/>
          <cell r="AD41" t="str">
            <v>SKB 7층_동작</v>
          </cell>
          <cell r="AE41" t="str">
            <v>서울특별시</v>
          </cell>
          <cell r="AF41" t="str">
            <v>4. SKB/SK하이닉스 Infra 운영</v>
          </cell>
          <cell r="AG41" t="str">
            <v>4. SKB/SK하이닉스 Infra 운영</v>
          </cell>
          <cell r="AH41" t="str">
            <v>SK AX</v>
          </cell>
          <cell r="AI41" t="str">
            <v>SKB(동작)</v>
          </cell>
          <cell r="AJ41" t="str">
            <v>박규성</v>
          </cell>
          <cell r="AK41" t="str">
            <v>07063</v>
          </cell>
          <cell r="AL41" t="str">
            <v>서울시 동작구 여의대방로 74 (신대방동) SK브로드밴드 7층</v>
          </cell>
          <cell r="AM41">
            <v>16493</v>
          </cell>
          <cell r="AN41" t="str">
            <v>경기도 수원시 팔달구 권광로373, 104동2001호 (우만동, 월드메르디앙아파트)</v>
          </cell>
          <cell r="AO41" t="str">
            <v>ICT Cloud팀</v>
          </cell>
          <cell r="AP41" t="str">
            <v>SKB 서버 운영</v>
          </cell>
          <cell r="AQ41" t="str">
            <v>Unix 서버 운영</v>
          </cell>
          <cell r="AR41" t="str">
            <v>/ Linux 서버 운영</v>
          </cell>
          <cell r="AS41" t="str">
            <v>에스케이브로드밴드(주) / SKB 26년 IT장비 및 소프트웨어 유지보수_1분기(4500302989-01)</v>
          </cell>
          <cell r="AT41" t="str">
            <v>통상</v>
          </cell>
          <cell r="AU41" t="str">
            <v>정직원</v>
          </cell>
          <cell r="AV41" t="str">
            <v>씨앤토트플러스㈜</v>
          </cell>
          <cell r="AW41">
            <v>7186000</v>
          </cell>
          <cell r="AX41">
            <v>7186000</v>
          </cell>
          <cell r="AY41">
            <v>12</v>
          </cell>
          <cell r="AZ41">
            <v>86232000</v>
          </cell>
          <cell r="BA41"/>
          <cell r="BB41"/>
          <cell r="BC41">
            <v>45839</v>
          </cell>
          <cell r="BD41">
            <v>59460000</v>
          </cell>
          <cell r="BE41">
            <v>60780000</v>
          </cell>
          <cell r="BF41">
            <v>60780000</v>
          </cell>
          <cell r="BG41">
            <v>5065000</v>
          </cell>
          <cell r="BH41">
            <v>4372700</v>
          </cell>
          <cell r="BI41">
            <v>21878.95</v>
          </cell>
          <cell r="BJ41">
            <v>209</v>
          </cell>
          <cell r="BK41">
            <v>15</v>
          </cell>
          <cell r="BL41">
            <v>0</v>
          </cell>
          <cell r="BM41">
            <v>492300</v>
          </cell>
          <cell r="BN41">
            <v>0</v>
          </cell>
          <cell r="BO41">
            <v>200000</v>
          </cell>
          <cell r="BP41">
            <v>0</v>
          </cell>
          <cell r="BQ41" t="str">
            <v>적합</v>
          </cell>
          <cell r="BR41"/>
          <cell r="BS41">
            <v>875158</v>
          </cell>
          <cell r="BT41">
            <v>5137929.833333333</v>
          </cell>
          <cell r="BU41">
            <v>2773050</v>
          </cell>
          <cell r="BV41">
            <v>2377840.7519999999</v>
          </cell>
          <cell r="BW41">
            <v>904890</v>
          </cell>
          <cell r="BX41">
            <v>385308</v>
          </cell>
          <cell r="BY41">
            <v>6331250</v>
          </cell>
          <cell r="BZ41">
            <v>66793087.833333336</v>
          </cell>
          <cell r="CA41">
            <v>6441088.7520000003</v>
          </cell>
          <cell r="CB41">
            <v>75975000</v>
          </cell>
          <cell r="CC41">
            <v>10257000</v>
          </cell>
          <cell r="CD41">
            <v>11.894656276092402</v>
          </cell>
        </row>
        <row r="42">
          <cell r="F42" t="str">
            <v>최민순</v>
          </cell>
          <cell r="G42" t="str">
            <v>부장</v>
          </cell>
          <cell r="H42" t="str">
            <v>중급상</v>
          </cell>
          <cell r="I42" t="str">
            <v>중급기술자</v>
          </cell>
          <cell r="J42" t="str">
            <v>하도급(FTE)</v>
          </cell>
          <cell r="K42" t="str">
            <v>시스템엔지니어</v>
          </cell>
          <cell r="L42"/>
          <cell r="M42" t="str">
            <v>02-6400-6047</v>
          </cell>
          <cell r="N42" t="str">
            <v>010-3805-7350</v>
          </cell>
          <cell r="O42" t="str">
            <v>jasmine07@cnthoth.com</v>
          </cell>
          <cell r="P42" t="str">
            <v>780318-2</v>
          </cell>
          <cell r="Q42">
            <v>38078</v>
          </cell>
          <cell r="R42">
            <v>41153</v>
          </cell>
          <cell r="S42">
            <v>41640</v>
          </cell>
          <cell r="T42" t="str">
            <v>서울여자대학교</v>
          </cell>
          <cell r="U42"/>
          <cell r="V42" t="str">
            <v>대졸</v>
          </cell>
          <cell r="W42" t="str">
            <v>정보처리기사</v>
          </cell>
          <cell r="X42" t="str">
            <v>사무자동화산업기사</v>
          </cell>
          <cell r="Y42" t="str">
            <v>CCNA</v>
          </cell>
          <cell r="Z42">
            <v>8075</v>
          </cell>
          <cell r="AA42">
            <v>5000</v>
          </cell>
          <cell r="AB42"/>
          <cell r="AC42"/>
          <cell r="AD42" t="str">
            <v>분당지웰푸르지오_수내</v>
          </cell>
          <cell r="AE42" t="str">
            <v>경기도</v>
          </cell>
          <cell r="AF42" t="str">
            <v>1. Infra 운영</v>
          </cell>
          <cell r="AG42" t="str">
            <v>1. Infra 운영</v>
          </cell>
          <cell r="AH42" t="str">
            <v>SK AX</v>
          </cell>
          <cell r="AI42" t="str">
            <v>SK그룹사(공통)</v>
          </cell>
          <cell r="AJ42" t="str">
            <v>김홍범</v>
          </cell>
          <cell r="AK42">
            <v>13594</v>
          </cell>
          <cell r="AL42" t="str">
            <v>경기도 성남시 분당구 수내로 39 분당지웰푸르지오아파트 오피스 6층</v>
          </cell>
          <cell r="AM42">
            <v>16884</v>
          </cell>
          <cell r="AN42" t="str">
            <v>경기도 용인시 처인구 모현면 충렬로8번길 47-4 (능원리, 삼화드림빌) 107동 301호</v>
          </cell>
          <cell r="AO42" t="str">
            <v>CloudInfraGovernance</v>
          </cell>
          <cell r="AP42" t="str">
            <v>자동화 관리</v>
          </cell>
          <cell r="AQ42" t="str">
            <v>자산관리</v>
          </cell>
          <cell r="AR42" t="str">
            <v>/ 장애 일반 관리</v>
          </cell>
          <cell r="AS42" t="str">
            <v>고객사 공통 / 2026년_인프라운영_HC13_1분기(4500302965-01)</v>
          </cell>
          <cell r="AT42" t="str">
            <v>통상</v>
          </cell>
          <cell r="AU42" t="str">
            <v>정직원</v>
          </cell>
          <cell r="AV42" t="str">
            <v>씨앤토트플러스㈜</v>
          </cell>
          <cell r="AW42">
            <v>6021000</v>
          </cell>
          <cell r="AX42">
            <v>6021000</v>
          </cell>
          <cell r="AY42">
            <v>12</v>
          </cell>
          <cell r="AZ42">
            <v>72252000</v>
          </cell>
          <cell r="BA42"/>
          <cell r="BB42"/>
          <cell r="BC42">
            <v>45839</v>
          </cell>
          <cell r="BD42">
            <v>49560000</v>
          </cell>
          <cell r="BE42">
            <v>50700000</v>
          </cell>
          <cell r="BF42">
            <v>50700000</v>
          </cell>
          <cell r="BG42">
            <v>4225000</v>
          </cell>
          <cell r="BH42">
            <v>3614300</v>
          </cell>
          <cell r="BI42">
            <v>18250.240000000002</v>
          </cell>
          <cell r="BJ42">
            <v>209</v>
          </cell>
          <cell r="BK42">
            <v>15</v>
          </cell>
          <cell r="BL42">
            <v>0</v>
          </cell>
          <cell r="BM42">
            <v>410700</v>
          </cell>
          <cell r="BN42">
            <v>0</v>
          </cell>
          <cell r="BO42">
            <v>200000</v>
          </cell>
          <cell r="BP42">
            <v>0</v>
          </cell>
          <cell r="BQ42" t="str">
            <v>적합</v>
          </cell>
          <cell r="BR42"/>
          <cell r="BS42">
            <v>730009.60000000009</v>
          </cell>
          <cell r="BT42">
            <v>4285834.1333333338</v>
          </cell>
          <cell r="BU42">
            <v>2294250</v>
          </cell>
          <cell r="BV42">
            <v>1967278.3199999998</v>
          </cell>
          <cell r="BW42">
            <v>748650</v>
          </cell>
          <cell r="BX42">
            <v>318780</v>
          </cell>
          <cell r="BY42">
            <v>5281250</v>
          </cell>
          <cell r="BZ42">
            <v>55715843.733333334</v>
          </cell>
          <cell r="CA42">
            <v>5328958.32</v>
          </cell>
          <cell r="CB42">
            <v>63375000</v>
          </cell>
          <cell r="CC42">
            <v>8877000</v>
          </cell>
          <cell r="CD42">
            <v>12.286165088855672</v>
          </cell>
        </row>
        <row r="43">
          <cell r="F43" t="str">
            <v>박경수</v>
          </cell>
          <cell r="G43" t="str">
            <v>부장</v>
          </cell>
          <cell r="H43" t="str">
            <v>중급하</v>
          </cell>
          <cell r="I43" t="str">
            <v>중급기술자</v>
          </cell>
          <cell r="J43" t="str">
            <v>하도급(FTE)</v>
          </cell>
          <cell r="K43" t="str">
            <v>서버엔지니어</v>
          </cell>
          <cell r="L43"/>
          <cell r="M43" t="str">
            <v>02-2049-5912</v>
          </cell>
          <cell r="N43" t="str">
            <v>010-9401-1799</v>
          </cell>
          <cell r="O43" t="str">
            <v>floyd@cnthoth.com</v>
          </cell>
          <cell r="P43" t="str">
            <v>731127-1</v>
          </cell>
          <cell r="Q43">
            <v>34820</v>
          </cell>
          <cell r="R43">
            <v>41153</v>
          </cell>
          <cell r="S43">
            <v>41640</v>
          </cell>
          <cell r="T43" t="str">
            <v>서울 명덕고등학교</v>
          </cell>
          <cell r="U43"/>
          <cell r="V43" t="str">
            <v>고졸</v>
          </cell>
          <cell r="W43"/>
          <cell r="X43"/>
          <cell r="Y43"/>
          <cell r="Z43">
            <v>11333</v>
          </cell>
          <cell r="AA43">
            <v>5000</v>
          </cell>
          <cell r="AB43"/>
          <cell r="AC43"/>
          <cell r="AD43" t="str">
            <v>워커힐호텔 본관 지하3층_광진</v>
          </cell>
          <cell r="AE43" t="str">
            <v>서울특별시</v>
          </cell>
          <cell r="AF43" t="str">
            <v>1. Infra 운영</v>
          </cell>
          <cell r="AG43" t="str">
            <v>1. Infra 운영</v>
          </cell>
          <cell r="AH43" t="str">
            <v>SK AX</v>
          </cell>
          <cell r="AI43" t="str">
            <v>워커힐(광장동)</v>
          </cell>
          <cell r="AJ43" t="str">
            <v>개인</v>
          </cell>
          <cell r="AK43" t="str">
            <v>04963</v>
          </cell>
          <cell r="AL43" t="str">
            <v>서울시 광진구 워커힐로 177 쉐라톤 워커힐호텔 본관 지하3층 정보관리팀</v>
          </cell>
          <cell r="AM43" t="str">
            <v>07902</v>
          </cell>
          <cell r="AN43" t="str">
            <v>서울특별시 양천구 화곡로3가길 2-1, C동 302호 (신월동, 지오빌)</v>
          </cell>
          <cell r="AO43" t="str">
            <v>제조/환경Cloud팀 </v>
          </cell>
          <cell r="AP43" t="str">
            <v>워커힐 서버 운영</v>
          </cell>
          <cell r="AQ43" t="str">
            <v>Unix 서버 운영</v>
          </cell>
          <cell r="AR43" t="str">
            <v>/ Linux 서버 운영</v>
          </cell>
          <cell r="AS43" t="str">
            <v>고객사 공통 / 2026년_인프라운영_HC22_01_1분기 (4500303129-01)</v>
          </cell>
          <cell r="AT43" t="str">
            <v>통상</v>
          </cell>
          <cell r="AU43" t="str">
            <v>정직원</v>
          </cell>
          <cell r="AV43" t="str">
            <v>씨앤토트플러스㈜</v>
          </cell>
          <cell r="AW43">
            <v>5367000</v>
          </cell>
          <cell r="AX43">
            <v>5367000</v>
          </cell>
          <cell r="AY43">
            <v>12</v>
          </cell>
          <cell r="AZ43">
            <v>64404000</v>
          </cell>
          <cell r="BA43"/>
          <cell r="BB43"/>
          <cell r="BC43">
            <v>45839</v>
          </cell>
          <cell r="BD43">
            <v>47604000</v>
          </cell>
          <cell r="BE43">
            <v>48612000</v>
          </cell>
          <cell r="BF43">
            <v>48612000</v>
          </cell>
          <cell r="BG43">
            <v>4051000</v>
          </cell>
          <cell r="BH43">
            <v>3457200</v>
          </cell>
          <cell r="BI43">
            <v>17498.560000000001</v>
          </cell>
          <cell r="BJ43">
            <v>209</v>
          </cell>
          <cell r="BK43">
            <v>15</v>
          </cell>
          <cell r="BL43">
            <v>0</v>
          </cell>
          <cell r="BM43">
            <v>393800</v>
          </cell>
          <cell r="BN43">
            <v>0</v>
          </cell>
          <cell r="BO43">
            <v>200000</v>
          </cell>
          <cell r="BP43">
            <v>0</v>
          </cell>
          <cell r="BQ43" t="str">
            <v>적합</v>
          </cell>
          <cell r="BR43"/>
          <cell r="BS43">
            <v>699942.40000000002</v>
          </cell>
          <cell r="BT43">
            <v>4109328.5333333332</v>
          </cell>
          <cell r="BU43">
            <v>2195070</v>
          </cell>
          <cell r="BV43">
            <v>1882233.2447999998</v>
          </cell>
          <cell r="BW43">
            <v>716286</v>
          </cell>
          <cell r="BX43">
            <v>304999.2</v>
          </cell>
          <cell r="BY43">
            <v>5063750</v>
          </cell>
          <cell r="BZ43">
            <v>53421270.93333333</v>
          </cell>
          <cell r="CA43">
            <v>5098588.4447999997</v>
          </cell>
          <cell r="CB43">
            <v>60765000</v>
          </cell>
          <cell r="CC43">
            <v>3639000</v>
          </cell>
          <cell r="CD43">
            <v>5.6502701695546858</v>
          </cell>
        </row>
        <row r="44">
          <cell r="F44" t="str">
            <v>조창현</v>
          </cell>
          <cell r="G44" t="str">
            <v>부장</v>
          </cell>
          <cell r="H44" t="str">
            <v>중급하</v>
          </cell>
          <cell r="I44" t="str">
            <v>중급기술자</v>
          </cell>
          <cell r="J44" t="str">
            <v>하도급(M/M)</v>
          </cell>
          <cell r="K44" t="str">
            <v>네트워크엔지니어</v>
          </cell>
          <cell r="L44"/>
          <cell r="M44" t="str">
            <v>02-6266-7958</v>
          </cell>
          <cell r="N44" t="str">
            <v>010-5422-6135</v>
          </cell>
          <cell r="O44" t="str">
            <v>body12@cnthoth.com</v>
          </cell>
          <cell r="P44" t="str">
            <v>710228-1</v>
          </cell>
          <cell r="Q44">
            <v>34425</v>
          </cell>
          <cell r="R44">
            <v>41183</v>
          </cell>
          <cell r="S44">
            <v>41640</v>
          </cell>
          <cell r="T44" t="str">
            <v>광운공고</v>
          </cell>
          <cell r="V44" t="str">
            <v>고졸</v>
          </cell>
          <cell r="Z44">
            <v>11728</v>
          </cell>
          <cell r="AA44">
            <v>4970</v>
          </cell>
          <cell r="AB44"/>
          <cell r="AC44"/>
          <cell r="AD44" t="str">
            <v>SKB_남산6F</v>
          </cell>
          <cell r="AE44" t="str">
            <v>서울특별시</v>
          </cell>
          <cell r="AF44" t="str">
            <v>4. SKB/SK하이닉스 Infra 운영</v>
          </cell>
          <cell r="AG44" t="str">
            <v>4. SKB/SK하이닉스 Infra 운영</v>
          </cell>
          <cell r="AH44" t="str">
            <v>SK AX</v>
          </cell>
          <cell r="AI44" t="str">
            <v>SKB(남산)</v>
          </cell>
          <cell r="AJ44" t="str">
            <v>박규성</v>
          </cell>
          <cell r="AK44" t="str">
            <v>04637</v>
          </cell>
          <cell r="AL44" t="str">
            <v>서울시 중구 퇴계로24 SK남산그린빌딩 6F</v>
          </cell>
          <cell r="AM44" t="str">
            <v>01475</v>
          </cell>
          <cell r="AN44" t="str">
            <v>서울특별시 도봉구 덕릉로 62길 86-6, B-02호 (창동)</v>
          </cell>
          <cell r="AO44" t="str">
            <v>ICT Cloud팀</v>
          </cell>
          <cell r="AP44" t="str">
            <v>SKB N/W 운영</v>
          </cell>
          <cell r="AQ44" t="str">
            <v>LAN 설치 및 운영</v>
          </cell>
          <cell r="AR44" t="str">
            <v>/ OA 고객 대응</v>
          </cell>
          <cell r="AS44" t="str">
            <v>에스케이브로드밴드(주) / SKB 26년 IT장비 및 소프트웨어 유지보수_1분기(4500302989-01)</v>
          </cell>
          <cell r="AT44" t="str">
            <v>통상</v>
          </cell>
          <cell r="AU44" t="str">
            <v>정직원</v>
          </cell>
          <cell r="AV44" t="str">
            <v>씨앤토트플러스㈜</v>
          </cell>
          <cell r="AW44">
            <v>5699000</v>
          </cell>
          <cell r="AX44">
            <v>5699000</v>
          </cell>
          <cell r="AY44">
            <v>12</v>
          </cell>
          <cell r="AZ44">
            <v>68388000</v>
          </cell>
          <cell r="BC44">
            <v>45839</v>
          </cell>
          <cell r="BD44">
            <v>42803999.999999993</v>
          </cell>
          <cell r="BE44">
            <v>43872000</v>
          </cell>
          <cell r="BF44">
            <v>43872000</v>
          </cell>
          <cell r="BG44">
            <v>3656000</v>
          </cell>
          <cell r="BH44">
            <v>3100600</v>
          </cell>
          <cell r="BI44">
            <v>15792.34</v>
          </cell>
          <cell r="BJ44">
            <v>209</v>
          </cell>
          <cell r="BK44">
            <v>15</v>
          </cell>
          <cell r="BL44">
            <v>0</v>
          </cell>
          <cell r="BM44">
            <v>355400</v>
          </cell>
          <cell r="BN44">
            <v>0</v>
          </cell>
          <cell r="BO44">
            <v>200000</v>
          </cell>
          <cell r="BP44">
            <v>0</v>
          </cell>
          <cell r="BQ44" t="str">
            <v>적합</v>
          </cell>
          <cell r="BR44"/>
          <cell r="BS44">
            <v>631693.6</v>
          </cell>
          <cell r="BT44">
            <v>3708641.1333333333</v>
          </cell>
          <cell r="BU44">
            <v>1969920</v>
          </cell>
          <cell r="BV44">
            <v>1689171.1488000001</v>
          </cell>
          <cell r="BW44">
            <v>642816</v>
          </cell>
          <cell r="BX44">
            <v>273715.20000000001</v>
          </cell>
          <cell r="BY44">
            <v>4570000</v>
          </cell>
          <cell r="BZ44">
            <v>48212334.733333334</v>
          </cell>
          <cell r="CA44">
            <v>4575622.3488000007</v>
          </cell>
          <cell r="CB44">
            <v>54840000</v>
          </cell>
          <cell r="CC44">
            <v>13548000</v>
          </cell>
          <cell r="CD44">
            <v>19.810493068959467</v>
          </cell>
        </row>
        <row r="45">
          <cell r="F45" t="str">
            <v>김용이</v>
          </cell>
          <cell r="G45" t="str">
            <v>차장</v>
          </cell>
          <cell r="H45" t="str">
            <v>초급하</v>
          </cell>
          <cell r="I45" t="str">
            <v>초급기술자</v>
          </cell>
          <cell r="J45" t="str">
            <v>하도급(M/M)</v>
          </cell>
          <cell r="K45" t="str">
            <v>네트워크엔지니어</v>
          </cell>
          <cell r="L45"/>
          <cell r="M45" t="str">
            <v>062-450-3112</v>
          </cell>
          <cell r="N45" t="str">
            <v>010-4641-6660</v>
          </cell>
          <cell r="O45" t="str">
            <v>unsystem@cnthoth.com</v>
          </cell>
          <cell r="P45" t="str">
            <v>760209-1</v>
          </cell>
          <cell r="Q45">
            <v>36526</v>
          </cell>
          <cell r="R45">
            <v>41183</v>
          </cell>
          <cell r="S45">
            <v>41640</v>
          </cell>
          <cell r="T45" t="str">
            <v>서강정보대</v>
          </cell>
          <cell r="V45" t="str">
            <v>전문대졸</v>
          </cell>
          <cell r="W45" t="str">
            <v>CCNA</v>
          </cell>
          <cell r="Z45">
            <v>9627</v>
          </cell>
          <cell r="AA45">
            <v>4970</v>
          </cell>
          <cell r="AB45"/>
          <cell r="AC45"/>
          <cell r="AD45" t="str">
            <v>SKB 5F_광주</v>
          </cell>
          <cell r="AE45" t="str">
            <v>경기도외</v>
          </cell>
          <cell r="AF45" t="str">
            <v>4. SKB/SK하이닉스 Infra 운영</v>
          </cell>
          <cell r="AG45" t="str">
            <v>4. SKB/SK하이닉스 Infra 운영</v>
          </cell>
          <cell r="AH45" t="str">
            <v>SK AX</v>
          </cell>
          <cell r="AI45" t="str">
            <v>SKB(광주)</v>
          </cell>
          <cell r="AJ45" t="str">
            <v>박규성</v>
          </cell>
          <cell r="AK45">
            <v>61475</v>
          </cell>
          <cell r="AL45" t="str">
            <v>광주광역시 동구 금남로3가 1-11 SK브로드밴드 5층</v>
          </cell>
          <cell r="AM45" t="str">
            <v>61451</v>
          </cell>
          <cell r="AN45" t="str">
            <v>광주광역시 동구 지호로86번길 3, 903호 (지산동, 진아하이빌아파트)</v>
          </cell>
          <cell r="AO45" t="str">
            <v>ICT Cloud팀</v>
          </cell>
          <cell r="AP45" t="str">
            <v>SKB N/W 운영</v>
          </cell>
          <cell r="AQ45" t="str">
            <v>전라 지역 N/W 운영</v>
          </cell>
          <cell r="AS45" t="str">
            <v>에스케이브로드밴드(주) / SKB 26년 IT장비 및 소프트웨어 유지보수_1분기(4500302989-01)</v>
          </cell>
          <cell r="AT45" t="str">
            <v>통상</v>
          </cell>
          <cell r="AU45" t="str">
            <v>정직원</v>
          </cell>
          <cell r="AV45" t="str">
            <v>씨앤토트플러스㈜</v>
          </cell>
          <cell r="AW45">
            <v>3992000</v>
          </cell>
          <cell r="AX45">
            <v>3992000</v>
          </cell>
          <cell r="AY45">
            <v>12</v>
          </cell>
          <cell r="AZ45">
            <v>47904000</v>
          </cell>
          <cell r="BC45">
            <v>45839</v>
          </cell>
          <cell r="BD45">
            <v>36084000</v>
          </cell>
          <cell r="BE45">
            <v>36840000</v>
          </cell>
          <cell r="BF45">
            <v>36840000</v>
          </cell>
          <cell r="BG45">
            <v>3070000</v>
          </cell>
          <cell r="BH45">
            <v>2571600</v>
          </cell>
          <cell r="BI45">
            <v>13261.24</v>
          </cell>
          <cell r="BJ45">
            <v>209</v>
          </cell>
          <cell r="BK45">
            <v>15</v>
          </cell>
          <cell r="BL45">
            <v>0</v>
          </cell>
          <cell r="BM45">
            <v>298400</v>
          </cell>
          <cell r="BN45">
            <v>0</v>
          </cell>
          <cell r="BO45">
            <v>200000</v>
          </cell>
          <cell r="BP45">
            <v>0</v>
          </cell>
          <cell r="BQ45" t="str">
            <v>적합</v>
          </cell>
          <cell r="BR45"/>
          <cell r="BS45">
            <v>530449.6</v>
          </cell>
          <cell r="BT45">
            <v>3114204.1333333333</v>
          </cell>
          <cell r="BU45">
            <v>1635900</v>
          </cell>
          <cell r="BV45">
            <v>1402754.976</v>
          </cell>
          <cell r="BW45">
            <v>533820</v>
          </cell>
          <cell r="BX45">
            <v>227304</v>
          </cell>
          <cell r="BY45">
            <v>3837500</v>
          </cell>
          <cell r="BZ45">
            <v>40484653.733333334</v>
          </cell>
          <cell r="CA45">
            <v>3799778.9759999998</v>
          </cell>
          <cell r="CB45">
            <v>46050000</v>
          </cell>
          <cell r="CC45">
            <v>1854000</v>
          </cell>
          <cell r="CD45">
            <v>3.8702404809619235</v>
          </cell>
        </row>
        <row r="46">
          <cell r="F46" t="str">
            <v>이주형</v>
          </cell>
          <cell r="G46" t="str">
            <v>차장</v>
          </cell>
          <cell r="H46" t="str">
            <v>초급하</v>
          </cell>
          <cell r="I46" t="str">
            <v>초급기술자</v>
          </cell>
          <cell r="J46" t="str">
            <v>하도급(M/M)</v>
          </cell>
          <cell r="K46" t="str">
            <v>NOC 엔지니어</v>
          </cell>
          <cell r="L46"/>
          <cell r="M46" t="str">
            <v>02-6266-3994</v>
          </cell>
          <cell r="N46" t="str">
            <v>010-3215-6737</v>
          </cell>
          <cell r="O46" t="str">
            <v>ljh2070@cnthoth.com</v>
          </cell>
          <cell r="P46" t="str">
            <v>720916-1</v>
          </cell>
          <cell r="Q46">
            <v>39114</v>
          </cell>
          <cell r="R46">
            <v>41275</v>
          </cell>
          <cell r="S46">
            <v>41640</v>
          </cell>
          <cell r="T46" t="str">
            <v>동남보건대</v>
          </cell>
          <cell r="U46" t="str">
            <v>치과기공과</v>
          </cell>
          <cell r="V46" t="str">
            <v>전문대졸</v>
          </cell>
          <cell r="W46" t="str">
            <v>CCNA</v>
          </cell>
          <cell r="X46" t="str">
            <v>MCSE</v>
          </cell>
          <cell r="Z46">
            <v>7039</v>
          </cell>
          <cell r="AA46">
            <v>4878</v>
          </cell>
          <cell r="AB46"/>
          <cell r="AC46"/>
          <cell r="AD46" t="str">
            <v>SKB동작국사</v>
          </cell>
          <cell r="AE46" t="str">
            <v>서울특별시</v>
          </cell>
          <cell r="AF46" t="str">
            <v>4. SKB/SK하이닉스 Infra 운영</v>
          </cell>
          <cell r="AG46" t="str">
            <v>4. SKB/SK하이닉스 Infra 운영</v>
          </cell>
          <cell r="AH46" t="str">
            <v>SK AX</v>
          </cell>
          <cell r="AI46" t="str">
            <v>SKB(동작)</v>
          </cell>
          <cell r="AJ46" t="str">
            <v>박규성</v>
          </cell>
          <cell r="AK46" t="str">
            <v>07063</v>
          </cell>
          <cell r="AL46" t="str">
            <v>서울시 동작구 여의대방로 74 (신대방동) SK브로드밴드 7층</v>
          </cell>
          <cell r="AM46" t="str">
            <v>14748</v>
          </cell>
          <cell r="AN46" t="str">
            <v>경기도 부천시 성주로 186, 101동 502호 (심곡본동, 삼성하이츠빌)</v>
          </cell>
          <cell r="AO46" t="str">
            <v>ICT Cloud팀</v>
          </cell>
          <cell r="AP46" t="str">
            <v>SKB N/W 운영</v>
          </cell>
          <cell r="AQ46" t="str">
            <v>N/W 관제, 장애 전파 및 처리, 상황실 NMS 등록/관리</v>
          </cell>
          <cell r="AS46" t="str">
            <v>에스케이브로드밴드(주) / SKB 26년 IT장비 및 소프트웨어 유지보수_1분기(4500302989-01)</v>
          </cell>
          <cell r="AT46" t="str">
            <v>스케줄</v>
          </cell>
          <cell r="AU46" t="str">
            <v>정직원</v>
          </cell>
          <cell r="AV46" t="str">
            <v>씨앤토트플러스㈜</v>
          </cell>
          <cell r="AW46">
            <v>3992000</v>
          </cell>
          <cell r="AX46">
            <v>3992000</v>
          </cell>
          <cell r="AY46">
            <v>12</v>
          </cell>
          <cell r="AZ46">
            <v>47904000</v>
          </cell>
          <cell r="BC46">
            <v>45839</v>
          </cell>
          <cell r="BD46">
            <v>32088600</v>
          </cell>
          <cell r="BE46">
            <v>32845200</v>
          </cell>
          <cell r="BF46">
            <v>32845200</v>
          </cell>
          <cell r="BG46">
            <v>2737100</v>
          </cell>
          <cell r="BH46">
            <v>2113800</v>
          </cell>
          <cell r="BI46">
            <v>12331.72</v>
          </cell>
          <cell r="BJ46">
            <v>187.63</v>
          </cell>
          <cell r="BK46">
            <v>29.11</v>
          </cell>
          <cell r="BL46">
            <v>39.54</v>
          </cell>
          <cell r="BM46">
            <v>179500</v>
          </cell>
          <cell r="BN46">
            <v>243800</v>
          </cell>
          <cell r="BO46">
            <v>200000</v>
          </cell>
          <cell r="BP46">
            <v>2492209</v>
          </cell>
          <cell r="BQ46" t="str">
            <v>적합</v>
          </cell>
          <cell r="BR46"/>
          <cell r="BS46">
            <v>1233172</v>
          </cell>
          <cell r="BT46">
            <v>2839864.3333333335</v>
          </cell>
          <cell r="BU46">
            <v>1446147</v>
          </cell>
          <cell r="BV46">
            <v>1240045.17408</v>
          </cell>
          <cell r="BW46">
            <v>471900.6</v>
          </cell>
          <cell r="BX46">
            <v>200938.32</v>
          </cell>
          <cell r="BY46">
            <v>3421375</v>
          </cell>
          <cell r="BZ46">
            <v>36918236.333333336</v>
          </cell>
          <cell r="CA46">
            <v>3359031.0940800002</v>
          </cell>
          <cell r="CB46">
            <v>41056500</v>
          </cell>
          <cell r="CC46">
            <v>3831927.11</v>
          </cell>
          <cell r="CD46">
            <v>7.9991798388443556</v>
          </cell>
        </row>
        <row r="47">
          <cell r="F47" t="str">
            <v>천성철</v>
          </cell>
          <cell r="G47" t="str">
            <v>부장</v>
          </cell>
          <cell r="H47" t="str">
            <v>초급하</v>
          </cell>
          <cell r="I47" t="str">
            <v>초급기술자</v>
          </cell>
          <cell r="J47" t="str">
            <v>하도급(M/M)</v>
          </cell>
          <cell r="K47" t="str">
            <v>네트워크엔지니어</v>
          </cell>
          <cell r="L47"/>
          <cell r="M47" t="str">
            <v>051-940-2908</v>
          </cell>
          <cell r="N47" t="str">
            <v>010-9266-8094</v>
          </cell>
          <cell r="O47" t="str">
            <v>chsach3791@cnthoth.com</v>
          </cell>
          <cell r="P47" t="str">
            <v>731120-1</v>
          </cell>
          <cell r="Q47">
            <v>36434</v>
          </cell>
          <cell r="R47">
            <v>41275</v>
          </cell>
          <cell r="S47">
            <v>41640</v>
          </cell>
          <cell r="T47" t="str">
            <v>경남정보대학</v>
          </cell>
          <cell r="U47" t="str">
            <v>전자통신과</v>
          </cell>
          <cell r="V47" t="str">
            <v>전문대졸</v>
          </cell>
          <cell r="W47" t="str">
            <v>CCNA</v>
          </cell>
          <cell r="X47"/>
          <cell r="Y47"/>
          <cell r="Z47">
            <v>9719</v>
          </cell>
          <cell r="AA47">
            <v>4878</v>
          </cell>
          <cell r="AB47"/>
          <cell r="AC47"/>
          <cell r="AD47" t="str">
            <v>SKB 5F_부산</v>
          </cell>
          <cell r="AE47" t="str">
            <v>경기도외</v>
          </cell>
          <cell r="AF47" t="str">
            <v>4. SKB/SK하이닉스 Infra 운영</v>
          </cell>
          <cell r="AG47" t="str">
            <v>4. SKB/SK하이닉스 Infra 운영</v>
          </cell>
          <cell r="AH47" t="str">
            <v>SK AX</v>
          </cell>
          <cell r="AI47" t="str">
            <v>SKB(부산)</v>
          </cell>
          <cell r="AJ47" t="str">
            <v>박규성</v>
          </cell>
          <cell r="AK47">
            <v>47520</v>
          </cell>
          <cell r="AL47" t="str">
            <v>부산광역시 연제구 반송로29 SK브로드밴드 5층</v>
          </cell>
          <cell r="AM47" t="str">
            <v>47562</v>
          </cell>
          <cell r="AN47" t="str">
            <v>부산광역시 연제구 과정로294번길 10, 102동 1004호 (연산동, 동원베네스트)</v>
          </cell>
          <cell r="AO47" t="str">
            <v>ICT Cloud팀</v>
          </cell>
          <cell r="AP47" t="str">
            <v>SKB N/W 운영</v>
          </cell>
          <cell r="AQ47" t="str">
            <v>경남 지역 N/W 운영</v>
          </cell>
          <cell r="AR47"/>
          <cell r="AS47" t="str">
            <v>에스케이브로드밴드(주) / SKB 26년 IT장비 및 소프트웨어 유지보수_1분기(4500302989-01)</v>
          </cell>
          <cell r="AT47" t="str">
            <v>통상</v>
          </cell>
          <cell r="AU47" t="str">
            <v>정직원</v>
          </cell>
          <cell r="AV47" t="str">
            <v>씨앤토트플러스㈜</v>
          </cell>
          <cell r="AW47">
            <v>3992000</v>
          </cell>
          <cell r="AX47">
            <v>3992000</v>
          </cell>
          <cell r="AY47">
            <v>12</v>
          </cell>
          <cell r="AZ47">
            <v>47904000</v>
          </cell>
          <cell r="BA47"/>
          <cell r="BB47"/>
          <cell r="BC47">
            <v>45839</v>
          </cell>
          <cell r="BD47">
            <v>36084000</v>
          </cell>
          <cell r="BE47">
            <v>36840000</v>
          </cell>
          <cell r="BF47">
            <v>36840000</v>
          </cell>
          <cell r="BG47">
            <v>3070000</v>
          </cell>
          <cell r="BH47">
            <v>2571600</v>
          </cell>
          <cell r="BI47">
            <v>13261.24</v>
          </cell>
          <cell r="BJ47">
            <v>209</v>
          </cell>
          <cell r="BK47">
            <v>15</v>
          </cell>
          <cell r="BL47">
            <v>0</v>
          </cell>
          <cell r="BM47">
            <v>298400</v>
          </cell>
          <cell r="BN47">
            <v>0</v>
          </cell>
          <cell r="BO47">
            <v>200000</v>
          </cell>
          <cell r="BP47">
            <v>0</v>
          </cell>
          <cell r="BQ47" t="str">
            <v>적합</v>
          </cell>
          <cell r="BR47"/>
          <cell r="BS47">
            <v>530449.6</v>
          </cell>
          <cell r="BT47">
            <v>3114204.1333333333</v>
          </cell>
          <cell r="BU47">
            <v>1635900</v>
          </cell>
          <cell r="BV47">
            <v>1402754.976</v>
          </cell>
          <cell r="BW47">
            <v>533820</v>
          </cell>
          <cell r="BX47">
            <v>227304</v>
          </cell>
          <cell r="BY47">
            <v>3837500</v>
          </cell>
          <cell r="BZ47">
            <v>40484653.733333334</v>
          </cell>
          <cell r="CA47">
            <v>3799778.9759999998</v>
          </cell>
          <cell r="CB47">
            <v>46050000</v>
          </cell>
          <cell r="CC47">
            <v>1854000</v>
          </cell>
          <cell r="CD47">
            <v>3.8702404809619235</v>
          </cell>
        </row>
        <row r="48">
          <cell r="F48" t="str">
            <v>이현목</v>
          </cell>
          <cell r="G48" t="str">
            <v>부장</v>
          </cell>
          <cell r="H48" t="str">
            <v>중급상</v>
          </cell>
          <cell r="I48" t="str">
            <v>중급기술자</v>
          </cell>
          <cell r="J48" t="str">
            <v>하도급(FTE)</v>
          </cell>
          <cell r="K48" t="str">
            <v>네트워크엔지니어</v>
          </cell>
          <cell r="L48"/>
          <cell r="M48" t="str">
            <v>02-6100-0349</v>
          </cell>
          <cell r="N48" t="str">
            <v>010-2070-4017</v>
          </cell>
          <cell r="O48" t="str">
            <v>verger@cnthoth.com</v>
          </cell>
          <cell r="P48" t="str">
            <v>750725-1</v>
          </cell>
          <cell r="Q48">
            <v>37316</v>
          </cell>
          <cell r="R48">
            <v>41275</v>
          </cell>
          <cell r="S48">
            <v>41640</v>
          </cell>
          <cell r="T48" t="str">
            <v>가톨릭대학교</v>
          </cell>
          <cell r="U48"/>
          <cell r="V48" t="str">
            <v>대졸</v>
          </cell>
          <cell r="W48" t="str">
            <v>무선설비기사</v>
          </cell>
          <cell r="X48" t="str">
            <v>통신선로산업기사</v>
          </cell>
          <cell r="Y48" t="str">
            <v>전자기기능사 2급</v>
          </cell>
          <cell r="Z48">
            <v>8837</v>
          </cell>
          <cell r="AA48">
            <v>4878</v>
          </cell>
          <cell r="AB48"/>
          <cell r="AC48"/>
          <cell r="AD48" t="str">
            <v>SKT_을지로</v>
          </cell>
          <cell r="AE48" t="str">
            <v>서울특별시</v>
          </cell>
          <cell r="AF48" t="str">
            <v>2. Network Service</v>
          </cell>
          <cell r="AG48" t="str">
            <v>2. Network Service</v>
          </cell>
          <cell r="AH48" t="str">
            <v>SK AX</v>
          </cell>
          <cell r="AI48" t="str">
            <v>SKT_T타워(을지로)</v>
          </cell>
          <cell r="AJ48" t="str">
            <v>임정재</v>
          </cell>
          <cell r="AK48" t="str">
            <v>04539</v>
          </cell>
          <cell r="AL48" t="str">
            <v>서울시 중구 을지로 65 (을지로2가) SK텔레콤빌딩 9층 ICT기술원 인프라Tech.Lab</v>
          </cell>
          <cell r="AM48" t="str">
            <v>14790</v>
          </cell>
          <cell r="AN48" t="str">
            <v>경기도 부천시 범안로 220, 109동 404호 (옥길동, 옥길호반베르디움)</v>
          </cell>
          <cell r="AO48" t="str">
            <v>Network Service팀</v>
          </cell>
          <cell r="AP48" t="str">
            <v>SKT 고객지원</v>
          </cell>
          <cell r="AQ48" t="str">
            <v>SKT ITSM 지원</v>
          </cell>
          <cell r="AR48" t="str">
            <v>/ SKT N/W 운영</v>
          </cell>
          <cell r="AS48" t="str">
            <v>고객사 공통 / 2026년_인프라운영_HC11_1분기(4500303149-01)</v>
          </cell>
          <cell r="AT48" t="str">
            <v>통상</v>
          </cell>
          <cell r="AU48" t="str">
            <v>정직원</v>
          </cell>
          <cell r="AV48" t="str">
            <v>씨앤토트플러스㈜</v>
          </cell>
          <cell r="AW48">
            <v>6439000</v>
          </cell>
          <cell r="AX48">
            <v>6439000</v>
          </cell>
          <cell r="AY48">
            <v>12</v>
          </cell>
          <cell r="AZ48">
            <v>77268000</v>
          </cell>
          <cell r="BA48"/>
          <cell r="BB48"/>
          <cell r="BC48">
            <v>45839</v>
          </cell>
          <cell r="BD48">
            <v>59448000</v>
          </cell>
          <cell r="BE48">
            <v>60667200</v>
          </cell>
          <cell r="BF48">
            <v>60667200</v>
          </cell>
          <cell r="BG48">
            <v>5055600</v>
          </cell>
          <cell r="BH48">
            <v>4364200</v>
          </cell>
          <cell r="BI48">
            <v>21838.28</v>
          </cell>
          <cell r="BJ48">
            <v>209</v>
          </cell>
          <cell r="BK48">
            <v>15</v>
          </cell>
          <cell r="BL48">
            <v>0</v>
          </cell>
          <cell r="BM48">
            <v>491400</v>
          </cell>
          <cell r="BN48">
            <v>0</v>
          </cell>
          <cell r="BO48">
            <v>200000</v>
          </cell>
          <cell r="BP48">
            <v>0</v>
          </cell>
          <cell r="BQ48" t="str">
            <v>적합</v>
          </cell>
          <cell r="BR48"/>
          <cell r="BS48">
            <v>873531.2</v>
          </cell>
          <cell r="BT48">
            <v>5128394.2666666666</v>
          </cell>
          <cell r="BU48">
            <v>2767692</v>
          </cell>
          <cell r="BV48">
            <v>2373246.3628799999</v>
          </cell>
          <cell r="BW48">
            <v>903141.6</v>
          </cell>
          <cell r="BX48">
            <v>384563.52</v>
          </cell>
          <cell r="BY48">
            <v>6319500</v>
          </cell>
          <cell r="BZ48">
            <v>66669125.466666669</v>
          </cell>
          <cell r="CA48">
            <v>6428643.48288</v>
          </cell>
          <cell r="CB48">
            <v>75834000</v>
          </cell>
          <cell r="CC48">
            <v>1434000</v>
          </cell>
          <cell r="CD48">
            <v>1.8558782419630377</v>
          </cell>
        </row>
        <row r="49">
          <cell r="F49" t="str">
            <v>최동일</v>
          </cell>
          <cell r="G49" t="str">
            <v>부장</v>
          </cell>
          <cell r="H49" t="str">
            <v>중급상</v>
          </cell>
          <cell r="I49" t="str">
            <v>중급기술자</v>
          </cell>
          <cell r="J49" t="str">
            <v>하도급(FTE)</v>
          </cell>
          <cell r="K49" t="str">
            <v>서버엔지니어</v>
          </cell>
          <cell r="L49" t="str">
            <v>고경남 후임</v>
          </cell>
          <cell r="M49" t="str">
            <v>02-829-2402</v>
          </cell>
          <cell r="N49" t="str">
            <v>010-8315-3938</v>
          </cell>
          <cell r="O49" t="str">
            <v>tarac10047@cnthoth.com</v>
          </cell>
          <cell r="P49" t="str">
            <v>730812-1</v>
          </cell>
          <cell r="Q49">
            <v>36923</v>
          </cell>
          <cell r="R49">
            <v>41288</v>
          </cell>
          <cell r="S49">
            <v>41640</v>
          </cell>
          <cell r="T49" t="str">
            <v>서울산업대학교</v>
          </cell>
          <cell r="U49"/>
          <cell r="V49" t="str">
            <v>대졸</v>
          </cell>
          <cell r="W49" t="str">
            <v>CISA/CISSP</v>
          </cell>
          <cell r="X49" t="str">
            <v>무선설비산업기사</v>
          </cell>
          <cell r="Z49">
            <v>9230</v>
          </cell>
          <cell r="AA49">
            <v>4865</v>
          </cell>
          <cell r="AB49"/>
          <cell r="AC49"/>
          <cell r="AD49" t="str">
            <v>SKT 7F_보라매</v>
          </cell>
          <cell r="AE49" t="str">
            <v>서울특별시</v>
          </cell>
          <cell r="AF49" t="str">
            <v>1. Infra 운영</v>
          </cell>
          <cell r="AG49" t="str">
            <v>1. Infra 운영</v>
          </cell>
          <cell r="AH49" t="str">
            <v>SK AX</v>
          </cell>
          <cell r="AI49" t="str">
            <v>SKT(보라매)</v>
          </cell>
          <cell r="AJ49" t="str">
            <v>조원석</v>
          </cell>
          <cell r="AK49" t="str">
            <v>08708</v>
          </cell>
          <cell r="AL49" t="str">
            <v>서울시 관악구 보라매로5길 1  SK텔레콤빌딩 7F (봉천동)</v>
          </cell>
          <cell r="AM49" t="str">
            <v>07960</v>
          </cell>
          <cell r="AN49" t="str">
            <v>서울특별시 양천구 목동중앙본로7길 37-20, 101동 802호 (목동, 길성그랑프리텔)</v>
          </cell>
          <cell r="AO49" t="str">
            <v>T Biz. Cloud팀</v>
          </cell>
          <cell r="AP49" t="str">
            <v>SKT 서버 운영</v>
          </cell>
          <cell r="AQ49" t="str">
            <v>Windows 서버 운영</v>
          </cell>
          <cell r="AS49" t="str">
            <v>고객사 공통 / 2026년_인프라운영_HC12_1분기(4500303380-01)</v>
          </cell>
          <cell r="AT49" t="str">
            <v>통상</v>
          </cell>
          <cell r="AU49" t="str">
            <v>정직원</v>
          </cell>
          <cell r="AV49" t="str">
            <v>씨앤토트플러스㈜</v>
          </cell>
          <cell r="AW49">
            <v>5961000</v>
          </cell>
          <cell r="AX49">
            <v>5961000</v>
          </cell>
          <cell r="AY49">
            <v>12</v>
          </cell>
          <cell r="AZ49">
            <v>71532000</v>
          </cell>
          <cell r="BA49"/>
          <cell r="BB49"/>
          <cell r="BC49">
            <v>45839</v>
          </cell>
          <cell r="BD49">
            <v>46800000</v>
          </cell>
          <cell r="BE49">
            <v>47916000</v>
          </cell>
          <cell r="BF49">
            <v>47916000</v>
          </cell>
          <cell r="BG49">
            <v>3993000</v>
          </cell>
          <cell r="BH49">
            <v>3404900</v>
          </cell>
          <cell r="BI49">
            <v>17248.330000000002</v>
          </cell>
          <cell r="BJ49">
            <v>209</v>
          </cell>
          <cell r="BK49">
            <v>15</v>
          </cell>
          <cell r="BL49">
            <v>0</v>
          </cell>
          <cell r="BM49">
            <v>388100</v>
          </cell>
          <cell r="BN49">
            <v>0</v>
          </cell>
          <cell r="BO49">
            <v>200000</v>
          </cell>
          <cell r="BP49">
            <v>0</v>
          </cell>
          <cell r="BQ49" t="str">
            <v>적합</v>
          </cell>
          <cell r="BR49"/>
          <cell r="BS49">
            <v>689933.20000000007</v>
          </cell>
          <cell r="BT49">
            <v>4050494.4333333331</v>
          </cell>
          <cell r="BU49">
            <v>2162010</v>
          </cell>
          <cell r="BV49">
            <v>1853884.8863999997</v>
          </cell>
          <cell r="BW49">
            <v>705498</v>
          </cell>
          <cell r="BX49">
            <v>300405.59999999998</v>
          </cell>
          <cell r="BY49">
            <v>4991250</v>
          </cell>
          <cell r="BZ49">
            <v>52656427.633333333</v>
          </cell>
          <cell r="CA49">
            <v>5021798.4863999989</v>
          </cell>
          <cell r="CB49">
            <v>59895000</v>
          </cell>
          <cell r="CC49">
            <v>11637000</v>
          </cell>
          <cell r="CD49">
            <v>16.268243583291394</v>
          </cell>
        </row>
        <row r="50">
          <cell r="F50" t="str">
            <v>박지현</v>
          </cell>
          <cell r="G50" t="str">
            <v>부장</v>
          </cell>
          <cell r="H50" t="str">
            <v>중급상</v>
          </cell>
          <cell r="I50" t="str">
            <v>중급기술자</v>
          </cell>
          <cell r="J50" t="str">
            <v>하도급(FTE)</v>
          </cell>
          <cell r="K50" t="str">
            <v>네트워크엔지니어</v>
          </cell>
          <cell r="L50"/>
          <cell r="M50" t="str">
            <v>032-570-5040</v>
          </cell>
          <cell r="N50" t="str">
            <v>010-9003-5237</v>
          </cell>
          <cell r="O50" t="str">
            <v>parkpd@cnthoth.com</v>
          </cell>
          <cell r="P50" t="str">
            <v>760730-1</v>
          </cell>
          <cell r="Q50">
            <v>37257</v>
          </cell>
          <cell r="R50">
            <v>41365</v>
          </cell>
          <cell r="S50">
            <v>41640</v>
          </cell>
          <cell r="T50" t="str">
            <v>건양대학교</v>
          </cell>
          <cell r="U50" t="str">
            <v>정보통신공학과</v>
          </cell>
          <cell r="V50" t="str">
            <v>대졸</v>
          </cell>
          <cell r="W50" t="str">
            <v>CCNA</v>
          </cell>
          <cell r="X50" t="str">
            <v>CCNP</v>
          </cell>
          <cell r="Y50"/>
          <cell r="Z50">
            <v>8896</v>
          </cell>
          <cell r="AA50">
            <v>4788</v>
          </cell>
          <cell r="AB50"/>
          <cell r="AC50"/>
          <cell r="AD50" t="str">
            <v>SKT_보라매 7F</v>
          </cell>
          <cell r="AE50" t="str">
            <v>서울특별시</v>
          </cell>
          <cell r="AF50" t="str">
            <v>2. Network Service</v>
          </cell>
          <cell r="AG50" t="str">
            <v>2. Network Service</v>
          </cell>
          <cell r="AH50" t="str">
            <v>SK AX</v>
          </cell>
          <cell r="AI50" t="str">
            <v>SK이노베이션(인천)</v>
          </cell>
          <cell r="AJ50" t="str">
            <v>개인</v>
          </cell>
          <cell r="AK50" t="str">
            <v>08708</v>
          </cell>
          <cell r="AL50" t="str">
            <v>서울시 관악구 보라매로5길 1  SK텔레콤빌딩 7F (봉천동)</v>
          </cell>
          <cell r="AM50" t="str">
            <v>22135</v>
          </cell>
          <cell r="AN50" t="str">
            <v>인천광역시 미추홀구 주안동로33, 602호 (주안동, 현대오피스텔)</v>
          </cell>
          <cell r="AO50" t="str">
            <v>Network Service팀</v>
          </cell>
          <cell r="AP50" t="str">
            <v>인천CLX N/W 운영</v>
          </cell>
          <cell r="AQ50" t="str">
            <v>N/W 장애처리</v>
          </cell>
          <cell r="AR50" t="str">
            <v>/ Voice 운영</v>
          </cell>
          <cell r="AS50" t="str">
            <v>고객사 공통 / 2026년_인프라운영_HC11_1분기(4500303149-01)</v>
          </cell>
          <cell r="AT50" t="str">
            <v>통상</v>
          </cell>
          <cell r="AU50" t="str">
            <v>정직원</v>
          </cell>
          <cell r="AV50" t="str">
            <v>씨앤토트플러스㈜</v>
          </cell>
          <cell r="AW50">
            <v>5517000</v>
          </cell>
          <cell r="AX50">
            <v>5517000</v>
          </cell>
          <cell r="AY50">
            <v>12</v>
          </cell>
          <cell r="AZ50">
            <v>66204000</v>
          </cell>
          <cell r="BA50"/>
          <cell r="BB50"/>
          <cell r="BC50">
            <v>45839</v>
          </cell>
          <cell r="BD50">
            <v>43248000</v>
          </cell>
          <cell r="BE50">
            <v>44292000</v>
          </cell>
          <cell r="BF50">
            <v>44292000</v>
          </cell>
          <cell r="BG50">
            <v>3691000</v>
          </cell>
          <cell r="BH50">
            <v>3132200</v>
          </cell>
          <cell r="BI50">
            <v>15943.54</v>
          </cell>
          <cell r="BJ50">
            <v>209</v>
          </cell>
          <cell r="BK50">
            <v>15</v>
          </cell>
          <cell r="BL50">
            <v>0</v>
          </cell>
          <cell r="BM50">
            <v>358800</v>
          </cell>
          <cell r="BN50">
            <v>0</v>
          </cell>
          <cell r="BO50">
            <v>200000</v>
          </cell>
          <cell r="BP50">
            <v>0</v>
          </cell>
          <cell r="BQ50" t="str">
            <v>적합</v>
          </cell>
          <cell r="BR50"/>
          <cell r="BS50">
            <v>637741.60000000009</v>
          </cell>
          <cell r="BT50">
            <v>3744145.1333333333</v>
          </cell>
          <cell r="BU50">
            <v>1989870</v>
          </cell>
          <cell r="BV50">
            <v>1706277.9168</v>
          </cell>
          <cell r="BW50">
            <v>649326</v>
          </cell>
          <cell r="BX50">
            <v>276487.2</v>
          </cell>
          <cell r="BY50">
            <v>4613750</v>
          </cell>
          <cell r="BZ50">
            <v>48673886.733333334</v>
          </cell>
          <cell r="CA50">
            <v>4621961.1168</v>
          </cell>
          <cell r="CB50">
            <v>55365000</v>
          </cell>
          <cell r="CC50">
            <v>10839000</v>
          </cell>
          <cell r="CD50">
            <v>16.372122530360702</v>
          </cell>
        </row>
        <row r="51">
          <cell r="F51" t="str">
            <v>이재원</v>
          </cell>
          <cell r="G51" t="str">
            <v>부장</v>
          </cell>
          <cell r="H51" t="str">
            <v>고급하</v>
          </cell>
          <cell r="I51" t="str">
            <v>고급기술자</v>
          </cell>
          <cell r="J51" t="str">
            <v>하도급(M/M)</v>
          </cell>
          <cell r="K51" t="str">
            <v>서버엔지니어</v>
          </cell>
          <cell r="L51"/>
          <cell r="M51" t="str">
            <v>02-6266-6244</v>
          </cell>
          <cell r="N51" t="str">
            <v>010-2410-0635</v>
          </cell>
          <cell r="O51" t="str">
            <v>ovlee@cnthoth.com</v>
          </cell>
          <cell r="P51" t="str">
            <v>761225-1</v>
          </cell>
          <cell r="Q51">
            <v>37865</v>
          </cell>
          <cell r="R51">
            <v>41470</v>
          </cell>
          <cell r="S51">
            <v>41640</v>
          </cell>
          <cell r="T51" t="str">
            <v>서울디지털 대학교</v>
          </cell>
          <cell r="U51" t="str">
            <v>컴퓨터공학</v>
          </cell>
          <cell r="V51" t="str">
            <v>대졸</v>
          </cell>
          <cell r="W51" t="str">
            <v>RHCE</v>
          </cell>
          <cell r="X51" t="str">
            <v>CCDA</v>
          </cell>
          <cell r="Y51" t="str">
            <v xml:space="preserve"> SCNA</v>
          </cell>
          <cell r="Z51">
            <v>8288</v>
          </cell>
          <cell r="AA51">
            <v>4683</v>
          </cell>
          <cell r="AB51"/>
          <cell r="AC51"/>
          <cell r="AD51" t="str">
            <v>SKB 7층_동작</v>
          </cell>
          <cell r="AE51" t="str">
            <v>서울특별시</v>
          </cell>
          <cell r="AF51" t="str">
            <v>4. SKB/SK하이닉스 Infra 운영</v>
          </cell>
          <cell r="AG51" t="str">
            <v>4. SKB/SK하이닉스 Infra 운영</v>
          </cell>
          <cell r="AH51" t="str">
            <v>SK AX</v>
          </cell>
          <cell r="AI51" t="str">
            <v>SKB(동작)</v>
          </cell>
          <cell r="AJ51" t="str">
            <v>박규성</v>
          </cell>
          <cell r="AK51" t="str">
            <v>07063</v>
          </cell>
          <cell r="AL51" t="str">
            <v>서울시 동작구 여의대방로 74 (신대방동) SK브로드밴드 7층</v>
          </cell>
          <cell r="AM51" t="str">
            <v>15596</v>
          </cell>
          <cell r="AN51" t="str">
            <v xml:space="preserve">경기도 안산시 상록구 해양5로 17, 209동 3903호 (사동, 그랑시티자이2차) </v>
          </cell>
          <cell r="AO51" t="str">
            <v>ICT Cloud팀</v>
          </cell>
          <cell r="AP51" t="str">
            <v>SKB 서버 운영</v>
          </cell>
          <cell r="AQ51" t="str">
            <v>Linux 서버 운영</v>
          </cell>
          <cell r="AS51" t="str">
            <v>에스케이브로드밴드(주) / SKB 26년 IT장비 및 소프트웨어 유지보수_1분기(4500302989-01)</v>
          </cell>
          <cell r="AT51" t="str">
            <v>통상</v>
          </cell>
          <cell r="AU51" t="str">
            <v>정직원</v>
          </cell>
          <cell r="AV51" t="str">
            <v>씨앤토트플러스㈜</v>
          </cell>
          <cell r="AW51">
            <v>7144000</v>
          </cell>
          <cell r="AX51">
            <v>7144000</v>
          </cell>
          <cell r="AY51">
            <v>12</v>
          </cell>
          <cell r="AZ51">
            <v>85728000</v>
          </cell>
          <cell r="BA51"/>
          <cell r="BB51"/>
          <cell r="BC51">
            <v>45839</v>
          </cell>
          <cell r="BD51">
            <v>63600000</v>
          </cell>
          <cell r="BE51">
            <v>64200000</v>
          </cell>
          <cell r="BF51">
            <v>64200000</v>
          </cell>
          <cell r="BG51">
            <v>5350000</v>
          </cell>
          <cell r="BH51">
            <v>4630000</v>
          </cell>
          <cell r="BI51">
            <v>23110.05</v>
          </cell>
          <cell r="BJ51">
            <v>209</v>
          </cell>
          <cell r="BK51">
            <v>15</v>
          </cell>
          <cell r="BL51">
            <v>0</v>
          </cell>
          <cell r="BM51">
            <v>520000</v>
          </cell>
          <cell r="BN51">
            <v>0</v>
          </cell>
          <cell r="BO51">
            <v>200000</v>
          </cell>
          <cell r="BP51">
            <v>0</v>
          </cell>
          <cell r="BQ51" t="str">
            <v>적합</v>
          </cell>
          <cell r="BR51"/>
          <cell r="BS51">
            <v>924402</v>
          </cell>
          <cell r="BT51">
            <v>5427033.5</v>
          </cell>
          <cell r="BU51">
            <v>2935500</v>
          </cell>
          <cell r="BV51">
            <v>2517138.7199999997</v>
          </cell>
          <cell r="BW51">
            <v>957900</v>
          </cell>
          <cell r="BX51">
            <v>407880</v>
          </cell>
          <cell r="BY51">
            <v>6687500</v>
          </cell>
          <cell r="BZ51">
            <v>70551435.5</v>
          </cell>
          <cell r="CA51">
            <v>6818418.7199999997</v>
          </cell>
          <cell r="CB51">
            <v>80250000</v>
          </cell>
          <cell r="CC51">
            <v>5478000</v>
          </cell>
          <cell r="CD51">
            <v>6.3899776035834268</v>
          </cell>
        </row>
        <row r="52">
          <cell r="F52" t="str">
            <v>오장환</v>
          </cell>
          <cell r="G52" t="str">
            <v>부장</v>
          </cell>
          <cell r="H52" t="str">
            <v>중급하</v>
          </cell>
          <cell r="I52" t="str">
            <v>중급기술자</v>
          </cell>
          <cell r="J52" t="str">
            <v>하도급(FTE)</v>
          </cell>
          <cell r="K52" t="str">
            <v>서버엔지니어</v>
          </cell>
          <cell r="L52"/>
          <cell r="M52" t="str">
            <v>02-829-2421</v>
          </cell>
          <cell r="N52" t="str">
            <v>010-2005-1640</v>
          </cell>
          <cell r="O52" t="str">
            <v>ojhdunk@cnthoth.com</v>
          </cell>
          <cell r="P52" t="str">
            <v>770518-1</v>
          </cell>
          <cell r="Q52">
            <v>37316</v>
          </cell>
          <cell r="R52">
            <v>40634</v>
          </cell>
          <cell r="S52">
            <v>41640</v>
          </cell>
          <cell r="T52" t="str">
            <v>청강문화산업대학</v>
          </cell>
          <cell r="U52"/>
          <cell r="V52" t="str">
            <v>전문대졸</v>
          </cell>
          <cell r="W52"/>
          <cell r="X52"/>
          <cell r="Y52"/>
          <cell r="Z52">
            <v>8837</v>
          </cell>
          <cell r="AA52">
            <v>5519</v>
          </cell>
          <cell r="AB52"/>
          <cell r="AC52"/>
          <cell r="AD52" t="str">
            <v>SKT 7F_보라매</v>
          </cell>
          <cell r="AE52" t="str">
            <v>서울특별시</v>
          </cell>
          <cell r="AF52" t="str">
            <v>1. Infra 운영</v>
          </cell>
          <cell r="AG52" t="str">
            <v>1. Infra 운영</v>
          </cell>
          <cell r="AH52" t="str">
            <v>SK AX</v>
          </cell>
          <cell r="AI52" t="str">
            <v>SKT(보라매)</v>
          </cell>
          <cell r="AJ52" t="str">
            <v>조원석</v>
          </cell>
          <cell r="AK52" t="str">
            <v>08708</v>
          </cell>
          <cell r="AL52" t="str">
            <v>서울시 관악구 보라매로5길 1  SK텔레콤빌딩 7F (봉천동)</v>
          </cell>
          <cell r="AM52" t="str">
            <v>10356</v>
          </cell>
          <cell r="AN52" t="str">
            <v>경기도 고양시 일산서구 경의로 605, 1210동 1404호 (일산동, 후곡마을12단지)</v>
          </cell>
          <cell r="AO52" t="str">
            <v>T Biz. Cloud팀</v>
          </cell>
          <cell r="AP52" t="str">
            <v>SKT 서버 운영</v>
          </cell>
          <cell r="AQ52" t="str">
            <v>Unix 서버 운영</v>
          </cell>
          <cell r="AR52" t="str">
            <v>/ Linux 서버 운영</v>
          </cell>
          <cell r="AS52" t="str">
            <v>고객사 공통 / 2026년_인프라운영_HC12_1분기(4500303380-01)</v>
          </cell>
          <cell r="AT52" t="str">
            <v>통상</v>
          </cell>
          <cell r="AU52" t="str">
            <v>정직원</v>
          </cell>
          <cell r="AV52" t="str">
            <v>씨앤토트플러스㈜</v>
          </cell>
          <cell r="AW52">
            <v>4928000</v>
          </cell>
          <cell r="AX52">
            <v>4928000</v>
          </cell>
          <cell r="AY52">
            <v>12</v>
          </cell>
          <cell r="AZ52">
            <v>59136000</v>
          </cell>
          <cell r="BA52"/>
          <cell r="BB52"/>
          <cell r="BC52">
            <v>45839</v>
          </cell>
          <cell r="BD52">
            <v>40308000</v>
          </cell>
          <cell r="BE52">
            <v>41232000</v>
          </cell>
          <cell r="BF52">
            <v>41232000</v>
          </cell>
          <cell r="BG52">
            <v>3436000</v>
          </cell>
          <cell r="BH52">
            <v>2902000</v>
          </cell>
          <cell r="BI52">
            <v>14842.11</v>
          </cell>
          <cell r="BJ52">
            <v>209</v>
          </cell>
          <cell r="BK52">
            <v>15</v>
          </cell>
          <cell r="BL52">
            <v>0</v>
          </cell>
          <cell r="BM52">
            <v>334000</v>
          </cell>
          <cell r="BN52">
            <v>0</v>
          </cell>
          <cell r="BO52">
            <v>200000</v>
          </cell>
          <cell r="BP52">
            <v>0</v>
          </cell>
          <cell r="BQ52" t="str">
            <v>적합</v>
          </cell>
          <cell r="BR52"/>
          <cell r="BS52">
            <v>593684.4</v>
          </cell>
          <cell r="BT52">
            <v>3485473.7</v>
          </cell>
          <cell r="BU52">
            <v>1844520</v>
          </cell>
          <cell r="BV52">
            <v>1581642.8928</v>
          </cell>
          <cell r="BW52">
            <v>601896</v>
          </cell>
          <cell r="BX52">
            <v>256291.20000000001</v>
          </cell>
          <cell r="BY52">
            <v>4295000</v>
          </cell>
          <cell r="BZ52">
            <v>45311158.100000001</v>
          </cell>
          <cell r="CA52">
            <v>4284350.0927999998</v>
          </cell>
          <cell r="CB52">
            <v>51540000</v>
          </cell>
          <cell r="CC52">
            <v>7596000</v>
          </cell>
          <cell r="CD52">
            <v>12.844967532467532</v>
          </cell>
        </row>
        <row r="53">
          <cell r="F53" t="str">
            <v>황효성</v>
          </cell>
          <cell r="G53" t="str">
            <v>차장</v>
          </cell>
          <cell r="H53" t="str">
            <v>중급상</v>
          </cell>
          <cell r="I53" t="str">
            <v>중급기술자</v>
          </cell>
          <cell r="J53" t="str">
            <v>하도급(FTE)</v>
          </cell>
          <cell r="K53" t="str">
            <v>서버엔지니어</v>
          </cell>
          <cell r="L53" t="str">
            <v>송대희 후임</v>
          </cell>
          <cell r="M53" t="str">
            <v>031-250-7884</v>
          </cell>
          <cell r="N53" t="str">
            <v>010-6225-8586</v>
          </cell>
          <cell r="O53" t="str">
            <v>hsokbary@cnthoth.com</v>
          </cell>
          <cell r="P53" t="str">
            <v>790125-1</v>
          </cell>
          <cell r="Q53">
            <v>37316</v>
          </cell>
          <cell r="R53">
            <v>41050</v>
          </cell>
          <cell r="S53">
            <v>41640</v>
          </cell>
          <cell r="T53" t="str">
            <v>장안대학</v>
          </cell>
          <cell r="U53"/>
          <cell r="V53" t="str">
            <v>전문대졸</v>
          </cell>
          <cell r="W53" t="str">
            <v>CSA</v>
          </cell>
          <cell r="X53" t="str">
            <v>MCITP</v>
          </cell>
          <cell r="Y53" t="str">
            <v>OCP</v>
          </cell>
          <cell r="Z53">
            <v>8837</v>
          </cell>
          <cell r="AA53">
            <v>5103</v>
          </cell>
          <cell r="AB53"/>
          <cell r="AC53"/>
          <cell r="AD53" t="str">
            <v>SKC수원공장_수원</v>
          </cell>
          <cell r="AE53" t="str">
            <v>경기도</v>
          </cell>
          <cell r="AF53" t="str">
            <v>1. Infra 운영</v>
          </cell>
          <cell r="AG53" t="str">
            <v>1. Infra 운영</v>
          </cell>
          <cell r="AH53" t="str">
            <v>SK AX</v>
          </cell>
          <cell r="AI53" t="str">
            <v>SKC(수원)</v>
          </cell>
          <cell r="AJ53" t="str">
            <v>개인</v>
          </cell>
          <cell r="AK53">
            <v>16336</v>
          </cell>
          <cell r="AL53" t="str">
            <v>경기도 수원시 장안구 장안로 309번길 84 SKC수원공장 SKCC_IT지원팀</v>
          </cell>
          <cell r="AM53" t="str">
            <v>14081</v>
          </cell>
          <cell r="AN53" t="str">
            <v>경기도 안양시 동안구 귀인로80번길 5, 101동 102호 (호계동, 금호아파트)</v>
          </cell>
          <cell r="AO53" t="str">
            <v>제조/환경Cloud팀 </v>
          </cell>
          <cell r="AP53" t="str">
            <v>SKC 서버 운영</v>
          </cell>
          <cell r="AQ53" t="str">
            <v>Unix 서버 운영</v>
          </cell>
          <cell r="AR53" t="str">
            <v>/ Linux 서버 운영</v>
          </cell>
          <cell r="AS53" t="str">
            <v>고객사 공통 / 2026년_인프라운영_HC22_01_1분기 (4500303129-01)</v>
          </cell>
          <cell r="AT53" t="str">
            <v>통상</v>
          </cell>
          <cell r="AU53" t="str">
            <v>정직원</v>
          </cell>
          <cell r="AV53" t="str">
            <v>씨앤토트플러스㈜</v>
          </cell>
          <cell r="AW53">
            <v>5816000</v>
          </cell>
          <cell r="AX53">
            <v>5816000</v>
          </cell>
          <cell r="AY53">
            <v>12</v>
          </cell>
          <cell r="AZ53">
            <v>69792000</v>
          </cell>
          <cell r="BA53"/>
          <cell r="BB53"/>
          <cell r="BC53">
            <v>45839</v>
          </cell>
          <cell r="BD53">
            <v>48408000</v>
          </cell>
          <cell r="BE53">
            <v>49512000</v>
          </cell>
          <cell r="BF53">
            <v>49512000</v>
          </cell>
          <cell r="BG53">
            <v>4126000</v>
          </cell>
          <cell r="BH53">
            <v>3524900</v>
          </cell>
          <cell r="BI53">
            <v>17822.490000000002</v>
          </cell>
          <cell r="BJ53">
            <v>209</v>
          </cell>
          <cell r="BK53">
            <v>15</v>
          </cell>
          <cell r="BL53">
            <v>0</v>
          </cell>
          <cell r="BM53">
            <v>401100</v>
          </cell>
          <cell r="BN53">
            <v>0</v>
          </cell>
          <cell r="BO53">
            <v>200000</v>
          </cell>
          <cell r="BP53">
            <v>0</v>
          </cell>
          <cell r="BQ53" t="str">
            <v>적합</v>
          </cell>
          <cell r="BR53"/>
          <cell r="BS53">
            <v>712899.60000000009</v>
          </cell>
          <cell r="BT53">
            <v>4185408.3</v>
          </cell>
          <cell r="BU53">
            <v>2237820</v>
          </cell>
          <cell r="BV53">
            <v>1918890.6047999996</v>
          </cell>
          <cell r="BW53">
            <v>730236</v>
          </cell>
          <cell r="BX53">
            <v>310939.2</v>
          </cell>
          <cell r="BY53">
            <v>5157500</v>
          </cell>
          <cell r="BZ53">
            <v>54410307.899999999</v>
          </cell>
          <cell r="CA53">
            <v>5197885.8048</v>
          </cell>
          <cell r="CB53">
            <v>61890000</v>
          </cell>
          <cell r="CC53">
            <v>7902000</v>
          </cell>
          <cell r="CD53">
            <v>11.322214580467675</v>
          </cell>
        </row>
        <row r="54">
          <cell r="F54" t="str">
            <v>김준희</v>
          </cell>
          <cell r="G54" t="str">
            <v>차장</v>
          </cell>
          <cell r="H54" t="str">
            <v>초급하</v>
          </cell>
          <cell r="I54" t="str">
            <v>초급기술자</v>
          </cell>
          <cell r="J54" t="str">
            <v>하도급(M/M)</v>
          </cell>
          <cell r="K54" t="str">
            <v>네트워크엔지니어</v>
          </cell>
          <cell r="L54"/>
          <cell r="M54" t="str">
            <v>053-240-2011</v>
          </cell>
          <cell r="N54" t="str">
            <v>010-2654-2443</v>
          </cell>
          <cell r="O54" t="str">
            <v>lazymdp@cnthoth.com</v>
          </cell>
          <cell r="P54" t="str">
            <v>831217-1</v>
          </cell>
          <cell r="Q54">
            <v>40087</v>
          </cell>
          <cell r="R54">
            <v>41091</v>
          </cell>
          <cell r="S54">
            <v>41640</v>
          </cell>
          <cell r="T54" t="str">
            <v>대구효성카톨릭대학교</v>
          </cell>
          <cell r="U54"/>
          <cell r="V54" t="str">
            <v>대졸</v>
          </cell>
          <cell r="W54" t="str">
            <v>CCNP</v>
          </cell>
          <cell r="X54" t="str">
            <v>정보처리기사</v>
          </cell>
          <cell r="Y54"/>
          <cell r="Z54">
            <v>6066</v>
          </cell>
          <cell r="AA54">
            <v>5062</v>
          </cell>
          <cell r="AB54"/>
          <cell r="AC54"/>
          <cell r="AD54" t="str">
            <v>SKB 3F_대구</v>
          </cell>
          <cell r="AE54" t="str">
            <v>경기도외</v>
          </cell>
          <cell r="AF54" t="str">
            <v>4. SKB/SK하이닉스 Infra 운영</v>
          </cell>
          <cell r="AG54" t="str">
            <v>4. SKB/SK하이닉스 Infra 운영</v>
          </cell>
          <cell r="AH54" t="str">
            <v>SK AX</v>
          </cell>
          <cell r="AI54" t="str">
            <v>SKB(대구)</v>
          </cell>
          <cell r="AJ54" t="str">
            <v>박규성</v>
          </cell>
          <cell r="AK54">
            <v>41940</v>
          </cell>
          <cell r="AL54" t="str">
            <v>대구광역시 중구 달구벌대로2171 SK브로드밴드 3층</v>
          </cell>
          <cell r="AM54" t="str">
            <v>38540</v>
          </cell>
          <cell r="AN54" t="str">
            <v>경상북도 경산시 압량읍 압독로 38-10, 103동 2001호 (e-편한세상 경산신대아파트)</v>
          </cell>
          <cell r="AO54" t="str">
            <v>ICT Cloud팀</v>
          </cell>
          <cell r="AP54" t="str">
            <v>SKB N/W 운영</v>
          </cell>
          <cell r="AQ54" t="str">
            <v>경북 지역 N/W 운영</v>
          </cell>
          <cell r="AR54"/>
          <cell r="AS54" t="str">
            <v>에스케이브로드밴드(주) / SKB 26년 IT장비 및 소프트웨어 유지보수_1분기(4500302989-01)</v>
          </cell>
          <cell r="AT54" t="str">
            <v>통상</v>
          </cell>
          <cell r="AU54" t="str">
            <v>정직원</v>
          </cell>
          <cell r="AV54" t="str">
            <v>씨앤토트플러스㈜</v>
          </cell>
          <cell r="AW54">
            <v>3992000</v>
          </cell>
          <cell r="AX54">
            <v>3992000</v>
          </cell>
          <cell r="AY54">
            <v>12</v>
          </cell>
          <cell r="AZ54">
            <v>47904000</v>
          </cell>
          <cell r="BA54"/>
          <cell r="BB54"/>
          <cell r="BC54">
            <v>45839</v>
          </cell>
          <cell r="BD54">
            <v>36084000</v>
          </cell>
          <cell r="BE54">
            <v>36840000</v>
          </cell>
          <cell r="BF54">
            <v>36840000</v>
          </cell>
          <cell r="BG54">
            <v>3070000</v>
          </cell>
          <cell r="BH54">
            <v>2571600</v>
          </cell>
          <cell r="BI54">
            <v>13261.24</v>
          </cell>
          <cell r="BJ54">
            <v>209</v>
          </cell>
          <cell r="BK54">
            <v>15</v>
          </cell>
          <cell r="BL54">
            <v>0</v>
          </cell>
          <cell r="BM54">
            <v>298400</v>
          </cell>
          <cell r="BN54">
            <v>0</v>
          </cell>
          <cell r="BO54">
            <v>200000</v>
          </cell>
          <cell r="BP54">
            <v>0</v>
          </cell>
          <cell r="BQ54" t="str">
            <v>적합</v>
          </cell>
          <cell r="BR54"/>
          <cell r="BS54">
            <v>530449.6</v>
          </cell>
          <cell r="BT54">
            <v>3114204.1333333333</v>
          </cell>
          <cell r="BU54">
            <v>1635900</v>
          </cell>
          <cell r="BV54">
            <v>1402754.976</v>
          </cell>
          <cell r="BW54">
            <v>533820</v>
          </cell>
          <cell r="BX54">
            <v>227304</v>
          </cell>
          <cell r="BY54">
            <v>3837500</v>
          </cell>
          <cell r="BZ54">
            <v>40484653.733333334</v>
          </cell>
          <cell r="CA54">
            <v>3799778.9759999998</v>
          </cell>
          <cell r="CB54">
            <v>46050000</v>
          </cell>
          <cell r="CC54">
            <v>1854000</v>
          </cell>
          <cell r="CD54">
            <v>3.8702404809619235</v>
          </cell>
        </row>
        <row r="55">
          <cell r="F55" t="str">
            <v>박성호</v>
          </cell>
          <cell r="G55" t="str">
            <v>차장</v>
          </cell>
          <cell r="H55" t="str">
            <v>초급하</v>
          </cell>
          <cell r="I55" t="str">
            <v>초급기술자</v>
          </cell>
          <cell r="J55" t="str">
            <v>하도급(M/M)</v>
          </cell>
          <cell r="K55" t="str">
            <v>NOC 엔지니어</v>
          </cell>
          <cell r="L55"/>
          <cell r="M55" t="str">
            <v>02-6266-3994</v>
          </cell>
          <cell r="N55" t="str">
            <v>010-2983-7410</v>
          </cell>
          <cell r="O55" t="str">
            <v>poxy28@cnthoth.com</v>
          </cell>
          <cell r="P55" t="str">
            <v>741026-1</v>
          </cell>
          <cell r="Q55">
            <v>37347</v>
          </cell>
          <cell r="R55">
            <v>41275</v>
          </cell>
          <cell r="S55">
            <v>41640</v>
          </cell>
          <cell r="T55" t="str">
            <v>명지전문대</v>
          </cell>
          <cell r="U55" t="str">
            <v>정보통신</v>
          </cell>
          <cell r="V55" t="str">
            <v>전문대졸</v>
          </cell>
          <cell r="W55" t="str">
            <v>정보처리기사</v>
          </cell>
          <cell r="Z55">
            <v>8806</v>
          </cell>
          <cell r="AA55">
            <v>4878</v>
          </cell>
          <cell r="AB55"/>
          <cell r="AC55"/>
          <cell r="AD55" t="str">
            <v>SKB동작국사</v>
          </cell>
          <cell r="AE55" t="str">
            <v>서울특별시</v>
          </cell>
          <cell r="AF55" t="str">
            <v>4. SKB/SK하이닉스 Infra 운영</v>
          </cell>
          <cell r="AG55" t="str">
            <v>4. SKB/SK하이닉스 Infra 운영</v>
          </cell>
          <cell r="AH55" t="str">
            <v>SK AX</v>
          </cell>
          <cell r="AI55" t="str">
            <v>SKB(동작)</v>
          </cell>
          <cell r="AJ55" t="str">
            <v>박규성</v>
          </cell>
          <cell r="AK55" t="str">
            <v>07063</v>
          </cell>
          <cell r="AL55" t="str">
            <v>서울시 동작구 여의대방로 74 (신대방동) SK브로드밴드 7층</v>
          </cell>
          <cell r="AM55" t="str">
            <v>12123</v>
          </cell>
          <cell r="AN55" t="str">
            <v>경기도 남양주시 퇴계원읍 도제원로 19, 101동 201호 (퇴계원읍, 강남아파트)</v>
          </cell>
          <cell r="AO55" t="str">
            <v>ICT Cloud팀</v>
          </cell>
          <cell r="AP55" t="str">
            <v>SKB N/W 운영</v>
          </cell>
          <cell r="AQ55" t="str">
            <v>N/W 관제, 장애 전파 및 처리, 상황실 NMS 등록/관리</v>
          </cell>
          <cell r="AS55" t="str">
            <v>에스케이브로드밴드(주) / SKB 26년 IT장비 및 소프트웨어 유지보수_1분기(4500302989-01)</v>
          </cell>
          <cell r="AT55" t="str">
            <v>스케줄</v>
          </cell>
          <cell r="AU55" t="str">
            <v>정직원</v>
          </cell>
          <cell r="AV55" t="str">
            <v>씨앤토트플러스㈜</v>
          </cell>
          <cell r="AW55">
            <v>3992000</v>
          </cell>
          <cell r="AX55">
            <v>3992000</v>
          </cell>
          <cell r="AY55">
            <v>12</v>
          </cell>
          <cell r="AZ55">
            <v>47904000</v>
          </cell>
          <cell r="BC55">
            <v>45839</v>
          </cell>
          <cell r="BD55">
            <v>33589560</v>
          </cell>
          <cell r="BE55">
            <v>34357200</v>
          </cell>
          <cell r="BF55">
            <v>34357200</v>
          </cell>
          <cell r="BG55">
            <v>2863100</v>
          </cell>
          <cell r="BH55">
            <v>2220200</v>
          </cell>
          <cell r="BI55">
            <v>12898.79</v>
          </cell>
          <cell r="BJ55">
            <v>187.63</v>
          </cell>
          <cell r="BK55">
            <v>29.11</v>
          </cell>
          <cell r="BL55">
            <v>39.54</v>
          </cell>
          <cell r="BM55">
            <v>187800</v>
          </cell>
          <cell r="BN55">
            <v>255100</v>
          </cell>
          <cell r="BO55">
            <v>200000</v>
          </cell>
          <cell r="BP55">
            <v>2606812</v>
          </cell>
          <cell r="BQ55" t="str">
            <v>적합</v>
          </cell>
          <cell r="BR55"/>
          <cell r="BS55">
            <v>1289879</v>
          </cell>
          <cell r="BT55">
            <v>2970589.9166666665</v>
          </cell>
          <cell r="BU55">
            <v>1517967</v>
          </cell>
          <cell r="BV55">
            <v>1301629.5388799999</v>
          </cell>
          <cell r="BW55">
            <v>495336.6</v>
          </cell>
          <cell r="BX55">
            <v>210917.52</v>
          </cell>
          <cell r="BY55">
            <v>3578875</v>
          </cell>
          <cell r="BZ55">
            <v>38617668.916666664</v>
          </cell>
          <cell r="CA55">
            <v>3525850.65888</v>
          </cell>
          <cell r="CB55">
            <v>42946500</v>
          </cell>
          <cell r="CC55">
            <v>1803257.48</v>
          </cell>
          <cell r="CD55">
            <v>3.7643150467601867</v>
          </cell>
        </row>
        <row r="56">
          <cell r="F56" t="str">
            <v>김계운</v>
          </cell>
          <cell r="G56" t="str">
            <v>부장</v>
          </cell>
          <cell r="H56" t="str">
            <v>중급하</v>
          </cell>
          <cell r="I56" t="str">
            <v>중급기술자</v>
          </cell>
          <cell r="J56" t="str">
            <v>하도급(M/M)</v>
          </cell>
          <cell r="K56" t="str">
            <v>네트워크보안엔지니어</v>
          </cell>
          <cell r="L56"/>
          <cell r="M56" t="str">
            <v>02-6266-3994</v>
          </cell>
          <cell r="N56" t="str">
            <v>010-2748-4773</v>
          </cell>
          <cell r="O56" t="str">
            <v>metalkkw@cnthoth.com</v>
          </cell>
          <cell r="P56" t="str">
            <v>730515-1</v>
          </cell>
          <cell r="Q56">
            <v>37653</v>
          </cell>
          <cell r="R56">
            <v>41275</v>
          </cell>
          <cell r="S56">
            <v>41640</v>
          </cell>
          <cell r="T56" t="str">
            <v>경기한경대</v>
          </cell>
          <cell r="U56" t="str">
            <v>환경공학</v>
          </cell>
          <cell r="V56" t="str">
            <v>대졸</v>
          </cell>
          <cell r="W56" t="str">
            <v>CCNA</v>
          </cell>
          <cell r="X56" t="str">
            <v>정보처리기사</v>
          </cell>
          <cell r="Z56">
            <v>8500</v>
          </cell>
          <cell r="AA56">
            <v>4878</v>
          </cell>
          <cell r="AB56"/>
          <cell r="AC56"/>
          <cell r="AD56" t="str">
            <v>SKB 7층_동작</v>
          </cell>
          <cell r="AE56" t="str">
            <v>서울특별시</v>
          </cell>
          <cell r="AF56" t="str">
            <v>4. SKB/SK하이닉스 Infra 운영</v>
          </cell>
          <cell r="AG56" t="str">
            <v>4. SKB/SK하이닉스 Infra 운영</v>
          </cell>
          <cell r="AH56" t="str">
            <v>SK AX</v>
          </cell>
          <cell r="AI56" t="str">
            <v>SKB(동작)</v>
          </cell>
          <cell r="AJ56" t="str">
            <v>박규성</v>
          </cell>
          <cell r="AK56" t="str">
            <v>07063</v>
          </cell>
          <cell r="AL56" t="str">
            <v>서울시 동작구 여의대방로 74 (신대방동) SK브로드밴드 7층</v>
          </cell>
          <cell r="AM56" t="str">
            <v>05259</v>
          </cell>
          <cell r="AN56" t="str">
            <v>서울특별시 강동구 구천면로 55길 38, B02호 (암사동)</v>
          </cell>
          <cell r="AO56" t="str">
            <v>ICT Cloud팀</v>
          </cell>
          <cell r="AP56" t="str">
            <v>SKB N/W 운영</v>
          </cell>
          <cell r="AQ56" t="str">
            <v>방화벽 운영</v>
          </cell>
          <cell r="AS56" t="str">
            <v>에스케이브로드밴드(주) / SKB 26년 IT장비 및 소프트웨어 유지보수_1분기(4500302989-01)</v>
          </cell>
          <cell r="AT56" t="str">
            <v>통상</v>
          </cell>
          <cell r="AU56" t="str">
            <v>정직원</v>
          </cell>
          <cell r="AV56" t="str">
            <v>씨앤토트플러스㈜</v>
          </cell>
          <cell r="AW56">
            <v>4556000</v>
          </cell>
          <cell r="AX56">
            <v>4556000</v>
          </cell>
          <cell r="AY56">
            <v>12</v>
          </cell>
          <cell r="AZ56">
            <v>54672000</v>
          </cell>
          <cell r="BC56">
            <v>45839</v>
          </cell>
          <cell r="BD56">
            <v>38004000</v>
          </cell>
          <cell r="BE56">
            <v>38862000</v>
          </cell>
          <cell r="BF56">
            <v>38862000</v>
          </cell>
          <cell r="BG56">
            <v>3238500</v>
          </cell>
          <cell r="BH56">
            <v>2723700</v>
          </cell>
          <cell r="BI56">
            <v>13989</v>
          </cell>
          <cell r="BJ56">
            <v>209</v>
          </cell>
          <cell r="BK56">
            <v>15</v>
          </cell>
          <cell r="BL56">
            <v>0</v>
          </cell>
          <cell r="BM56">
            <v>314800</v>
          </cell>
          <cell r="BN56">
            <v>0</v>
          </cell>
          <cell r="BO56">
            <v>200000</v>
          </cell>
          <cell r="BP56">
            <v>0</v>
          </cell>
          <cell r="BQ56" t="str">
            <v>적합</v>
          </cell>
          <cell r="BR56"/>
          <cell r="BS56">
            <v>559560</v>
          </cell>
          <cell r="BT56">
            <v>3285130</v>
          </cell>
          <cell r="BU56">
            <v>1731945</v>
          </cell>
          <cell r="BV56">
            <v>1485111.8448000001</v>
          </cell>
          <cell r="BW56">
            <v>565161</v>
          </cell>
          <cell r="BX56">
            <v>240649.2</v>
          </cell>
          <cell r="BY56">
            <v>4048125</v>
          </cell>
          <cell r="BZ56">
            <v>42706690</v>
          </cell>
          <cell r="CA56">
            <v>4022867.0448000003</v>
          </cell>
          <cell r="CB56">
            <v>48577500</v>
          </cell>
          <cell r="CC56">
            <v>6094500</v>
          </cell>
          <cell r="CD56">
            <v>11.147388059701493</v>
          </cell>
        </row>
        <row r="57">
          <cell r="F57" t="str">
            <v>김정호</v>
          </cell>
          <cell r="G57" t="str">
            <v>과장</v>
          </cell>
          <cell r="H57" t="str">
            <v>중급하</v>
          </cell>
          <cell r="I57" t="str">
            <v>중급기술자</v>
          </cell>
          <cell r="J57" t="str">
            <v>하도급(M/M)</v>
          </cell>
          <cell r="K57" t="str">
            <v>네트워크엔지니어</v>
          </cell>
          <cell r="L57"/>
          <cell r="M57" t="str">
            <v>02-6400-6072</v>
          </cell>
          <cell r="N57" t="str">
            <v>010-7124-2579</v>
          </cell>
          <cell r="O57" t="str">
            <v>windboy6819@cnthoth.com</v>
          </cell>
          <cell r="P57" t="str">
            <v>870214-1</v>
          </cell>
          <cell r="Q57">
            <v>40422</v>
          </cell>
          <cell r="R57">
            <v>40634</v>
          </cell>
          <cell r="S57">
            <v>41640</v>
          </cell>
          <cell r="T57" t="str">
            <v>서일대학</v>
          </cell>
          <cell r="U57"/>
          <cell r="V57" t="str">
            <v>전문대졸</v>
          </cell>
          <cell r="W57"/>
          <cell r="X57"/>
          <cell r="Y57"/>
          <cell r="Z57">
            <v>5731</v>
          </cell>
          <cell r="AA57">
            <v>5519</v>
          </cell>
          <cell r="AB57"/>
          <cell r="AC57"/>
          <cell r="AD57" t="str">
            <v>SK㈜ U타워_정자</v>
          </cell>
          <cell r="AE57" t="str">
            <v>경기도</v>
          </cell>
          <cell r="AF57" t="str">
            <v>2. Network Service</v>
          </cell>
          <cell r="AG57" t="str">
            <v>2. Network Service</v>
          </cell>
          <cell r="AH57" t="str">
            <v>SK AX</v>
          </cell>
          <cell r="AI57" t="str">
            <v>SK그룹사(공통)</v>
          </cell>
          <cell r="AJ57" t="str">
            <v>최재유</v>
          </cell>
          <cell r="AK57">
            <v>13558</v>
          </cell>
          <cell r="AL57" t="str">
            <v>경기도 성남시 분당구 성남대로 343번길 9 SK U타워 3층 통신실</v>
          </cell>
          <cell r="AM57" t="str">
            <v>03361</v>
          </cell>
          <cell r="AN57" t="str">
            <v>서울특별시 은평구 진흥로19길 26-1, 301호 (불광동, 불광주택)</v>
          </cell>
          <cell r="AO57" t="str">
            <v>Network Service팀</v>
          </cell>
          <cell r="AP57" t="str">
            <v>SKC&amp;C, 그룹포탈 고객지원</v>
          </cell>
          <cell r="AQ57" t="str">
            <v>N/W 구축 및 유지보수</v>
          </cell>
          <cell r="AS57" t="str">
            <v>고객사 공통 / 26년 SKAX Network 운영_1분기(4500302319-01)</v>
          </cell>
          <cell r="AT57" t="str">
            <v>통상</v>
          </cell>
          <cell r="AU57" t="str">
            <v>정직원</v>
          </cell>
          <cell r="AV57" t="str">
            <v>씨앤토트플러스㈜</v>
          </cell>
          <cell r="AW57">
            <v>5359000</v>
          </cell>
          <cell r="AX57">
            <v>5359000</v>
          </cell>
          <cell r="AY57">
            <v>12</v>
          </cell>
          <cell r="AZ57">
            <v>64308000</v>
          </cell>
          <cell r="BA57"/>
          <cell r="BB57"/>
          <cell r="BC57">
            <v>45839</v>
          </cell>
          <cell r="BD57">
            <v>42600000.000000007</v>
          </cell>
          <cell r="BE57">
            <v>43608000</v>
          </cell>
          <cell r="BF57">
            <v>43608000</v>
          </cell>
          <cell r="BG57">
            <v>3634000</v>
          </cell>
          <cell r="BH57">
            <v>3080800</v>
          </cell>
          <cell r="BI57">
            <v>15697.61</v>
          </cell>
          <cell r="BJ57">
            <v>209</v>
          </cell>
          <cell r="BK57">
            <v>15</v>
          </cell>
          <cell r="BL57">
            <v>0</v>
          </cell>
          <cell r="BM57">
            <v>353200</v>
          </cell>
          <cell r="BN57">
            <v>0</v>
          </cell>
          <cell r="BO57">
            <v>200000</v>
          </cell>
          <cell r="BP57">
            <v>0</v>
          </cell>
          <cell r="BQ57" t="str">
            <v>적합</v>
          </cell>
          <cell r="BR57"/>
          <cell r="BS57">
            <v>627904.4</v>
          </cell>
          <cell r="BT57">
            <v>3686325.3666666667</v>
          </cell>
          <cell r="BU57">
            <v>1957380</v>
          </cell>
          <cell r="BV57">
            <v>1678418.3232</v>
          </cell>
          <cell r="BW57">
            <v>638724</v>
          </cell>
          <cell r="BX57">
            <v>271972.8</v>
          </cell>
          <cell r="BY57">
            <v>4542500</v>
          </cell>
          <cell r="BZ57">
            <v>47922229.766666666</v>
          </cell>
          <cell r="CA57">
            <v>4546495.1232000003</v>
          </cell>
          <cell r="CB57">
            <v>54510000</v>
          </cell>
          <cell r="CC57">
            <v>9798000</v>
          </cell>
          <cell r="CD57">
            <v>15.236051502145923</v>
          </cell>
        </row>
        <row r="58">
          <cell r="F58" t="str">
            <v>유성</v>
          </cell>
          <cell r="G58" t="str">
            <v>과장</v>
          </cell>
          <cell r="H58" t="str">
            <v>초급상</v>
          </cell>
          <cell r="I58" t="str">
            <v>초급기술자</v>
          </cell>
          <cell r="J58" t="str">
            <v>하도급(M/M)</v>
          </cell>
          <cell r="K58" t="str">
            <v>IT 인프라 현장대응 엔지니어</v>
          </cell>
          <cell r="L58"/>
          <cell r="M58" t="str">
            <v xml:space="preserve">031-630-3384 </v>
          </cell>
          <cell r="N58" t="str">
            <v>010-8804-1528</v>
          </cell>
          <cell r="O58" t="str">
            <v>ryu00304@cnthoth.com</v>
          </cell>
          <cell r="P58" t="str">
            <v>870304-1</v>
          </cell>
          <cell r="Q58">
            <v>41122</v>
          </cell>
          <cell r="R58">
            <v>41218</v>
          </cell>
          <cell r="S58">
            <v>41640</v>
          </cell>
          <cell r="T58" t="str">
            <v>경기과학기술대학</v>
          </cell>
          <cell r="V58" t="str">
            <v>전문대졸</v>
          </cell>
          <cell r="Z58">
            <v>5031</v>
          </cell>
          <cell r="AA58">
            <v>4935</v>
          </cell>
          <cell r="AB58"/>
          <cell r="AC58"/>
          <cell r="AD58" t="str">
            <v>이천HN_대응</v>
          </cell>
          <cell r="AE58" t="str">
            <v>경기도</v>
          </cell>
          <cell r="AF58" t="str">
            <v>4. SKB/SK하이닉스 Infra 운영</v>
          </cell>
          <cell r="AG58" t="str">
            <v>4. SKB/SK하이닉스 Infra 운영</v>
          </cell>
          <cell r="AH58" t="str">
            <v>SK AX</v>
          </cell>
          <cell r="AI58" t="str">
            <v>SK하이닉스(이천)</v>
          </cell>
          <cell r="AJ58" t="str">
            <v>임봉영</v>
          </cell>
          <cell r="AK58" t="str">
            <v>17336</v>
          </cell>
          <cell r="AL58" t="str">
            <v xml:space="preserve">경기도 이천시 부발읍 경충대로 2091, SK하이닉스 기술지원센터 2층 SKHDC2 </v>
          </cell>
          <cell r="AM58" t="str">
            <v>17333</v>
          </cell>
          <cell r="AN58" t="str">
            <v>경기도 이천시 부발읍 경충대로2050번길 103-30, 1동 501호 (부발읍)</v>
          </cell>
          <cell r="AO58" t="str">
            <v>Hynix Cloud팀</v>
          </cell>
          <cell r="AP58" t="str">
            <v>인프라 장애 긴급 대응</v>
          </cell>
          <cell r="AQ58" t="str">
            <v>인프라 장비 장애 발생시 현장대응</v>
          </cell>
          <cell r="AS58" t="str">
            <v>에스케이하이닉스(주) / SKHy '26년 ITO_데이타관제_1분기(4500303464-01)</v>
          </cell>
          <cell r="AT58" t="str">
            <v>스케줄</v>
          </cell>
          <cell r="AU58" t="str">
            <v>정직원</v>
          </cell>
          <cell r="AV58" t="str">
            <v>씨앤토트플러스㈜</v>
          </cell>
          <cell r="AW58">
            <v>5151000</v>
          </cell>
          <cell r="AX58">
            <v>5151000</v>
          </cell>
          <cell r="AY58">
            <v>12</v>
          </cell>
          <cell r="AZ58">
            <v>61812000</v>
          </cell>
          <cell r="BC58">
            <v>45839</v>
          </cell>
          <cell r="BD58">
            <v>35904960</v>
          </cell>
          <cell r="BE58">
            <v>36865200</v>
          </cell>
          <cell r="BF58">
            <v>36865200</v>
          </cell>
          <cell r="BG58">
            <v>3072100</v>
          </cell>
          <cell r="BH58">
            <v>2210400</v>
          </cell>
          <cell r="BI58">
            <v>15419.65</v>
          </cell>
          <cell r="BJ58">
            <v>156.32000000000002</v>
          </cell>
          <cell r="BK58">
            <v>36.39</v>
          </cell>
          <cell r="BL58">
            <v>49.43</v>
          </cell>
          <cell r="BM58">
            <v>280600</v>
          </cell>
          <cell r="BN58">
            <v>381100</v>
          </cell>
          <cell r="BO58">
            <v>200000</v>
          </cell>
          <cell r="BP58">
            <v>2902750</v>
          </cell>
          <cell r="BQ58" t="str">
            <v>적합</v>
          </cell>
          <cell r="BR58"/>
          <cell r="BS58">
            <v>1541965</v>
          </cell>
          <cell r="BT58">
            <v>3200597.0833333335</v>
          </cell>
          <cell r="BU58">
            <v>1637097</v>
          </cell>
          <cell r="BV58">
            <v>1403781.3820799999</v>
          </cell>
          <cell r="BW58">
            <v>534210.6</v>
          </cell>
          <cell r="BX58">
            <v>227470.32</v>
          </cell>
          <cell r="BY58">
            <v>3840125</v>
          </cell>
          <cell r="BZ58">
            <v>41607762.083333336</v>
          </cell>
          <cell r="CA58">
            <v>3802559.3020799998</v>
          </cell>
          <cell r="CB58">
            <v>46081500</v>
          </cell>
          <cell r="CC58">
            <v>12218172.5</v>
          </cell>
          <cell r="CD58">
            <v>19.766667475571086</v>
          </cell>
        </row>
        <row r="59">
          <cell r="F59" t="str">
            <v>이태희</v>
          </cell>
          <cell r="G59" t="str">
            <v>과장</v>
          </cell>
          <cell r="H59" t="str">
            <v>중급하</v>
          </cell>
          <cell r="I59" t="str">
            <v>초급기술자</v>
          </cell>
          <cell r="J59" t="str">
            <v>하도급(M/M)</v>
          </cell>
          <cell r="K59" t="str">
            <v>안전관리원</v>
          </cell>
          <cell r="L59" t="str">
            <v>박승혁 후임</v>
          </cell>
          <cell r="M59" t="str">
            <v>043-280-5802</v>
          </cell>
          <cell r="N59" t="str">
            <v>010-4860-3700</v>
          </cell>
          <cell r="O59" t="str">
            <v>arzento82@cnthoth.com</v>
          </cell>
          <cell r="P59" t="str">
            <v>820527-1</v>
          </cell>
          <cell r="Q59">
            <v>41218</v>
          </cell>
          <cell r="R59">
            <v>41218</v>
          </cell>
          <cell r="S59">
            <v>41640</v>
          </cell>
          <cell r="T59" t="str">
            <v>충청대학교</v>
          </cell>
          <cell r="U59" t="str">
            <v>소프트웨어개발과</v>
          </cell>
          <cell r="V59" t="str">
            <v>전문대졸</v>
          </cell>
          <cell r="W59" t="str">
            <v>정보처리산업기사</v>
          </cell>
          <cell r="X59" t="str">
            <v>정보기기운용기능사</v>
          </cell>
          <cell r="Z59">
            <v>4935</v>
          </cell>
          <cell r="AA59">
            <v>4935</v>
          </cell>
          <cell r="AB59"/>
          <cell r="AC59"/>
          <cell r="AD59" t="str">
            <v>청주HN_OP_주간</v>
          </cell>
          <cell r="AE59" t="str">
            <v>경기도외</v>
          </cell>
          <cell r="AF59" t="str">
            <v>4. SKB/SK하이닉스 Infra 운영</v>
          </cell>
          <cell r="AG59" t="str">
            <v>4. SKB/SK하이닉스 Infra 운영</v>
          </cell>
          <cell r="AH59" t="str">
            <v>SK AX</v>
          </cell>
          <cell r="AI59" t="str">
            <v>SK하이닉스(청주)</v>
          </cell>
          <cell r="AJ59" t="str">
            <v>곽경석</v>
          </cell>
          <cell r="AK59" t="str">
            <v>28436</v>
          </cell>
          <cell r="AL59" t="str">
            <v>충청북도 청주시 흥덕구 직지대로 337 (향정동) , SKHDC4 (M11 3F)</v>
          </cell>
          <cell r="AM59">
            <v>28742</v>
          </cell>
          <cell r="AN59" t="str">
            <v>충청북도 청주시 상당구 영운천로55번길 43 (영운동)</v>
          </cell>
          <cell r="AO59" t="str">
            <v>Hynix Cloud팀</v>
          </cell>
          <cell r="AP59" t="str">
            <v>청주 DC 운영</v>
          </cell>
          <cell r="AQ59" t="str">
            <v>일반 안전관리</v>
          </cell>
          <cell r="AR59" t="str">
            <v>/ 장비 반입반출 안전관리</v>
          </cell>
          <cell r="AS59" t="str">
            <v>에스케이하이닉스(주) / SKHy '26년 ITO_데이타관제_1분기(4500303464-01)</v>
          </cell>
          <cell r="AT59" t="str">
            <v>통상</v>
          </cell>
          <cell r="AU59" t="str">
            <v>정직원</v>
          </cell>
          <cell r="AV59" t="str">
            <v>씨앤토트플러스㈜</v>
          </cell>
          <cell r="AW59">
            <v>5514000</v>
          </cell>
          <cell r="AX59">
            <v>5514000</v>
          </cell>
          <cell r="AY59">
            <v>12</v>
          </cell>
          <cell r="AZ59">
            <v>66168000</v>
          </cell>
          <cell r="BC59">
            <v>45839</v>
          </cell>
          <cell r="BD59">
            <v>37031999.999999993</v>
          </cell>
          <cell r="BE59">
            <v>38568000</v>
          </cell>
          <cell r="BF59">
            <v>38568000</v>
          </cell>
          <cell r="BG59">
            <v>3214000</v>
          </cell>
          <cell r="BH59">
            <v>2701600</v>
          </cell>
          <cell r="BI59">
            <v>13883.25</v>
          </cell>
          <cell r="BJ59">
            <v>209</v>
          </cell>
          <cell r="BK59">
            <v>15</v>
          </cell>
          <cell r="BL59">
            <v>0</v>
          </cell>
          <cell r="BM59">
            <v>312400</v>
          </cell>
          <cell r="BN59">
            <v>0</v>
          </cell>
          <cell r="BO59">
            <v>200000</v>
          </cell>
          <cell r="BP59">
            <v>0</v>
          </cell>
          <cell r="BQ59" t="str">
            <v>적합</v>
          </cell>
          <cell r="BR59"/>
          <cell r="BS59">
            <v>555330</v>
          </cell>
          <cell r="BT59">
            <v>3260277.5</v>
          </cell>
          <cell r="BU59">
            <v>1717980</v>
          </cell>
          <cell r="BV59">
            <v>1473137.1072</v>
          </cell>
          <cell r="BW59">
            <v>560604</v>
          </cell>
          <cell r="BX59">
            <v>238708.8</v>
          </cell>
          <cell r="BY59">
            <v>4017500</v>
          </cell>
          <cell r="BZ59">
            <v>42383607.5</v>
          </cell>
          <cell r="CA59">
            <v>3990429.9071999998</v>
          </cell>
          <cell r="CB59">
            <v>48210000</v>
          </cell>
          <cell r="CC59">
            <v>17958000</v>
          </cell>
          <cell r="CD59">
            <v>27.140007254261878</v>
          </cell>
        </row>
        <row r="60">
          <cell r="F60" t="str">
            <v>임봉영</v>
          </cell>
          <cell r="G60" t="str">
            <v>부장</v>
          </cell>
          <cell r="H60" t="str">
            <v>중급상</v>
          </cell>
          <cell r="I60" t="str">
            <v>중급기술자</v>
          </cell>
          <cell r="J60" t="str">
            <v>하도급(M/M)</v>
          </cell>
          <cell r="K60" t="str">
            <v>서비스 관제 센터장</v>
          </cell>
          <cell r="L60"/>
          <cell r="M60" t="str">
            <v>031-5185-3384</v>
          </cell>
          <cell r="N60" t="str">
            <v>010-3409-5608</v>
          </cell>
          <cell r="O60" t="str">
            <v>bylim@cnthoth.com</v>
          </cell>
          <cell r="P60" t="str">
            <v>751223-1</v>
          </cell>
          <cell r="Q60">
            <v>38047</v>
          </cell>
          <cell r="R60">
            <v>41699</v>
          </cell>
          <cell r="S60"/>
          <cell r="T60" t="str">
            <v>경민대학</v>
          </cell>
          <cell r="U60" t="str">
            <v>전자계산학과, 학점은행제(학사) 이수</v>
          </cell>
          <cell r="V60" t="str">
            <v>대졸</v>
          </cell>
          <cell r="W60" t="str">
            <v>정보처리산업기사</v>
          </cell>
          <cell r="X60" t="str">
            <v>네트워크관리사2급</v>
          </cell>
          <cell r="Y60" t="str">
            <v xml:space="preserve">CCNA </v>
          </cell>
          <cell r="Z60">
            <v>8106</v>
          </cell>
          <cell r="AA60">
            <v>4454</v>
          </cell>
          <cell r="AB60"/>
          <cell r="AC60"/>
          <cell r="AD60" t="str">
            <v>이천HN_OP_주간</v>
          </cell>
          <cell r="AE60" t="str">
            <v>경기도</v>
          </cell>
          <cell r="AF60" t="str">
            <v>4. SKB/SK하이닉스 Infra 운영</v>
          </cell>
          <cell r="AG60" t="str">
            <v>4. SKB/SK하이닉스 Infra 운영</v>
          </cell>
          <cell r="AH60" t="str">
            <v>SK AX</v>
          </cell>
          <cell r="AI60" t="str">
            <v>SK하이닉스(이천)</v>
          </cell>
          <cell r="AJ60" t="str">
            <v>임봉영</v>
          </cell>
          <cell r="AK60">
            <v>17336</v>
          </cell>
          <cell r="AL60" t="str">
            <v xml:space="preserve">경기도 이천시 부발읍 경충대로 2091, SK하이닉스 기술지원센터 2층 SKHDC2 </v>
          </cell>
          <cell r="AM60" t="str">
            <v>16402</v>
          </cell>
          <cell r="AN60" t="str">
            <v>경기도 수원시 권선구 호매실로218번길 111, 1302동 1503호 (호매실동,호매실마을13단지)</v>
          </cell>
          <cell r="AO60" t="str">
            <v>Hynix Cloud팀</v>
          </cell>
          <cell r="AP60" t="str">
            <v>이천 DC 운영</v>
          </cell>
          <cell r="AQ60" t="str">
            <v>센터 총괄 운영</v>
          </cell>
          <cell r="AS60" t="str">
            <v>에스케이하이닉스(주) / SKHy '26년 ITO_데이타관제_1분기(4500303464-01)</v>
          </cell>
          <cell r="AT60" t="str">
            <v>통상</v>
          </cell>
          <cell r="AU60" t="str">
            <v>정직원</v>
          </cell>
          <cell r="AV60" t="str">
            <v>씨앤토트플러스㈜</v>
          </cell>
          <cell r="AW60">
            <v>5610000</v>
          </cell>
          <cell r="AX60">
            <v>5610000</v>
          </cell>
          <cell r="AY60">
            <v>12</v>
          </cell>
          <cell r="AZ60">
            <v>67320000</v>
          </cell>
          <cell r="BC60">
            <v>45839</v>
          </cell>
          <cell r="BD60">
            <v>61800000</v>
          </cell>
          <cell r="BE60">
            <v>62856000</v>
          </cell>
          <cell r="BF60">
            <v>62856000</v>
          </cell>
          <cell r="BG60">
            <v>5238000</v>
          </cell>
          <cell r="BH60">
            <v>4528900</v>
          </cell>
          <cell r="BI60">
            <v>22626.32</v>
          </cell>
          <cell r="BJ60">
            <v>209</v>
          </cell>
          <cell r="BK60">
            <v>15</v>
          </cell>
          <cell r="BL60">
            <v>0</v>
          </cell>
          <cell r="BM60">
            <v>509100</v>
          </cell>
          <cell r="BN60">
            <v>0</v>
          </cell>
          <cell r="BO60">
            <v>200000</v>
          </cell>
          <cell r="BP60">
            <v>0</v>
          </cell>
          <cell r="BQ60" t="str">
            <v>적합</v>
          </cell>
          <cell r="BR60"/>
          <cell r="BS60">
            <v>905052.8</v>
          </cell>
          <cell r="BT60">
            <v>5313421.0666666664</v>
          </cell>
          <cell r="BU60">
            <v>2871660</v>
          </cell>
          <cell r="BV60">
            <v>2462397.0624000002</v>
          </cell>
          <cell r="BW60">
            <v>937068</v>
          </cell>
          <cell r="BX60">
            <v>399009.6</v>
          </cell>
          <cell r="BY60">
            <v>6547500</v>
          </cell>
          <cell r="BZ60">
            <v>69074473.86666666</v>
          </cell>
          <cell r="CA60">
            <v>6670134.6623999998</v>
          </cell>
          <cell r="CB60">
            <v>78570000</v>
          </cell>
          <cell r="CC60">
            <v>-11250000</v>
          </cell>
          <cell r="CD60">
            <v>-16.711229946524064</v>
          </cell>
        </row>
        <row r="61">
          <cell r="F61" t="str">
            <v>이현진</v>
          </cell>
          <cell r="G61" t="str">
            <v>차장</v>
          </cell>
          <cell r="H61" t="str">
            <v>중급상</v>
          </cell>
          <cell r="I61" t="str">
            <v>중급기술자</v>
          </cell>
          <cell r="J61" t="str">
            <v>하도급(FTE)</v>
          </cell>
          <cell r="K61" t="str">
            <v>서버엔지니어</v>
          </cell>
          <cell r="L61" t="str">
            <v>김만 후임</v>
          </cell>
          <cell r="M61" t="str">
            <v>02-6343-9325</v>
          </cell>
          <cell r="N61" t="str">
            <v>010-2980-0063</v>
          </cell>
          <cell r="O61" t="str">
            <v>lstfin83@cnthoth.com</v>
          </cell>
          <cell r="P61" t="str">
            <v>830617-1</v>
          </cell>
          <cell r="Q61">
            <v>38991</v>
          </cell>
          <cell r="R61">
            <v>41799</v>
          </cell>
          <cell r="S61"/>
          <cell r="T61" t="str">
            <v>경기과학기술대학교</v>
          </cell>
          <cell r="U61" t="str">
            <v>컴퓨터정보시스템</v>
          </cell>
          <cell r="V61" t="str">
            <v>대졸</v>
          </cell>
          <cell r="W61" t="str">
            <v>CSA</v>
          </cell>
          <cell r="X61"/>
          <cell r="Y61"/>
          <cell r="Z61">
            <v>7162</v>
          </cell>
          <cell r="AA61">
            <v>4354</v>
          </cell>
          <cell r="AB61"/>
          <cell r="AC61"/>
          <cell r="AD61" t="str">
            <v>SKT장안국사_주간</v>
          </cell>
          <cell r="AE61" t="str">
            <v>서울특별시</v>
          </cell>
          <cell r="AF61" t="str">
            <v>3. 콜센터 &amp; 금융 &amp; 기타</v>
          </cell>
          <cell r="AG61" t="str">
            <v>3. 콜센터 &amp; 금융 &amp; 기타</v>
          </cell>
          <cell r="AH61" t="str">
            <v>SK AX</v>
          </cell>
          <cell r="AI61" t="str">
            <v>SKT(장안콜센터)</v>
          </cell>
          <cell r="AJ61" t="str">
            <v>이기홍</v>
          </cell>
          <cell r="AK61" t="str">
            <v>02635</v>
          </cell>
          <cell r="AL61" t="str">
            <v>서울시 동대문구 장한로3길 34 SKT 장안고객센터 구관 2층 시스템 운영실</v>
          </cell>
          <cell r="AM61" t="str">
            <v>01764</v>
          </cell>
          <cell r="AN61" t="str">
            <v>서울특별시 노원구 동일로215길 23, 207동 1109호 (상계동, 상계주공2단지아파트)</v>
          </cell>
          <cell r="AO61" t="str">
            <v>T Biz. Cloud팀</v>
          </cell>
          <cell r="AP61" t="str">
            <v>SKT 서버 운영</v>
          </cell>
          <cell r="AQ61" t="str">
            <v>Linux 서버 운영</v>
          </cell>
          <cell r="AS61" t="str">
            <v>고객사 공통 / 2026년_ICT운영171_1분기(4500303362-01)</v>
          </cell>
          <cell r="AT61" t="str">
            <v>통상</v>
          </cell>
          <cell r="AU61" t="str">
            <v>정직원</v>
          </cell>
          <cell r="AV61" t="str">
            <v>씨앤토트플러스㈜</v>
          </cell>
          <cell r="AW61">
            <v>6278000</v>
          </cell>
          <cell r="AX61">
            <v>6278000</v>
          </cell>
          <cell r="AY61">
            <v>12</v>
          </cell>
          <cell r="AZ61">
            <v>75336000</v>
          </cell>
          <cell r="BA61"/>
          <cell r="BB61"/>
          <cell r="BC61">
            <v>45839</v>
          </cell>
          <cell r="BD61">
            <v>50604000</v>
          </cell>
          <cell r="BE61">
            <v>52044000</v>
          </cell>
          <cell r="BF61">
            <v>52044000</v>
          </cell>
          <cell r="BG61">
            <v>4337000</v>
          </cell>
          <cell r="BH61">
            <v>3715400</v>
          </cell>
          <cell r="BI61">
            <v>18733.97</v>
          </cell>
          <cell r="BJ61">
            <v>209</v>
          </cell>
          <cell r="BK61">
            <v>15</v>
          </cell>
          <cell r="BL61">
            <v>0</v>
          </cell>
          <cell r="BM61">
            <v>421600</v>
          </cell>
          <cell r="BN61">
            <v>0</v>
          </cell>
          <cell r="BO61">
            <v>200000</v>
          </cell>
          <cell r="BP61">
            <v>0</v>
          </cell>
          <cell r="BQ61" t="str">
            <v>적합</v>
          </cell>
          <cell r="BR61"/>
          <cell r="BS61">
            <v>749358.8</v>
          </cell>
          <cell r="BT61">
            <v>4399446.5666666664</v>
          </cell>
          <cell r="BU61">
            <v>2358090</v>
          </cell>
          <cell r="BV61">
            <v>2022019.9775999996</v>
          </cell>
          <cell r="BW61">
            <v>769482</v>
          </cell>
          <cell r="BX61">
            <v>327650.40000000002</v>
          </cell>
          <cell r="BY61">
            <v>5421250</v>
          </cell>
          <cell r="BZ61">
            <v>57192805.36666666</v>
          </cell>
          <cell r="CA61">
            <v>5477242.3776000002</v>
          </cell>
          <cell r="CB61">
            <v>65055000</v>
          </cell>
          <cell r="CC61">
            <v>10281000</v>
          </cell>
          <cell r="CD61">
            <v>13.64686205798025</v>
          </cell>
        </row>
        <row r="62">
          <cell r="F62" t="str">
            <v>이정민80</v>
          </cell>
          <cell r="G62" t="str">
            <v>차장</v>
          </cell>
          <cell r="H62" t="str">
            <v>고급하</v>
          </cell>
          <cell r="I62" t="str">
            <v>고급기술자</v>
          </cell>
          <cell r="J62" t="str">
            <v>하도급(FTE)</v>
          </cell>
          <cell r="K62" t="str">
            <v>서버엔지니어</v>
          </cell>
          <cell r="L62" t="str">
            <v>고광연 후임</v>
          </cell>
          <cell r="M62" t="str">
            <v>02-3700-7227</v>
          </cell>
          <cell r="N62" t="str">
            <v>010-5910-3331</v>
          </cell>
          <cell r="O62" t="str">
            <v>qassqort@cnthoth.com</v>
          </cell>
          <cell r="P62" t="str">
            <v>800606-1</v>
          </cell>
          <cell r="Q62">
            <v>39417</v>
          </cell>
          <cell r="R62">
            <v>41834</v>
          </cell>
          <cell r="S62"/>
          <cell r="T62" t="str">
            <v>신흥대학교</v>
          </cell>
          <cell r="U62"/>
          <cell r="V62" t="str">
            <v>전문대졸</v>
          </cell>
          <cell r="W62" t="str">
            <v>오라클8i</v>
          </cell>
          <cell r="X62"/>
          <cell r="Y62"/>
          <cell r="Z62">
            <v>6736</v>
          </cell>
          <cell r="AA62">
            <v>4319</v>
          </cell>
          <cell r="AB62"/>
          <cell r="AC62"/>
          <cell r="AD62" t="str">
            <v>관훈빌딩_종로</v>
          </cell>
          <cell r="AE62" t="str">
            <v>서울특별시</v>
          </cell>
          <cell r="AF62" t="str">
            <v>1. Infra 운영</v>
          </cell>
          <cell r="AG62" t="str">
            <v>1. Infra 운영</v>
          </cell>
          <cell r="AH62" t="str">
            <v>SK AX</v>
          </cell>
          <cell r="AI62" t="str">
            <v>SK에코플랜트(종로)</v>
          </cell>
          <cell r="AJ62" t="str">
            <v>임정재</v>
          </cell>
          <cell r="AK62" t="str">
            <v>03149</v>
          </cell>
          <cell r="AL62" t="str">
            <v>서울시 종로구 인사동7길 32, SK에코플랜트 관훈빌딩(정보기술팀) 11층</v>
          </cell>
          <cell r="AM62" t="str">
            <v>04780</v>
          </cell>
          <cell r="AN62" t="str">
            <v>서울특별시 성동구 뚝섬로3나길 17 (성수동1가)</v>
          </cell>
          <cell r="AO62" t="str">
            <v>제조/환경Cloud팀 </v>
          </cell>
          <cell r="AP62" t="str">
            <v>SK 에코플랜트 서버 운영</v>
          </cell>
          <cell r="AQ62" t="str">
            <v>Windows 서버 운영</v>
          </cell>
          <cell r="AR62" t="str">
            <v>/ Linux 서버 운영</v>
          </cell>
          <cell r="AS62" t="str">
            <v>고객사 공통 / 2026년_인프라운영_HC22_01_1분기 (4500303129-01)</v>
          </cell>
          <cell r="AT62" t="str">
            <v>통상</v>
          </cell>
          <cell r="AU62" t="str">
            <v>정직원</v>
          </cell>
          <cell r="AV62" t="str">
            <v>씨앤토트플러스㈜</v>
          </cell>
          <cell r="AW62">
            <v>6330000</v>
          </cell>
          <cell r="AX62">
            <v>6330000</v>
          </cell>
          <cell r="AY62">
            <v>12</v>
          </cell>
          <cell r="AZ62">
            <v>75960000</v>
          </cell>
          <cell r="BA62"/>
          <cell r="BB62"/>
          <cell r="BC62">
            <v>45839</v>
          </cell>
          <cell r="BD62">
            <v>50364000</v>
          </cell>
          <cell r="BE62">
            <v>51564000</v>
          </cell>
          <cell r="BF62">
            <v>51564000</v>
          </cell>
          <cell r="BG62">
            <v>4297000</v>
          </cell>
          <cell r="BH62">
            <v>3679300</v>
          </cell>
          <cell r="BI62">
            <v>18561.240000000002</v>
          </cell>
          <cell r="BJ62">
            <v>209</v>
          </cell>
          <cell r="BK62">
            <v>15</v>
          </cell>
          <cell r="BL62">
            <v>0</v>
          </cell>
          <cell r="BM62">
            <v>417700</v>
          </cell>
          <cell r="BN62">
            <v>0</v>
          </cell>
          <cell r="BO62">
            <v>200000</v>
          </cell>
          <cell r="BP62">
            <v>0</v>
          </cell>
          <cell r="BQ62" t="str">
            <v>적합</v>
          </cell>
          <cell r="BR62"/>
          <cell r="BS62">
            <v>742449.60000000009</v>
          </cell>
          <cell r="BT62">
            <v>4358870.8</v>
          </cell>
          <cell r="BU62">
            <v>2335290</v>
          </cell>
          <cell r="BV62">
            <v>2002469.3855999997</v>
          </cell>
          <cell r="BW62">
            <v>762042</v>
          </cell>
          <cell r="BX62">
            <v>324482.40000000002</v>
          </cell>
          <cell r="BY62">
            <v>5371250</v>
          </cell>
          <cell r="BZ62">
            <v>56665320.399999999</v>
          </cell>
          <cell r="CA62">
            <v>5424283.7856000001</v>
          </cell>
          <cell r="CB62">
            <v>64455000</v>
          </cell>
          <cell r="CC62">
            <v>11505000</v>
          </cell>
          <cell r="CD62">
            <v>15.14612954186414</v>
          </cell>
        </row>
        <row r="63">
          <cell r="F63" t="str">
            <v>장승정</v>
          </cell>
          <cell r="G63" t="str">
            <v>차장</v>
          </cell>
          <cell r="H63" t="str">
            <v>중급하</v>
          </cell>
          <cell r="I63" t="str">
            <v>중급기술자</v>
          </cell>
          <cell r="J63" t="str">
            <v>하도급(FTE)</v>
          </cell>
          <cell r="K63" t="str">
            <v>네트워크보안엔지니어</v>
          </cell>
          <cell r="L63" t="str">
            <v>홍순덕 후임</v>
          </cell>
          <cell r="M63" t="str">
            <v>02-6400-7020</v>
          </cell>
          <cell r="N63" t="str">
            <v>010-2211-0408</v>
          </cell>
          <cell r="O63" t="str">
            <v>redclub0408@cnthoth.com</v>
          </cell>
          <cell r="P63" t="str">
            <v>880408-1</v>
          </cell>
          <cell r="Q63">
            <v>40848</v>
          </cell>
          <cell r="R63">
            <v>41555</v>
          </cell>
          <cell r="S63">
            <v>41852</v>
          </cell>
          <cell r="T63" t="str">
            <v>세명대학교</v>
          </cell>
          <cell r="U63" t="str">
            <v>컴퓨터학부</v>
          </cell>
          <cell r="V63" t="str">
            <v>대졸</v>
          </cell>
          <cell r="Z63">
            <v>5305</v>
          </cell>
          <cell r="AA63">
            <v>4598</v>
          </cell>
          <cell r="AB63"/>
          <cell r="AC63"/>
          <cell r="AD63" t="str">
            <v>SK AX A동 1F_판교</v>
          </cell>
          <cell r="AE63" t="str">
            <v>경기도</v>
          </cell>
          <cell r="AF63" t="str">
            <v>2. Network Service</v>
          </cell>
          <cell r="AG63" t="str">
            <v>2. Network Service</v>
          </cell>
          <cell r="AH63" t="str">
            <v>SK AX</v>
          </cell>
          <cell r="AI63" t="str">
            <v>SK그룹사(공통)</v>
          </cell>
          <cell r="AJ63" t="str">
            <v>최재유</v>
          </cell>
          <cell r="AK63">
            <v>13486</v>
          </cell>
          <cell r="AL63" t="str">
            <v>경기도 성남시 분당구 판교로 255번길 46 SK C&amp;C 판교캠퍼스 A동 4층</v>
          </cell>
          <cell r="AM63">
            <v>14526</v>
          </cell>
          <cell r="AN63" t="str">
            <v>경기도 부천시 원미구 삼작로 268번길 53-8 주영홈타운 101동 801호</v>
          </cell>
          <cell r="AO63" t="str">
            <v>Network Service팀</v>
          </cell>
          <cell r="AP63" t="str">
            <v>SK전체(DHCP, VPN) N/W 보안 운영</v>
          </cell>
          <cell r="AQ63" t="str">
            <v>DNS 서버 관리</v>
          </cell>
          <cell r="AR63" t="str">
            <v>/ IP 할당 관리</v>
          </cell>
          <cell r="AS63" t="str">
            <v>고객사 공통 / 2026년_인프라운영_HC11_1분기(4500303149-01)</v>
          </cell>
          <cell r="AT63" t="str">
            <v>통상</v>
          </cell>
          <cell r="AU63" t="str">
            <v>정직원</v>
          </cell>
          <cell r="AV63" t="str">
            <v>씨앤토트플러스㈜</v>
          </cell>
          <cell r="AW63">
            <v>5569000</v>
          </cell>
          <cell r="AX63">
            <v>5569000</v>
          </cell>
          <cell r="AY63">
            <v>12</v>
          </cell>
          <cell r="AZ63">
            <v>66828000</v>
          </cell>
          <cell r="BC63">
            <v>45839</v>
          </cell>
          <cell r="BD63">
            <v>47808000</v>
          </cell>
          <cell r="BE63">
            <v>49248000</v>
          </cell>
          <cell r="BF63">
            <v>49248000</v>
          </cell>
          <cell r="BG63">
            <v>4104000</v>
          </cell>
          <cell r="BH63">
            <v>3505100</v>
          </cell>
          <cell r="BI63">
            <v>17727.75</v>
          </cell>
          <cell r="BJ63">
            <v>209</v>
          </cell>
          <cell r="BK63">
            <v>15</v>
          </cell>
          <cell r="BL63">
            <v>0</v>
          </cell>
          <cell r="BM63">
            <v>398900</v>
          </cell>
          <cell r="BN63">
            <v>0</v>
          </cell>
          <cell r="BO63">
            <v>200000</v>
          </cell>
          <cell r="BP63">
            <v>0</v>
          </cell>
          <cell r="BQ63" t="str">
            <v>적합</v>
          </cell>
          <cell r="BR63"/>
          <cell r="BS63">
            <v>709110</v>
          </cell>
          <cell r="BT63">
            <v>4163092.5</v>
          </cell>
          <cell r="BU63">
            <v>2225280</v>
          </cell>
          <cell r="BV63">
            <v>1908137.7791999998</v>
          </cell>
          <cell r="BW63">
            <v>726144</v>
          </cell>
          <cell r="BX63">
            <v>309196.79999999999</v>
          </cell>
          <cell r="BY63">
            <v>5130000</v>
          </cell>
          <cell r="BZ63">
            <v>54120202.5</v>
          </cell>
          <cell r="CA63">
            <v>5168758.5791999996</v>
          </cell>
          <cell r="CB63">
            <v>61560000</v>
          </cell>
          <cell r="CC63">
            <v>5268000</v>
          </cell>
          <cell r="CD63">
            <v>7.8829233255521647</v>
          </cell>
        </row>
        <row r="64">
          <cell r="F64" t="str">
            <v>김지원</v>
          </cell>
          <cell r="G64" t="str">
            <v>차장</v>
          </cell>
          <cell r="H64" t="str">
            <v>고급하</v>
          </cell>
          <cell r="I64" t="str">
            <v>고급기술자</v>
          </cell>
          <cell r="J64" t="str">
            <v>하도급(FTE)</v>
          </cell>
          <cell r="K64" t="str">
            <v>M/W 엔지니어</v>
          </cell>
          <cell r="L64" t="str">
            <v>2018_신규</v>
          </cell>
          <cell r="M64" t="str">
            <v>02-6400-0366</v>
          </cell>
          <cell r="N64" t="str">
            <v>010-2088-6182</v>
          </cell>
          <cell r="O64" t="str">
            <v>ddoly3@cnthoth.com</v>
          </cell>
          <cell r="P64" t="str">
            <v>780727-1</v>
          </cell>
          <cell r="Q64">
            <v>39753</v>
          </cell>
          <cell r="R64">
            <v>41932</v>
          </cell>
          <cell r="S64"/>
          <cell r="T64" t="str">
            <v>한양대학교</v>
          </cell>
          <cell r="U64" t="str">
            <v>컴퓨터공학과</v>
          </cell>
          <cell r="V64" t="str">
            <v>대졸</v>
          </cell>
          <cell r="W64"/>
          <cell r="X64"/>
          <cell r="Y64"/>
          <cell r="Z64">
            <v>6400</v>
          </cell>
          <cell r="AA64">
            <v>4221</v>
          </cell>
          <cell r="AB64"/>
          <cell r="AC64"/>
          <cell r="AD64" t="str">
            <v>분당지웰푸르지오_수내</v>
          </cell>
          <cell r="AE64" t="str">
            <v>경기도</v>
          </cell>
          <cell r="AF64" t="str">
            <v>1. Infra 운영</v>
          </cell>
          <cell r="AG64" t="str">
            <v>1. Infra 운영</v>
          </cell>
          <cell r="AH64" t="str">
            <v>SK AX</v>
          </cell>
          <cell r="AI64" t="str">
            <v>SK그룹사(공통)</v>
          </cell>
          <cell r="AJ64" t="str">
            <v>김홍범</v>
          </cell>
          <cell r="AK64">
            <v>13594</v>
          </cell>
          <cell r="AL64" t="str">
            <v>경기도 성남시 분당구 수내로 39 분당지웰푸르지오아파트 오피스 6층</v>
          </cell>
          <cell r="AM64" t="str">
            <v>03166</v>
          </cell>
          <cell r="AN64" t="str">
            <v>서울특별시 종로구 송월길130 경희궁자이 103동 805호</v>
          </cell>
          <cell r="AO64" t="str">
            <v>T Biz. Cloud팀</v>
          </cell>
          <cell r="AP64" t="str">
            <v>Middleware 운영</v>
          </cell>
          <cell r="AQ64" t="str">
            <v>WAS 운영</v>
          </cell>
          <cell r="AS64" t="str">
            <v>고객사 공통 / 2026년_인프라운영_HC12_1분기(4500303380-01)</v>
          </cell>
          <cell r="AT64" t="str">
            <v>통상</v>
          </cell>
          <cell r="AU64" t="str">
            <v>정직원</v>
          </cell>
          <cell r="AV64" t="str">
            <v>씨앤토트플러스㈜</v>
          </cell>
          <cell r="AW64">
            <v>6905000</v>
          </cell>
          <cell r="AX64">
            <v>6905000</v>
          </cell>
          <cell r="AY64">
            <v>12</v>
          </cell>
          <cell r="AZ64">
            <v>82860000</v>
          </cell>
          <cell r="BA64"/>
          <cell r="BB64"/>
          <cell r="BC64">
            <v>45839</v>
          </cell>
          <cell r="BD64">
            <v>54804000</v>
          </cell>
          <cell r="BE64">
            <v>56004000</v>
          </cell>
          <cell r="BF64">
            <v>56004000</v>
          </cell>
          <cell r="BG64">
            <v>4667000</v>
          </cell>
          <cell r="BH64">
            <v>4013400</v>
          </cell>
          <cell r="BI64">
            <v>20159.810000000001</v>
          </cell>
          <cell r="BJ64">
            <v>209</v>
          </cell>
          <cell r="BK64">
            <v>15</v>
          </cell>
          <cell r="BL64">
            <v>0</v>
          </cell>
          <cell r="BM64">
            <v>453600</v>
          </cell>
          <cell r="BN64">
            <v>0</v>
          </cell>
          <cell r="BO64">
            <v>200000</v>
          </cell>
          <cell r="BP64">
            <v>0</v>
          </cell>
          <cell r="BQ64" t="str">
            <v>적합</v>
          </cell>
          <cell r="BR64"/>
          <cell r="BS64">
            <v>806392.4</v>
          </cell>
          <cell r="BT64">
            <v>4734199.3666666662</v>
          </cell>
          <cell r="BU64">
            <v>2546190</v>
          </cell>
          <cell r="BV64">
            <v>2183312.3615999995</v>
          </cell>
          <cell r="BW64">
            <v>830862</v>
          </cell>
          <cell r="BX64">
            <v>353786.4</v>
          </cell>
          <cell r="BY64">
            <v>5833750</v>
          </cell>
          <cell r="BZ64">
            <v>61544591.766666666</v>
          </cell>
          <cell r="CA64">
            <v>5914150.7615999999</v>
          </cell>
          <cell r="CB64">
            <v>70005000</v>
          </cell>
          <cell r="CC64">
            <v>12855000</v>
          </cell>
          <cell r="CD64">
            <v>15.514120202751631</v>
          </cell>
        </row>
        <row r="65">
          <cell r="F65" t="str">
            <v>윤영원</v>
          </cell>
          <cell r="G65" t="str">
            <v>부장</v>
          </cell>
          <cell r="H65" t="str">
            <v>중급상</v>
          </cell>
          <cell r="I65" t="str">
            <v>중급기술자</v>
          </cell>
          <cell r="J65" t="str">
            <v>하도급(M/M)</v>
          </cell>
          <cell r="K65" t="str">
            <v>서버엔지니어</v>
          </cell>
          <cell r="L65" t="str">
            <v>2015_신규</v>
          </cell>
          <cell r="M65"/>
          <cell r="N65" t="str">
            <v>010-3254-4852</v>
          </cell>
          <cell r="O65" t="str">
            <v>yywchrist@cnthoth.com</v>
          </cell>
          <cell r="P65" t="str">
            <v>751225-1</v>
          </cell>
          <cell r="Q65">
            <v>37865</v>
          </cell>
          <cell r="R65">
            <v>42186</v>
          </cell>
          <cell r="S65"/>
          <cell r="T65" t="str">
            <v>단국대학교</v>
          </cell>
          <cell r="U65" t="str">
            <v>전산통계학과</v>
          </cell>
          <cell r="V65" t="str">
            <v>대졸</v>
          </cell>
          <cell r="W65" t="str">
            <v>CCNA</v>
          </cell>
          <cell r="X65" t="str">
            <v>정보처리기사</v>
          </cell>
          <cell r="Y65"/>
          <cell r="Z65">
            <v>8288</v>
          </cell>
          <cell r="AA65">
            <v>3967</v>
          </cell>
          <cell r="AB65"/>
          <cell r="AC65"/>
          <cell r="AD65" t="str">
            <v>SKT 6F_성수</v>
          </cell>
          <cell r="AE65" t="str">
            <v>서울특별시</v>
          </cell>
          <cell r="AF65" t="str">
            <v>1. Infra 운영</v>
          </cell>
          <cell r="AG65" t="str">
            <v>1. Infra 운영</v>
          </cell>
          <cell r="AH65" t="str">
            <v>SK AX</v>
          </cell>
          <cell r="AI65" t="str">
            <v>SKT(성수)</v>
          </cell>
          <cell r="AJ65" t="str">
            <v>개인</v>
          </cell>
          <cell r="AK65" t="str">
            <v>04799</v>
          </cell>
          <cell r="AL65" t="str">
            <v>서울시 성동구 광나루로6길 36(성수동2가) SKT 성수사옥 6층</v>
          </cell>
          <cell r="AM65" t="str">
            <v>10523</v>
          </cell>
          <cell r="AN65" t="str">
            <v>경기도 고양시 덕양구 무원로 2, 202호 (행신동,센스빌1차)</v>
          </cell>
          <cell r="AO65" t="str">
            <v>ICT Cloud팀</v>
          </cell>
          <cell r="AP65" t="str">
            <v>SKP 서버 운영</v>
          </cell>
          <cell r="AQ65" t="str">
            <v>Linux 서버 운영</v>
          </cell>
          <cell r="AS65" t="str">
            <v>에스케이 플래닛(주) / SKP 25년 위탁운영 서비스 유지보수_1분기(4500302117-01)</v>
          </cell>
          <cell r="AT65" t="str">
            <v>통상</v>
          </cell>
          <cell r="AU65" t="str">
            <v>정직원</v>
          </cell>
          <cell r="AV65" t="str">
            <v>씨앤토트플러스㈜</v>
          </cell>
          <cell r="AW65">
            <v>5882000</v>
          </cell>
          <cell r="AX65">
            <v>5882000</v>
          </cell>
          <cell r="AY65">
            <v>12</v>
          </cell>
          <cell r="AZ65">
            <v>70584000</v>
          </cell>
          <cell r="BA65"/>
          <cell r="BB65"/>
          <cell r="BC65">
            <v>45839</v>
          </cell>
          <cell r="BD65">
            <v>49800000</v>
          </cell>
          <cell r="BE65">
            <v>51444000</v>
          </cell>
          <cell r="BF65">
            <v>51444000</v>
          </cell>
          <cell r="BG65">
            <v>4287000</v>
          </cell>
          <cell r="BH65">
            <v>3670300</v>
          </cell>
          <cell r="BI65">
            <v>18518.18</v>
          </cell>
          <cell r="BJ65">
            <v>209</v>
          </cell>
          <cell r="BK65">
            <v>15</v>
          </cell>
          <cell r="BL65">
            <v>0</v>
          </cell>
          <cell r="BM65">
            <v>416700</v>
          </cell>
          <cell r="BN65">
            <v>0</v>
          </cell>
          <cell r="BO65">
            <v>200000</v>
          </cell>
          <cell r="BP65">
            <v>0</v>
          </cell>
          <cell r="BQ65" t="str">
            <v>적합</v>
          </cell>
          <cell r="BR65"/>
          <cell r="BS65">
            <v>740727.2</v>
          </cell>
          <cell r="BT65">
            <v>4348727.2666666666</v>
          </cell>
          <cell r="BU65">
            <v>2329590</v>
          </cell>
          <cell r="BV65">
            <v>1997581.7375999996</v>
          </cell>
          <cell r="BW65">
            <v>760182</v>
          </cell>
          <cell r="BX65">
            <v>323690.40000000002</v>
          </cell>
          <cell r="BY65">
            <v>5358750</v>
          </cell>
          <cell r="BZ65">
            <v>56533454.466666669</v>
          </cell>
          <cell r="CA65">
            <v>5411044.1376</v>
          </cell>
          <cell r="CB65">
            <v>64305000</v>
          </cell>
          <cell r="CC65">
            <v>6279000</v>
          </cell>
          <cell r="CD65">
            <v>8.8957837470248222</v>
          </cell>
        </row>
        <row r="66">
          <cell r="F66" t="str">
            <v>이종배</v>
          </cell>
          <cell r="G66" t="str">
            <v>부장</v>
          </cell>
          <cell r="H66" t="str">
            <v>중급상</v>
          </cell>
          <cell r="I66" t="str">
            <v>중급기술자</v>
          </cell>
          <cell r="J66" t="str">
            <v>하도급(직)</v>
          </cell>
          <cell r="K66" t="str">
            <v>서버엔지니어</v>
          </cell>
          <cell r="L66" t="str">
            <v>2015_신규</v>
          </cell>
          <cell r="M66" t="str">
            <v>02-6400-5621</v>
          </cell>
          <cell r="N66" t="str">
            <v>010-3398-3958</v>
          </cell>
          <cell r="O66" t="str">
            <v>brandon@cnthoth.com</v>
          </cell>
          <cell r="P66" t="str">
            <v>740708-1</v>
          </cell>
          <cell r="Q66">
            <v>36526</v>
          </cell>
          <cell r="R66">
            <v>42188</v>
          </cell>
          <cell r="S66"/>
          <cell r="T66" t="str">
            <v>Brock University</v>
          </cell>
          <cell r="U66" t="str">
            <v>컴퓨터공학</v>
          </cell>
          <cell r="V66" t="str">
            <v>대졸</v>
          </cell>
          <cell r="W66" t="str">
            <v>IBM CSE</v>
          </cell>
          <cell r="X66" t="str">
            <v>ITIL</v>
          </cell>
          <cell r="Z66">
            <v>9627</v>
          </cell>
          <cell r="AA66">
            <v>3965</v>
          </cell>
          <cell r="AB66"/>
          <cell r="AC66"/>
          <cell r="AD66" t="str">
            <v>SK하이닉스_이천</v>
          </cell>
          <cell r="AE66" t="str">
            <v>경기도</v>
          </cell>
          <cell r="AF66" t="str">
            <v>4. SKB/SK하이닉스 Infra 운영</v>
          </cell>
          <cell r="AG66" t="str">
            <v>4. SKB/SK하이닉스 Infra 운영</v>
          </cell>
          <cell r="AH66" t="str">
            <v>씨앤토트㈜</v>
          </cell>
          <cell r="AI66" t="str">
            <v>SK하이닉스(이천)</v>
          </cell>
          <cell r="AJ66" t="str">
            <v>개인</v>
          </cell>
          <cell r="AK66">
            <v>17336</v>
          </cell>
          <cell r="AL66" t="str">
            <v>경기도 이천시 부발읍 경충대로 2091, SK하이닉스</v>
          </cell>
          <cell r="AM66">
            <v>16990</v>
          </cell>
          <cell r="AN66" t="str">
            <v>경기도 용인시 처인구 한터로  55-30 (1/14), 113동 1404호 (유방동,용인보평역 서희스타힐스 리버파크)</v>
          </cell>
          <cell r="AO66" t="str">
            <v>Cloud 서비스팀_씨앤토트㈜</v>
          </cell>
          <cell r="AP66" t="str">
            <v>SK하이닉스 Windows 기술지원</v>
          </cell>
          <cell r="AQ66" t="str">
            <v>Windows 서버 운영</v>
          </cell>
          <cell r="AS66" t="str">
            <v>SK하이닉스 Microsoft EA (Windows server 기술지원)(미계약)</v>
          </cell>
          <cell r="AT66" t="str">
            <v>통상</v>
          </cell>
          <cell r="AU66" t="str">
            <v>정직원</v>
          </cell>
          <cell r="AV66" t="str">
            <v>씨앤토트플러스㈜</v>
          </cell>
          <cell r="AW66">
            <v>7030000</v>
          </cell>
          <cell r="AX66">
            <v>7030000</v>
          </cell>
          <cell r="AY66">
            <v>12</v>
          </cell>
          <cell r="AZ66">
            <v>84360000</v>
          </cell>
          <cell r="BA66"/>
          <cell r="BB66"/>
          <cell r="BC66">
            <v>45839</v>
          </cell>
          <cell r="BD66">
            <v>52368000</v>
          </cell>
          <cell r="BE66">
            <v>53568000</v>
          </cell>
          <cell r="BF66">
            <v>53568000</v>
          </cell>
          <cell r="BG66">
            <v>4464000</v>
          </cell>
          <cell r="BH66">
            <v>3830100</v>
          </cell>
          <cell r="BI66">
            <v>19282.78</v>
          </cell>
          <cell r="BJ66">
            <v>209</v>
          </cell>
          <cell r="BK66">
            <v>15</v>
          </cell>
          <cell r="BL66">
            <v>0</v>
          </cell>
          <cell r="BM66">
            <v>433900</v>
          </cell>
          <cell r="BN66">
            <v>0</v>
          </cell>
          <cell r="BO66">
            <v>200000</v>
          </cell>
          <cell r="BP66">
            <v>0</v>
          </cell>
          <cell r="BQ66" t="str">
            <v>적합</v>
          </cell>
          <cell r="BR66"/>
          <cell r="BS66">
            <v>771311.2</v>
          </cell>
          <cell r="BT66">
            <v>4528275.9333333336</v>
          </cell>
          <cell r="BU66">
            <v>2430480</v>
          </cell>
          <cell r="BV66">
            <v>2084093.1071999997</v>
          </cell>
          <cell r="BW66">
            <v>793104</v>
          </cell>
          <cell r="BX66">
            <v>337708.79999999999</v>
          </cell>
          <cell r="BY66">
            <v>5580000</v>
          </cell>
          <cell r="BZ66">
            <v>58867587.13333334</v>
          </cell>
          <cell r="CA66">
            <v>5645385.9071999993</v>
          </cell>
          <cell r="CB66">
            <v>66960000</v>
          </cell>
          <cell r="CC66">
            <v>17400000</v>
          </cell>
          <cell r="CD66">
            <v>20.62588904694168</v>
          </cell>
        </row>
        <row r="67">
          <cell r="F67" t="str">
            <v>윤석원</v>
          </cell>
          <cell r="G67" t="str">
            <v>부장</v>
          </cell>
          <cell r="H67" t="str">
            <v>중급상</v>
          </cell>
          <cell r="I67" t="str">
            <v>중급기술자</v>
          </cell>
          <cell r="J67" t="str">
            <v>하도급(FTE)</v>
          </cell>
          <cell r="K67" t="str">
            <v>서버엔지니어</v>
          </cell>
          <cell r="L67"/>
          <cell r="M67" t="str">
            <v>02-829-2401</v>
          </cell>
          <cell r="N67" t="str">
            <v>010-5491-1782</v>
          </cell>
          <cell r="O67" t="str">
            <v>yoon0428@cnthoth.com</v>
          </cell>
          <cell r="P67" t="str">
            <v>800116-1</v>
          </cell>
          <cell r="Q67">
            <v>38645</v>
          </cell>
          <cell r="R67">
            <v>42233</v>
          </cell>
          <cell r="S67"/>
          <cell r="T67" t="str">
            <v>서일대학</v>
          </cell>
          <cell r="U67"/>
          <cell r="V67" t="str">
            <v>전문대졸</v>
          </cell>
          <cell r="W67" t="str">
            <v>정보처리산업기사</v>
          </cell>
          <cell r="X67" t="str">
            <v>정보처리기사</v>
          </cell>
          <cell r="Y67"/>
          <cell r="Z67">
            <v>7508</v>
          </cell>
          <cell r="AA67">
            <v>3920</v>
          </cell>
          <cell r="AB67"/>
          <cell r="AC67"/>
          <cell r="AD67" t="str">
            <v>SKT 7F_보라매</v>
          </cell>
          <cell r="AE67" t="str">
            <v>서울특별시</v>
          </cell>
          <cell r="AF67" t="str">
            <v>3. 콜센터 &amp; 금융 &amp; 기타</v>
          </cell>
          <cell r="AG67" t="str">
            <v>3. 콜센터 &amp; 금융 &amp; 기타</v>
          </cell>
          <cell r="AH67" t="str">
            <v>SK AX</v>
          </cell>
          <cell r="AI67" t="str">
            <v>SKT(보라매)</v>
          </cell>
          <cell r="AJ67" t="str">
            <v>조원석</v>
          </cell>
          <cell r="AK67" t="str">
            <v>08708</v>
          </cell>
          <cell r="AL67" t="str">
            <v>서울특별시 관악구 보라매로5길 1, 4층 SKC&amp;C (봉천동, SK텔레콤 보라매 사옥)</v>
          </cell>
          <cell r="AM67" t="str">
            <v>05064</v>
          </cell>
          <cell r="AN67" t="str">
            <v>서울특별시 광진구 자양번영로 72-7, 401호 (자양동, 해피하우스)</v>
          </cell>
          <cell r="AO67" t="str">
            <v>T Biz. Cloud팀</v>
          </cell>
          <cell r="AP67" t="str">
            <v>SKTelink 서버 운영</v>
          </cell>
          <cell r="AQ67" t="str">
            <v>Unix/Linux 서버 운영</v>
          </cell>
          <cell r="AR67" t="str">
            <v>/ Windows 서버</v>
          </cell>
          <cell r="AS67" t="str">
            <v>고객사 공통 / 2026년_인프라운영_HC12_25_1분기(4500303370-01)</v>
          </cell>
          <cell r="AT67" t="str">
            <v>통상</v>
          </cell>
          <cell r="AU67" t="str">
            <v>정직원</v>
          </cell>
          <cell r="AV67" t="str">
            <v>씨앤토트플러스㈜</v>
          </cell>
          <cell r="AW67">
            <v>6275000</v>
          </cell>
          <cell r="AX67">
            <v>6275000</v>
          </cell>
          <cell r="AY67">
            <v>12</v>
          </cell>
          <cell r="AZ67">
            <v>75300000</v>
          </cell>
          <cell r="BA67"/>
          <cell r="BB67"/>
          <cell r="BC67">
            <v>45839</v>
          </cell>
          <cell r="BD67">
            <v>48804000.000000007</v>
          </cell>
          <cell r="BE67">
            <v>50004000</v>
          </cell>
          <cell r="BF67">
            <v>50004000</v>
          </cell>
          <cell r="BG67">
            <v>4167000</v>
          </cell>
          <cell r="BH67">
            <v>3562000</v>
          </cell>
          <cell r="BI67">
            <v>18000</v>
          </cell>
          <cell r="BJ67">
            <v>209</v>
          </cell>
          <cell r="BK67">
            <v>15</v>
          </cell>
          <cell r="BL67">
            <v>0</v>
          </cell>
          <cell r="BM67">
            <v>405000</v>
          </cell>
          <cell r="BN67">
            <v>0</v>
          </cell>
          <cell r="BO67">
            <v>200000</v>
          </cell>
          <cell r="BP67">
            <v>0</v>
          </cell>
          <cell r="BQ67" t="str">
            <v>적합</v>
          </cell>
          <cell r="BR67"/>
          <cell r="BS67">
            <v>720000</v>
          </cell>
          <cell r="BT67">
            <v>4227000</v>
          </cell>
          <cell r="BU67">
            <v>2261190</v>
          </cell>
          <cell r="BV67">
            <v>1938929.9615999998</v>
          </cell>
          <cell r="BW67">
            <v>737862</v>
          </cell>
          <cell r="BX67">
            <v>314186.40000000002</v>
          </cell>
          <cell r="BY67">
            <v>5208750</v>
          </cell>
          <cell r="BZ67">
            <v>54951000</v>
          </cell>
          <cell r="CA67">
            <v>5252168.3616000004</v>
          </cell>
          <cell r="CB67">
            <v>62505000</v>
          </cell>
          <cell r="CC67">
            <v>12795000</v>
          </cell>
          <cell r="CD67">
            <v>16.992031872509962</v>
          </cell>
        </row>
        <row r="68">
          <cell r="F68" t="str">
            <v>김성수</v>
          </cell>
          <cell r="G68" t="str">
            <v>과장</v>
          </cell>
          <cell r="H68" t="str">
            <v>중급하</v>
          </cell>
          <cell r="I68" t="str">
            <v>중급기술자</v>
          </cell>
          <cell r="J68" t="str">
            <v>하도급(FTE)</v>
          </cell>
          <cell r="K68" t="str">
            <v>NOC 엔지니어</v>
          </cell>
          <cell r="L68" t="str">
            <v>추승훈 후임</v>
          </cell>
          <cell r="M68"/>
          <cell r="N68" t="str">
            <v>010-6384-9769</v>
          </cell>
          <cell r="O68" t="str">
            <v>ksstyle@cnthoth.com</v>
          </cell>
          <cell r="P68" t="str">
            <v>840226-1</v>
          </cell>
          <cell r="Q68">
            <v>42263</v>
          </cell>
          <cell r="R68">
            <v>42263</v>
          </cell>
          <cell r="S68"/>
          <cell r="T68" t="str">
            <v>명지대학교</v>
          </cell>
          <cell r="U68" t="str">
            <v>경영학과</v>
          </cell>
          <cell r="V68" t="str">
            <v>대졸</v>
          </cell>
          <cell r="W68" t="str">
            <v>정보처리기사</v>
          </cell>
          <cell r="X68" t="str">
            <v>CCNP</v>
          </cell>
          <cell r="Y68" t="str">
            <v>CCNA</v>
          </cell>
          <cell r="Z68">
            <v>3890</v>
          </cell>
          <cell r="AA68">
            <v>3890</v>
          </cell>
          <cell r="AB68"/>
          <cell r="AC68"/>
          <cell r="AD68" t="str">
            <v>판교NOC</v>
          </cell>
          <cell r="AE68" t="str">
            <v>경기도</v>
          </cell>
          <cell r="AF68" t="str">
            <v>2. Network Service</v>
          </cell>
          <cell r="AG68" t="str">
            <v>2. Network Service</v>
          </cell>
          <cell r="AH68" t="str">
            <v>SK AX</v>
          </cell>
          <cell r="AI68" t="str">
            <v>SK그룹사(공통)</v>
          </cell>
          <cell r="AJ68" t="str">
            <v>최재유</v>
          </cell>
          <cell r="AK68">
            <v>13486</v>
          </cell>
          <cell r="AL68" t="str">
            <v>경기도 성남시 분당구 판교로 255번길 46 SK C&amp;C 판교캠퍼스 A동 4층</v>
          </cell>
          <cell r="AM68" t="str">
            <v>08703</v>
          </cell>
          <cell r="AN68" t="str">
            <v>서울특별시 관악구 신사로26길 38-10, 402호 (신림동, 파크빌)</v>
          </cell>
          <cell r="AO68" t="str">
            <v>Network Service팀</v>
          </cell>
          <cell r="AP68" t="str">
            <v>SK공통 NOC 운영</v>
          </cell>
          <cell r="AQ68" t="str">
            <v>N/W 관제, 장애 조치</v>
          </cell>
          <cell r="AS68" t="str">
            <v>고객사 공통 / 2026년_인프라운영_HC11_1분기(4500303149-01)</v>
          </cell>
          <cell r="AT68" t="str">
            <v>스케줄</v>
          </cell>
          <cell r="AU68" t="str">
            <v>정직원</v>
          </cell>
          <cell r="AV68" t="str">
            <v>씨앤토트플러스㈜</v>
          </cell>
          <cell r="AW68">
            <v>5844000</v>
          </cell>
          <cell r="AX68">
            <v>5844000</v>
          </cell>
          <cell r="AY68">
            <v>12</v>
          </cell>
          <cell r="AZ68">
            <v>70128000</v>
          </cell>
          <cell r="BA68"/>
          <cell r="BB68"/>
          <cell r="BC68">
            <v>45839</v>
          </cell>
          <cell r="BD68">
            <v>42733200</v>
          </cell>
          <cell r="BE68">
            <v>43837200</v>
          </cell>
          <cell r="BF68">
            <v>43837200</v>
          </cell>
          <cell r="BG68">
            <v>3653100</v>
          </cell>
          <cell r="BH68">
            <v>2951800</v>
          </cell>
          <cell r="BI68">
            <v>16479.14</v>
          </cell>
          <cell r="BJ68">
            <v>191.26</v>
          </cell>
          <cell r="BK68">
            <v>27.88</v>
          </cell>
          <cell r="BL68">
            <v>32.950000000000003</v>
          </cell>
          <cell r="BM68">
            <v>229800</v>
          </cell>
          <cell r="BN68">
            <v>271500</v>
          </cell>
          <cell r="BO68">
            <v>200000</v>
          </cell>
          <cell r="BP68">
            <v>948039</v>
          </cell>
          <cell r="BQ68" t="str">
            <v>적합</v>
          </cell>
          <cell r="BR68">
            <v>250000</v>
          </cell>
          <cell r="BS68">
            <v>1647914</v>
          </cell>
          <cell r="BT68">
            <v>3790426.1666666665</v>
          </cell>
          <cell r="BU68">
            <v>1968267</v>
          </cell>
          <cell r="BV68">
            <v>1687753.7308799999</v>
          </cell>
          <cell r="BW68">
            <v>642276.6</v>
          </cell>
          <cell r="BX68">
            <v>273485.52</v>
          </cell>
          <cell r="BY68">
            <v>4566375</v>
          </cell>
          <cell r="BZ68">
            <v>49275540.166666664</v>
          </cell>
          <cell r="CA68">
            <v>4571782.8508799989</v>
          </cell>
          <cell r="CB68">
            <v>54796500</v>
          </cell>
          <cell r="CC68">
            <v>14184372.810000001</v>
          </cell>
          <cell r="CD68">
            <v>20.226404303559207</v>
          </cell>
        </row>
        <row r="69">
          <cell r="F69" t="str">
            <v>인장환</v>
          </cell>
          <cell r="G69" t="str">
            <v>부장</v>
          </cell>
          <cell r="H69" t="str">
            <v>고급상</v>
          </cell>
          <cell r="I69" t="str">
            <v>고급기술자</v>
          </cell>
          <cell r="J69" t="str">
            <v>하도급(M/M)</v>
          </cell>
          <cell r="K69" t="str">
            <v>M/W 엔지니어</v>
          </cell>
          <cell r="L69" t="str">
            <v>2015_신규</v>
          </cell>
          <cell r="M69" t="str">
            <v>02-6266-7479</v>
          </cell>
          <cell r="N69" t="str">
            <v>010-8648-7464</v>
          </cell>
          <cell r="O69" t="str">
            <v>princein@cnthoth.com</v>
          </cell>
          <cell r="P69" t="str">
            <v>750510-1</v>
          </cell>
          <cell r="Q69">
            <v>36861</v>
          </cell>
          <cell r="R69">
            <v>42370</v>
          </cell>
          <cell r="S69"/>
          <cell r="T69" t="str">
            <v>원광대학교</v>
          </cell>
          <cell r="U69" t="str">
            <v>컴퓨터공학과</v>
          </cell>
          <cell r="V69" t="str">
            <v>대졸</v>
          </cell>
          <cell r="W69" t="str">
            <v>Oracle Weblogic Server 10g</v>
          </cell>
          <cell r="X69"/>
          <cell r="Y69"/>
          <cell r="Z69">
            <v>9292</v>
          </cell>
          <cell r="AA69">
            <v>3783</v>
          </cell>
          <cell r="AB69"/>
          <cell r="AC69"/>
          <cell r="AD69" t="str">
            <v>SKB 7층_동작</v>
          </cell>
          <cell r="AE69" t="str">
            <v>서울특별시</v>
          </cell>
          <cell r="AF69" t="str">
            <v>4. SKB/SK하이닉스 Infra 운영</v>
          </cell>
          <cell r="AG69" t="str">
            <v>4. SKB/SK하이닉스 Infra 운영</v>
          </cell>
          <cell r="AH69" t="str">
            <v>SK AX</v>
          </cell>
          <cell r="AI69" t="str">
            <v>SKB(동작)</v>
          </cell>
          <cell r="AJ69" t="str">
            <v>박규성</v>
          </cell>
          <cell r="AK69" t="str">
            <v>07063</v>
          </cell>
          <cell r="AL69" t="str">
            <v>서울시 동작구 여의대방로 74 (신대방동) SK브로드밴드 7층</v>
          </cell>
          <cell r="AM69">
            <v>10321</v>
          </cell>
          <cell r="AN69" t="str">
            <v>경기도 고양시 일산 동구 위시티4로 80, 111동 701호 (식사동, 일산자이1단지아파트)</v>
          </cell>
          <cell r="AO69" t="str">
            <v>ICT Cloud팀</v>
          </cell>
          <cell r="AP69" t="str">
            <v>SKB 서버 운영</v>
          </cell>
          <cell r="AQ69" t="str">
            <v>WAS 운영</v>
          </cell>
          <cell r="AR69" t="str">
            <v>/ Linux 서버 운영</v>
          </cell>
          <cell r="AS69" t="str">
            <v>에스케이브로드밴드(주) / SKB 26년 IT장비 및 소프트웨어 유지보수_1분기(4500302989-01)</v>
          </cell>
          <cell r="AT69" t="str">
            <v>통상</v>
          </cell>
          <cell r="AU69" t="str">
            <v>정직원</v>
          </cell>
          <cell r="AV69" t="str">
            <v>씨앤토트플러스㈜</v>
          </cell>
          <cell r="AW69">
            <v>7186000</v>
          </cell>
          <cell r="AX69">
            <v>7186000</v>
          </cell>
          <cell r="AY69">
            <v>12</v>
          </cell>
          <cell r="AZ69">
            <v>86232000</v>
          </cell>
          <cell r="BA69"/>
          <cell r="BB69"/>
          <cell r="BC69">
            <v>45839</v>
          </cell>
          <cell r="BD69">
            <v>60984000</v>
          </cell>
          <cell r="BE69">
            <v>62328000</v>
          </cell>
          <cell r="BF69">
            <v>62328000</v>
          </cell>
          <cell r="BG69">
            <v>5194000</v>
          </cell>
          <cell r="BH69">
            <v>4489100</v>
          </cell>
          <cell r="BI69">
            <v>22435.89</v>
          </cell>
          <cell r="BJ69">
            <v>209</v>
          </cell>
          <cell r="BK69">
            <v>15</v>
          </cell>
          <cell r="BL69">
            <v>0</v>
          </cell>
          <cell r="BM69">
            <v>504900</v>
          </cell>
          <cell r="BN69">
            <v>0</v>
          </cell>
          <cell r="BO69">
            <v>200000</v>
          </cell>
          <cell r="BP69">
            <v>0</v>
          </cell>
          <cell r="BQ69" t="str">
            <v>적합</v>
          </cell>
          <cell r="BR69"/>
          <cell r="BS69">
            <v>897435.6</v>
          </cell>
          <cell r="BT69">
            <v>5268786.3</v>
          </cell>
          <cell r="BU69">
            <v>2846580</v>
          </cell>
          <cell r="BV69">
            <v>2440891.4112</v>
          </cell>
          <cell r="BW69">
            <v>928884</v>
          </cell>
          <cell r="BX69">
            <v>395524.8</v>
          </cell>
          <cell r="BY69">
            <v>6492500</v>
          </cell>
          <cell r="BZ69">
            <v>68494221.900000006</v>
          </cell>
          <cell r="CA69">
            <v>6611880.2111999998</v>
          </cell>
          <cell r="CB69">
            <v>77910000</v>
          </cell>
          <cell r="CC69">
            <v>8322000</v>
          </cell>
          <cell r="CD69">
            <v>9.6507097133314783</v>
          </cell>
        </row>
        <row r="70">
          <cell r="F70" t="str">
            <v>박장환</v>
          </cell>
          <cell r="G70" t="str">
            <v>과장</v>
          </cell>
          <cell r="H70" t="str">
            <v>중급하</v>
          </cell>
          <cell r="I70" t="str">
            <v>중급기술자</v>
          </cell>
          <cell r="J70" t="str">
            <v>하도급(M/M)</v>
          </cell>
          <cell r="K70" t="str">
            <v>DBA</v>
          </cell>
          <cell r="L70" t="str">
            <v>2016_신규</v>
          </cell>
          <cell r="M70" t="str">
            <v>02-6266-6032</v>
          </cell>
          <cell r="N70" t="str">
            <v>010-6391-1661</v>
          </cell>
          <cell r="O70" t="str">
            <v>oraclever@cnthoth.com</v>
          </cell>
          <cell r="P70" t="str">
            <v>860310-1</v>
          </cell>
          <cell r="Q70">
            <v>41183</v>
          </cell>
          <cell r="R70">
            <v>42387</v>
          </cell>
          <cell r="S70"/>
          <cell r="T70" t="str">
            <v>가천대학교</v>
          </cell>
          <cell r="U70" t="str">
            <v>컴퓨터미디어</v>
          </cell>
          <cell r="V70" t="str">
            <v>대졸</v>
          </cell>
          <cell r="W70" t="str">
            <v>OCP 11g</v>
          </cell>
          <cell r="X70" t="str">
            <v>OCP10g</v>
          </cell>
          <cell r="Z70">
            <v>4970</v>
          </cell>
          <cell r="AA70">
            <v>3766</v>
          </cell>
          <cell r="AB70"/>
          <cell r="AC70"/>
          <cell r="AD70" t="str">
            <v>SKB 7층_동작</v>
          </cell>
          <cell r="AE70" t="str">
            <v>서울특별시</v>
          </cell>
          <cell r="AF70" t="str">
            <v>4. SKB/SK하이닉스 Infra 운영</v>
          </cell>
          <cell r="AG70" t="str">
            <v>4. SKB/SK하이닉스 Infra 운영</v>
          </cell>
          <cell r="AH70" t="str">
            <v>SK AX</v>
          </cell>
          <cell r="AI70" t="str">
            <v>SKB(동작)</v>
          </cell>
          <cell r="AJ70" t="str">
            <v>박규성</v>
          </cell>
          <cell r="AK70" t="str">
            <v>07063</v>
          </cell>
          <cell r="AL70" t="str">
            <v>서울시 동작구 여의대방로 74 (신대방동) SK브로드밴드 7층</v>
          </cell>
          <cell r="AM70" t="str">
            <v>08788</v>
          </cell>
          <cell r="AN70" t="str">
            <v>서울특별시 관악구 남부순환로228길 28, 401호 (봉천동)</v>
          </cell>
          <cell r="AO70" t="str">
            <v>ICT Cloud팀</v>
          </cell>
          <cell r="AP70" t="str">
            <v>DB 운영</v>
          </cell>
          <cell r="AQ70" t="str">
            <v>DB 운영</v>
          </cell>
          <cell r="AR70" t="str">
            <v>/ Oracle</v>
          </cell>
          <cell r="AS70" t="str">
            <v>에스케이브로드밴드(주) / SKB 26년 IT장비 및 소프트웨어 유지보수_1분기(4500302989-01)</v>
          </cell>
          <cell r="AT70" t="str">
            <v>통상</v>
          </cell>
          <cell r="AU70" t="str">
            <v>정직원</v>
          </cell>
          <cell r="AV70" t="str">
            <v>씨앤토트플러스㈜</v>
          </cell>
          <cell r="AW70">
            <v>5699000</v>
          </cell>
          <cell r="AX70">
            <v>5699000</v>
          </cell>
          <cell r="AY70">
            <v>12</v>
          </cell>
          <cell r="AZ70">
            <v>68388000</v>
          </cell>
          <cell r="BA70"/>
          <cell r="BB70"/>
          <cell r="BC70">
            <v>45839</v>
          </cell>
          <cell r="BD70">
            <v>43500000</v>
          </cell>
          <cell r="BE70">
            <v>44568000</v>
          </cell>
          <cell r="BF70">
            <v>44568000</v>
          </cell>
          <cell r="BG70">
            <v>3714000</v>
          </cell>
          <cell r="BH70">
            <v>3153000</v>
          </cell>
          <cell r="BI70">
            <v>16043.06</v>
          </cell>
          <cell r="BJ70">
            <v>209</v>
          </cell>
          <cell r="BK70">
            <v>15</v>
          </cell>
          <cell r="BL70">
            <v>0</v>
          </cell>
          <cell r="BM70">
            <v>361000</v>
          </cell>
          <cell r="BN70">
            <v>0</v>
          </cell>
          <cell r="BO70">
            <v>200000</v>
          </cell>
          <cell r="BP70">
            <v>0</v>
          </cell>
          <cell r="BQ70" t="str">
            <v>적합</v>
          </cell>
          <cell r="BR70"/>
          <cell r="BS70">
            <v>641722.4</v>
          </cell>
          <cell r="BT70">
            <v>3767476.8666666667</v>
          </cell>
          <cell r="BU70">
            <v>2002980</v>
          </cell>
          <cell r="BV70">
            <v>1717519.5071999999</v>
          </cell>
          <cell r="BW70">
            <v>653604</v>
          </cell>
          <cell r="BX70">
            <v>278308.8</v>
          </cell>
          <cell r="BY70">
            <v>4642500</v>
          </cell>
          <cell r="BZ70">
            <v>48977199.266666666</v>
          </cell>
          <cell r="CA70">
            <v>4652412.3071999997</v>
          </cell>
          <cell r="CB70">
            <v>55710000</v>
          </cell>
          <cell r="CC70">
            <v>12678000</v>
          </cell>
          <cell r="CD70">
            <v>18.538340059659589</v>
          </cell>
        </row>
        <row r="71">
          <cell r="F71" t="str">
            <v>한재호</v>
          </cell>
          <cell r="G71" t="str">
            <v>과장</v>
          </cell>
          <cell r="H71" t="str">
            <v>초급하</v>
          </cell>
          <cell r="I71" t="str">
            <v>초급기술자</v>
          </cell>
          <cell r="J71" t="str">
            <v>하도급(M/M)</v>
          </cell>
          <cell r="K71" t="str">
            <v>인프라 운영지원 엔지니어</v>
          </cell>
          <cell r="L71" t="str">
            <v>2023_신규</v>
          </cell>
          <cell r="M71" t="str">
            <v>043-280-5802</v>
          </cell>
          <cell r="N71" t="str">
            <v>010-9934-0497</v>
          </cell>
          <cell r="O71" t="str">
            <v>hjmhim@cnthoth.com</v>
          </cell>
          <cell r="P71" t="str">
            <v>910204-1</v>
          </cell>
          <cell r="Q71">
            <v>42419</v>
          </cell>
          <cell r="R71">
            <v>42419</v>
          </cell>
          <cell r="S71"/>
          <cell r="T71" t="str">
            <v>주성대학</v>
          </cell>
          <cell r="U71" t="str">
            <v>반도체전자과</v>
          </cell>
          <cell r="V71" t="str">
            <v>전문대졸</v>
          </cell>
          <cell r="W71"/>
          <cell r="X71"/>
          <cell r="Y71"/>
          <cell r="Z71">
            <v>3734</v>
          </cell>
          <cell r="AA71">
            <v>3734</v>
          </cell>
          <cell r="AB71"/>
          <cell r="AC71"/>
          <cell r="AD71" t="str">
            <v>청주HN_OP_주간</v>
          </cell>
          <cell r="AE71" t="str">
            <v>경기도외</v>
          </cell>
          <cell r="AF71" t="str">
            <v>4. SKB/SK하이닉스 Infra 운영</v>
          </cell>
          <cell r="AG71" t="str">
            <v>4. SKB/SK하이닉스 Infra 운영</v>
          </cell>
          <cell r="AH71" t="str">
            <v>SK AX</v>
          </cell>
          <cell r="AI71" t="str">
            <v>SK하이닉스(청주)</v>
          </cell>
          <cell r="AJ71" t="str">
            <v>곽경석</v>
          </cell>
          <cell r="AK71" t="str">
            <v>28436</v>
          </cell>
          <cell r="AL71" t="str">
            <v>충청북도 청주시 흥덕구 직지대로 337 (향정동) , SKHDC4 (M11 3F)</v>
          </cell>
          <cell r="AM71" t="str">
            <v>28780</v>
          </cell>
          <cell r="AN71" t="str">
            <v>충청북도 청주시 상당구 월평로 243, 101동 1014호 (용암동, 부영1차아파트)</v>
          </cell>
          <cell r="AO71" t="str">
            <v>Hynix Cloud팀</v>
          </cell>
          <cell r="AP71" t="str">
            <v>청주 DC 운영</v>
          </cell>
          <cell r="AQ71" t="str">
            <v>인프라 운영 지원</v>
          </cell>
          <cell r="AR71"/>
          <cell r="AS71" t="str">
            <v>에스케이하이닉스(주) / SKHy '26년 ITO_데이타관제_1분기(4500303464-01)</v>
          </cell>
          <cell r="AT71" t="str">
            <v>통상</v>
          </cell>
          <cell r="AU71" t="str">
            <v>정직원</v>
          </cell>
          <cell r="AV71" t="str">
            <v>씨앤토트플러스㈜</v>
          </cell>
          <cell r="AW71">
            <v>4179000</v>
          </cell>
          <cell r="AX71">
            <v>4179000</v>
          </cell>
          <cell r="AY71">
            <v>12</v>
          </cell>
          <cell r="AZ71">
            <v>50148000</v>
          </cell>
          <cell r="BA71"/>
          <cell r="BB71"/>
          <cell r="BC71">
            <v>45839</v>
          </cell>
          <cell r="BD71">
            <v>33360000</v>
          </cell>
          <cell r="BE71">
            <v>34200000</v>
          </cell>
          <cell r="BF71">
            <v>34200000</v>
          </cell>
          <cell r="BG71">
            <v>2850000</v>
          </cell>
          <cell r="BH71">
            <v>2373000</v>
          </cell>
          <cell r="BI71">
            <v>12311</v>
          </cell>
          <cell r="BJ71">
            <v>209</v>
          </cell>
          <cell r="BK71">
            <v>15</v>
          </cell>
          <cell r="BL71">
            <v>0</v>
          </cell>
          <cell r="BM71">
            <v>277000</v>
          </cell>
          <cell r="BN71">
            <v>0</v>
          </cell>
          <cell r="BO71">
            <v>200000</v>
          </cell>
          <cell r="BP71">
            <v>0</v>
          </cell>
          <cell r="BQ71" t="str">
            <v>적합</v>
          </cell>
          <cell r="BR71"/>
          <cell r="BS71">
            <v>492440</v>
          </cell>
          <cell r="BT71">
            <v>2891036.6666666665</v>
          </cell>
          <cell r="BU71">
            <v>1510500</v>
          </cell>
          <cell r="BV71">
            <v>1295226.72</v>
          </cell>
          <cell r="BW71">
            <v>492900</v>
          </cell>
          <cell r="BX71">
            <v>209880</v>
          </cell>
          <cell r="BY71">
            <v>3562500</v>
          </cell>
          <cell r="BZ71">
            <v>37583476.666666664</v>
          </cell>
          <cell r="CA71">
            <v>3508506.7199999997</v>
          </cell>
          <cell r="CB71">
            <v>42750000</v>
          </cell>
          <cell r="CC71">
            <v>7398000</v>
          </cell>
          <cell r="CD71">
            <v>14.752333094041637</v>
          </cell>
        </row>
        <row r="72">
          <cell r="F72" t="str">
            <v>허영</v>
          </cell>
          <cell r="G72" t="str">
            <v>과장</v>
          </cell>
          <cell r="H72" t="str">
            <v>초급상</v>
          </cell>
          <cell r="I72" t="str">
            <v>초급기술자</v>
          </cell>
          <cell r="J72" t="str">
            <v>하도급(FTE)</v>
          </cell>
          <cell r="K72" t="str">
            <v>M/W 엔지니어</v>
          </cell>
          <cell r="L72" t="str">
            <v>2016_신규</v>
          </cell>
          <cell r="M72"/>
          <cell r="N72" t="str">
            <v>010-3344-3944</v>
          </cell>
          <cell r="O72" t="str">
            <v>her0ja@cnthoth.com</v>
          </cell>
          <cell r="P72" t="str">
            <v>851228-1</v>
          </cell>
          <cell r="Q72">
            <v>41244</v>
          </cell>
          <cell r="R72">
            <v>42522</v>
          </cell>
          <cell r="S72"/>
          <cell r="T72" t="str">
            <v>백석대학교</v>
          </cell>
          <cell r="U72" t="str">
            <v>소프트웨어공학과</v>
          </cell>
          <cell r="V72" t="str">
            <v>대졸</v>
          </cell>
          <cell r="W72" t="str">
            <v>컴퓨터활용능력1급</v>
          </cell>
          <cell r="X72" t="str">
            <v>워드프로세서1급</v>
          </cell>
          <cell r="Y72" t="str">
            <v>인터넷정보검색사1급</v>
          </cell>
          <cell r="Z72">
            <v>4909</v>
          </cell>
          <cell r="AA72">
            <v>3631</v>
          </cell>
          <cell r="AB72"/>
          <cell r="AC72"/>
          <cell r="AD72" t="str">
            <v>SK㈜ U타워_정자</v>
          </cell>
          <cell r="AE72" t="str">
            <v>경기도</v>
          </cell>
          <cell r="AF72" t="str">
            <v>1. Infra 운영</v>
          </cell>
          <cell r="AG72" t="str">
            <v>1. Infra 운영</v>
          </cell>
          <cell r="AH72" t="str">
            <v>SK AX</v>
          </cell>
          <cell r="AI72" t="str">
            <v>SK그룹사(공통)</v>
          </cell>
          <cell r="AJ72" t="str">
            <v>김홍범</v>
          </cell>
          <cell r="AK72">
            <v>13558</v>
          </cell>
          <cell r="AL72" t="str">
            <v>경기도 성남시 분당구 성남대로 343번길 9 SK U타워 6층</v>
          </cell>
          <cell r="AM72" t="str">
            <v>18473</v>
          </cell>
          <cell r="AN72" t="str">
            <v>경기도 화성시 동탄대로24길 199, 487동 203호(영천동, 동탄 에듀밸리 사랑으로 부영아파트)</v>
          </cell>
          <cell r="AO72" t="str">
            <v>제조/환경Cloud팀 </v>
          </cell>
          <cell r="AP72" t="str">
            <v>Middleware 운영</v>
          </cell>
          <cell r="AQ72" t="str">
            <v>WAS 운영</v>
          </cell>
          <cell r="AR72"/>
          <cell r="AS72" t="str">
            <v>고객사 공통 / 2026년_인프라운영_HC22_01_1분기 (4500303129-01)</v>
          </cell>
          <cell r="AT72" t="str">
            <v>통상</v>
          </cell>
          <cell r="AU72" t="str">
            <v>정직원</v>
          </cell>
          <cell r="AV72" t="str">
            <v>씨앤토트플러스㈜</v>
          </cell>
          <cell r="AW72">
            <v>4746000</v>
          </cell>
          <cell r="AX72">
            <v>4746000</v>
          </cell>
          <cell r="AY72">
            <v>12</v>
          </cell>
          <cell r="AZ72">
            <v>56952000</v>
          </cell>
          <cell r="BA72"/>
          <cell r="BB72"/>
          <cell r="BC72">
            <v>45839</v>
          </cell>
          <cell r="BD72">
            <v>40008000.000000007</v>
          </cell>
          <cell r="BE72">
            <v>40908000</v>
          </cell>
          <cell r="BF72">
            <v>40908000</v>
          </cell>
          <cell r="BG72">
            <v>3409000</v>
          </cell>
          <cell r="BH72">
            <v>2877600</v>
          </cell>
          <cell r="BI72">
            <v>14725.36</v>
          </cell>
          <cell r="BJ72">
            <v>209</v>
          </cell>
          <cell r="BK72">
            <v>15</v>
          </cell>
          <cell r="BL72">
            <v>0</v>
          </cell>
          <cell r="BM72">
            <v>331400</v>
          </cell>
          <cell r="BN72">
            <v>0</v>
          </cell>
          <cell r="BO72">
            <v>200000</v>
          </cell>
          <cell r="BP72">
            <v>0</v>
          </cell>
          <cell r="BQ72" t="str">
            <v>적합</v>
          </cell>
          <cell r="BR72"/>
          <cell r="BS72">
            <v>589014.4</v>
          </cell>
          <cell r="BT72">
            <v>3458084.5333333332</v>
          </cell>
          <cell r="BU72">
            <v>1829130</v>
          </cell>
          <cell r="BV72">
            <v>1568446.2431999999</v>
          </cell>
          <cell r="BW72">
            <v>596874</v>
          </cell>
          <cell r="BX72">
            <v>254152.8</v>
          </cell>
          <cell r="BY72">
            <v>4261250</v>
          </cell>
          <cell r="BZ72">
            <v>44955098.93333333</v>
          </cell>
          <cell r="CA72">
            <v>4248603.0432000002</v>
          </cell>
          <cell r="CB72">
            <v>51135000</v>
          </cell>
          <cell r="CC72">
            <v>5817000</v>
          </cell>
          <cell r="CD72">
            <v>10.213864306784661</v>
          </cell>
        </row>
        <row r="73">
          <cell r="F73" t="str">
            <v>김효기</v>
          </cell>
          <cell r="G73" t="str">
            <v>대리</v>
          </cell>
          <cell r="H73" t="str">
            <v>초급하</v>
          </cell>
          <cell r="I73" t="str">
            <v>초급기술자</v>
          </cell>
          <cell r="J73" t="str">
            <v>하도급(M/M)</v>
          </cell>
          <cell r="K73" t="str">
            <v>IT 인프라 현장대응 엔지니어</v>
          </cell>
          <cell r="L73" t="str">
            <v>이은서 후임</v>
          </cell>
          <cell r="M73" t="str">
            <v xml:space="preserve">031-630-3384 </v>
          </cell>
          <cell r="N73" t="str">
            <v>010-3287-9984</v>
          </cell>
          <cell r="O73" t="str">
            <v>gooy12@cnthoth.com</v>
          </cell>
          <cell r="P73" t="str">
            <v>931027-1</v>
          </cell>
          <cell r="Q73">
            <v>42633</v>
          </cell>
          <cell r="R73">
            <v>42633</v>
          </cell>
          <cell r="S73"/>
          <cell r="T73" t="str">
            <v>곤지암고등학교</v>
          </cell>
          <cell r="U73" t="str">
            <v>컴퓨터정보</v>
          </cell>
          <cell r="V73" t="str">
            <v>고졸</v>
          </cell>
          <cell r="W73" t="str">
            <v>네트워크관리사2급</v>
          </cell>
          <cell r="X73"/>
          <cell r="Y73"/>
          <cell r="Z73">
            <v>3520</v>
          </cell>
          <cell r="AA73">
            <v>3520</v>
          </cell>
          <cell r="AB73"/>
          <cell r="AC73"/>
          <cell r="AD73" t="str">
            <v>이천HN_대응</v>
          </cell>
          <cell r="AE73" t="str">
            <v>경기도</v>
          </cell>
          <cell r="AF73" t="str">
            <v>4. SKB/SK하이닉스 Infra 운영</v>
          </cell>
          <cell r="AG73" t="str">
            <v>4. SKB/SK하이닉스 Infra 운영</v>
          </cell>
          <cell r="AH73" t="str">
            <v>SK AX</v>
          </cell>
          <cell r="AI73" t="str">
            <v>SK하이닉스(이천)</v>
          </cell>
          <cell r="AJ73" t="str">
            <v>임봉영</v>
          </cell>
          <cell r="AK73" t="str">
            <v>17336</v>
          </cell>
          <cell r="AL73" t="str">
            <v xml:space="preserve">경기도 이천시 부발읍 경충대로 2091, SK하이닉스 기술지원센터 2층 SKHDC2 </v>
          </cell>
          <cell r="AM73">
            <v>12813</v>
          </cell>
          <cell r="AN73" t="str">
            <v>경기도 광주시 곤지암읍 신만로 69</v>
          </cell>
          <cell r="AO73" t="str">
            <v>Hynix Cloud팀</v>
          </cell>
          <cell r="AP73" t="str">
            <v>인프라 장애 긴급 대응</v>
          </cell>
          <cell r="AQ73" t="str">
            <v>인프라 장비 장애 발생시 현장대응</v>
          </cell>
          <cell r="AR73"/>
          <cell r="AS73" t="str">
            <v>에스케이하이닉스(주) / SKHy '26년 ITO_데이타관제_1분기(4500303464-01)</v>
          </cell>
          <cell r="AT73" t="str">
            <v>스케줄</v>
          </cell>
          <cell r="AU73" t="str">
            <v>정직원</v>
          </cell>
          <cell r="AV73" t="str">
            <v>씨앤토트플러스㈜</v>
          </cell>
          <cell r="AW73">
            <v>5151000</v>
          </cell>
          <cell r="AX73">
            <v>5151000</v>
          </cell>
          <cell r="AY73">
            <v>12</v>
          </cell>
          <cell r="AZ73">
            <v>61812000</v>
          </cell>
          <cell r="BA73"/>
          <cell r="BB73"/>
          <cell r="BC73">
            <v>45839</v>
          </cell>
          <cell r="BD73">
            <v>33720960</v>
          </cell>
          <cell r="BE73">
            <v>34801200</v>
          </cell>
          <cell r="BF73">
            <v>34801200</v>
          </cell>
          <cell r="BG73">
            <v>2900100</v>
          </cell>
          <cell r="BH73">
            <v>2075400</v>
          </cell>
          <cell r="BI73">
            <v>14556.04</v>
          </cell>
          <cell r="BJ73">
            <v>156.32000000000002</v>
          </cell>
          <cell r="BK73">
            <v>36.39</v>
          </cell>
          <cell r="BL73">
            <v>49.43</v>
          </cell>
          <cell r="BM73">
            <v>264900</v>
          </cell>
          <cell r="BN73">
            <v>359800</v>
          </cell>
          <cell r="BO73">
            <v>200000</v>
          </cell>
          <cell r="BP73">
            <v>2740175</v>
          </cell>
          <cell r="BQ73" t="str">
            <v>적합</v>
          </cell>
          <cell r="BR73"/>
          <cell r="BS73">
            <v>1455604</v>
          </cell>
          <cell r="BT73">
            <v>3021400.3333333335</v>
          </cell>
          <cell r="BU73">
            <v>1539057</v>
          </cell>
          <cell r="BV73">
            <v>1319713.8364800001</v>
          </cell>
          <cell r="BW73">
            <v>502218.6</v>
          </cell>
          <cell r="BX73">
            <v>213847.92</v>
          </cell>
          <cell r="BY73">
            <v>3625125</v>
          </cell>
          <cell r="BZ73">
            <v>39278204.333333336</v>
          </cell>
          <cell r="CA73">
            <v>3574837.3564800001</v>
          </cell>
          <cell r="CB73">
            <v>43501500</v>
          </cell>
          <cell r="CC73">
            <v>14994888.25</v>
          </cell>
          <cell r="CD73">
            <v>24.258862761276127</v>
          </cell>
        </row>
        <row r="74">
          <cell r="F74" t="str">
            <v>심민석</v>
          </cell>
          <cell r="G74" t="str">
            <v>과장</v>
          </cell>
          <cell r="H74" t="str">
            <v>초급상</v>
          </cell>
          <cell r="I74" t="str">
            <v>초급기술자</v>
          </cell>
          <cell r="J74" t="str">
            <v>하도급(M/M)</v>
          </cell>
          <cell r="K74" t="str">
            <v>네트워크보안엔지니어</v>
          </cell>
          <cell r="L74" t="str">
            <v>민영돈 후임</v>
          </cell>
          <cell r="M74"/>
          <cell r="N74" t="str">
            <v>010-5077-0417</v>
          </cell>
          <cell r="O74" t="str">
            <v>syslog417@cnthoth.com</v>
          </cell>
          <cell r="P74" t="str">
            <v>890103-1</v>
          </cell>
          <cell r="Q74">
            <v>42647</v>
          </cell>
          <cell r="R74">
            <v>42647</v>
          </cell>
          <cell r="S74"/>
          <cell r="T74" t="str">
            <v>학점은행제</v>
          </cell>
          <cell r="U74" t="str">
            <v>컴퓨터공학과</v>
          </cell>
          <cell r="V74" t="str">
            <v>대졸</v>
          </cell>
          <cell r="W74" t="str">
            <v>리눅스마스터2급</v>
          </cell>
          <cell r="X74" t="str">
            <v>네트워크관리사2급</v>
          </cell>
          <cell r="Y74" t="str">
            <v>AutoCAD2급</v>
          </cell>
          <cell r="Z74">
            <v>3506</v>
          </cell>
          <cell r="AA74">
            <v>3506</v>
          </cell>
          <cell r="AB74"/>
          <cell r="AC74"/>
          <cell r="AD74" t="str">
            <v>SKT_수내</v>
          </cell>
          <cell r="AE74" t="str">
            <v>경기도</v>
          </cell>
          <cell r="AF74" t="str">
            <v>1. Infra 운영</v>
          </cell>
          <cell r="AG74" t="str">
            <v>1. Infra 운영</v>
          </cell>
          <cell r="AH74" t="str">
            <v>SK AX</v>
          </cell>
          <cell r="AI74" t="str">
            <v>SKT(수내)</v>
          </cell>
          <cell r="AJ74" t="str">
            <v>명승일</v>
          </cell>
          <cell r="AK74">
            <v>13595</v>
          </cell>
          <cell r="AL74" t="str">
            <v xml:space="preserve">경기도 분당구 황새울로 258번길 6 SKT </v>
          </cell>
          <cell r="AM74" t="str">
            <v>12788</v>
          </cell>
          <cell r="AN74" t="str">
            <v>경기도 광주시 태성1로 16, 108동 2204호 (고산동, 더샵오포센트럴포레)</v>
          </cell>
          <cell r="AO74" t="str">
            <v>보안사업개발팀</v>
          </cell>
          <cell r="AP74" t="str">
            <v>SKT N/W 보안 운영</v>
          </cell>
          <cell r="AQ74" t="str">
            <v>N/W 보안 운영</v>
          </cell>
          <cell r="AR74"/>
          <cell r="AS74" t="str">
            <v>에스케이텔레콤(주)  SKT 25년 SDN 보안장비 기술지원 용역_1분기(4500304018-01)</v>
          </cell>
          <cell r="AT74" t="str">
            <v>통상</v>
          </cell>
          <cell r="AU74" t="str">
            <v>정직원</v>
          </cell>
          <cell r="AV74" t="str">
            <v>씨앤토트플러스㈜</v>
          </cell>
          <cell r="AW74">
            <v>4676000</v>
          </cell>
          <cell r="AX74">
            <v>4676000</v>
          </cell>
          <cell r="AY74">
            <v>12</v>
          </cell>
          <cell r="AZ74">
            <v>56112000</v>
          </cell>
          <cell r="BA74"/>
          <cell r="BB74"/>
          <cell r="BC74">
            <v>45839</v>
          </cell>
          <cell r="BD74">
            <v>39408000</v>
          </cell>
          <cell r="BE74">
            <v>40608000</v>
          </cell>
          <cell r="BF74">
            <v>40608000</v>
          </cell>
          <cell r="BG74">
            <v>3384000</v>
          </cell>
          <cell r="BH74">
            <v>2855100</v>
          </cell>
          <cell r="BI74">
            <v>14617.7</v>
          </cell>
          <cell r="BJ74">
            <v>209</v>
          </cell>
          <cell r="BK74">
            <v>15</v>
          </cell>
          <cell r="BL74">
            <v>0</v>
          </cell>
          <cell r="BM74">
            <v>328900</v>
          </cell>
          <cell r="BN74">
            <v>0</v>
          </cell>
          <cell r="BO74">
            <v>200000</v>
          </cell>
          <cell r="BP74">
            <v>0</v>
          </cell>
          <cell r="BQ74" t="str">
            <v>적합</v>
          </cell>
          <cell r="BR74"/>
          <cell r="BS74">
            <v>584708</v>
          </cell>
          <cell r="BT74">
            <v>3432725.6666666665</v>
          </cell>
          <cell r="BU74">
            <v>1814880</v>
          </cell>
          <cell r="BV74">
            <v>1556227.1232</v>
          </cell>
          <cell r="BW74">
            <v>592224</v>
          </cell>
          <cell r="BX74">
            <v>252172.79999999999</v>
          </cell>
          <cell r="BY74">
            <v>4230000</v>
          </cell>
          <cell r="BZ74">
            <v>44625433.666666664</v>
          </cell>
          <cell r="CA74">
            <v>4215503.9232000001</v>
          </cell>
          <cell r="CB74">
            <v>50760000</v>
          </cell>
          <cell r="CC74">
            <v>5352000</v>
          </cell>
          <cell r="CD74">
            <v>9.5380667236954668</v>
          </cell>
        </row>
        <row r="75">
          <cell r="F75" t="str">
            <v>김길배</v>
          </cell>
          <cell r="G75" t="str">
            <v>차장</v>
          </cell>
          <cell r="H75" t="str">
            <v>초급상</v>
          </cell>
          <cell r="I75" t="str">
            <v>초급기술자</v>
          </cell>
          <cell r="J75" t="str">
            <v>하도급(FTE)</v>
          </cell>
          <cell r="K75" t="str">
            <v>DBA</v>
          </cell>
          <cell r="L75" t="str">
            <v>선승필 후임</v>
          </cell>
          <cell r="M75"/>
          <cell r="N75" t="str">
            <v>010-8927-2899</v>
          </cell>
          <cell r="O75" t="str">
            <v>yukikaze24@cnthoth.com</v>
          </cell>
          <cell r="P75" t="str">
            <v>811207-1</v>
          </cell>
          <cell r="Q75">
            <v>40026</v>
          </cell>
          <cell r="R75">
            <v>42668</v>
          </cell>
          <cell r="S75"/>
          <cell r="T75" t="str">
            <v>백석문화대학교</v>
          </cell>
          <cell r="U75" t="str">
            <v>컴퓨터정보학과</v>
          </cell>
          <cell r="V75" t="str">
            <v>전문대졸</v>
          </cell>
          <cell r="W75" t="str">
            <v>10g</v>
          </cell>
          <cell r="X75" t="str">
            <v>12c</v>
          </cell>
          <cell r="Y75"/>
          <cell r="Z75">
            <v>6127</v>
          </cell>
          <cell r="AA75">
            <v>3485</v>
          </cell>
          <cell r="AB75"/>
          <cell r="AC75"/>
          <cell r="AD75" t="str">
            <v>SKT 7F_보라매</v>
          </cell>
          <cell r="AE75" t="str">
            <v>서울특별시</v>
          </cell>
          <cell r="AF75" t="str">
            <v>3. 콜센터 &amp; 금융 &amp; 기타</v>
          </cell>
          <cell r="AG75" t="str">
            <v>3. 콜센터 &amp; 금융 &amp; 기타</v>
          </cell>
          <cell r="AH75" t="str">
            <v>SK AX</v>
          </cell>
          <cell r="AI75" t="str">
            <v>SKT(보라매)</v>
          </cell>
          <cell r="AJ75" t="str">
            <v>조원석</v>
          </cell>
          <cell r="AK75" t="str">
            <v>08708</v>
          </cell>
          <cell r="AL75" t="str">
            <v>서울시 관악구 보라매로5길 1  SK텔레콤빌딩 7F (봉천동)</v>
          </cell>
          <cell r="AM75">
            <v>16542</v>
          </cell>
          <cell r="AN75" t="str">
            <v>경기도 수원시 영통구 매영로 84, 114동 504호 (매탄동, 한국2차아파트)</v>
          </cell>
          <cell r="AO75" t="str">
            <v>T Biz. Cloud팀</v>
          </cell>
          <cell r="AP75" t="str">
            <v>DB 운영</v>
          </cell>
          <cell r="AQ75" t="str">
            <v>DB 운영</v>
          </cell>
          <cell r="AR75" t="str">
            <v>/ Oracle</v>
          </cell>
          <cell r="AS75" t="str">
            <v>고객사 공통 / 2026년_인프라운영_HC12_24_1분기(4500303378-01)</v>
          </cell>
          <cell r="AT75" t="str">
            <v>통상</v>
          </cell>
          <cell r="AU75" t="str">
            <v>정직원</v>
          </cell>
          <cell r="AV75" t="str">
            <v>씨앤토트플러스㈜</v>
          </cell>
          <cell r="AW75">
            <v>4804000</v>
          </cell>
          <cell r="AX75">
            <v>4804000</v>
          </cell>
          <cell r="AY75">
            <v>12</v>
          </cell>
          <cell r="AZ75">
            <v>57648000</v>
          </cell>
          <cell r="BA75"/>
          <cell r="BB75"/>
          <cell r="BC75">
            <v>45839</v>
          </cell>
          <cell r="BD75">
            <v>43799999.999999993</v>
          </cell>
          <cell r="BE75">
            <v>44712000</v>
          </cell>
          <cell r="BF75">
            <v>44712000</v>
          </cell>
          <cell r="BG75">
            <v>3726000</v>
          </cell>
          <cell r="BH75">
            <v>3163800</v>
          </cell>
          <cell r="BI75">
            <v>16094.74</v>
          </cell>
          <cell r="BJ75">
            <v>209</v>
          </cell>
          <cell r="BK75">
            <v>15</v>
          </cell>
          <cell r="BL75">
            <v>0</v>
          </cell>
          <cell r="BM75">
            <v>362200</v>
          </cell>
          <cell r="BN75">
            <v>0</v>
          </cell>
          <cell r="BO75">
            <v>200000</v>
          </cell>
          <cell r="BP75">
            <v>0</v>
          </cell>
          <cell r="BQ75" t="str">
            <v>적합</v>
          </cell>
          <cell r="BR75"/>
          <cell r="BS75">
            <v>643789.6</v>
          </cell>
          <cell r="BT75">
            <v>3779649.1333333333</v>
          </cell>
          <cell r="BU75">
            <v>2009820</v>
          </cell>
          <cell r="BV75">
            <v>1723384.6847999999</v>
          </cell>
          <cell r="BW75">
            <v>655836</v>
          </cell>
          <cell r="BX75">
            <v>279259.2</v>
          </cell>
          <cell r="BY75">
            <v>4657500</v>
          </cell>
          <cell r="BZ75">
            <v>49135438.733333334</v>
          </cell>
          <cell r="CA75">
            <v>4668299.8848000001</v>
          </cell>
          <cell r="CB75">
            <v>55890000</v>
          </cell>
          <cell r="CC75">
            <v>1758000</v>
          </cell>
          <cell r="CD75">
            <v>3.0495420482930893</v>
          </cell>
        </row>
        <row r="76">
          <cell r="F76" t="str">
            <v>곽경석</v>
          </cell>
          <cell r="G76" t="str">
            <v>과장</v>
          </cell>
          <cell r="H76" t="str">
            <v>초급상</v>
          </cell>
          <cell r="I76" t="str">
            <v>초급기술자</v>
          </cell>
          <cell r="J76" t="str">
            <v>하도급(M/M)</v>
          </cell>
          <cell r="K76" t="str">
            <v>서비스 관제 센터장</v>
          </cell>
          <cell r="L76" t="str">
            <v>이종경 후임</v>
          </cell>
          <cell r="M76"/>
          <cell r="N76" t="str">
            <v>010-8377-8638</v>
          </cell>
          <cell r="O76" t="str">
            <v>rudtjr0414@cnthoth.com</v>
          </cell>
          <cell r="P76" t="str">
            <v>930414-1</v>
          </cell>
          <cell r="Q76">
            <v>41487</v>
          </cell>
          <cell r="R76">
            <v>42736</v>
          </cell>
          <cell r="S76"/>
          <cell r="T76" t="str">
            <v>성보정보고</v>
          </cell>
          <cell r="U76" t="str">
            <v xml:space="preserve">인터넷정보처리학과    </v>
          </cell>
          <cell r="V76" t="str">
            <v>고졸</v>
          </cell>
          <cell r="W76" t="str">
            <v>리눅스마스터2급</v>
          </cell>
          <cell r="X76"/>
          <cell r="Y76"/>
          <cell r="Z76">
            <v>4666</v>
          </cell>
          <cell r="AA76">
            <v>3417</v>
          </cell>
          <cell r="AB76"/>
          <cell r="AC76"/>
          <cell r="AD76" t="str">
            <v>청주HN_OP_주간</v>
          </cell>
          <cell r="AE76" t="str">
            <v>경기도외</v>
          </cell>
          <cell r="AF76" t="str">
            <v>4. SKB/SK하이닉스 Infra 운영</v>
          </cell>
          <cell r="AG76" t="str">
            <v>4. SKB/SK하이닉스 Infra 운영</v>
          </cell>
          <cell r="AH76" t="str">
            <v>SK AX</v>
          </cell>
          <cell r="AI76" t="str">
            <v>SK하이닉스(청주)</v>
          </cell>
          <cell r="AJ76" t="str">
            <v>곽경석</v>
          </cell>
          <cell r="AK76" t="str">
            <v>28436</v>
          </cell>
          <cell r="AL76" t="str">
            <v>충청북도 청주시 흥덕구 직지대로 337 (향정동) , SKHDC4 (M11 3F)</v>
          </cell>
          <cell r="AM76" t="str">
            <v>28630</v>
          </cell>
          <cell r="AN76" t="str">
            <v>충청북도 청주시 서원구 두꺼비로60번길 11-16, 201호 (산남동)</v>
          </cell>
          <cell r="AO76" t="str">
            <v>Hynix Cloud팀</v>
          </cell>
          <cell r="AP76" t="str">
            <v>청주 DC 운영</v>
          </cell>
          <cell r="AQ76" t="str">
            <v>센터 총괄 운영</v>
          </cell>
          <cell r="AS76" t="str">
            <v>에스케이하이닉스(주) / SKHy '26년 ITO_데이타관제_1분기(4500303464-01)</v>
          </cell>
          <cell r="AT76" t="str">
            <v>통상</v>
          </cell>
          <cell r="AU76" t="str">
            <v>정직원</v>
          </cell>
          <cell r="AV76" t="str">
            <v>씨앤토트플러스㈜</v>
          </cell>
          <cell r="AW76">
            <v>5151000</v>
          </cell>
          <cell r="AX76">
            <v>5151000</v>
          </cell>
          <cell r="AY76">
            <v>12</v>
          </cell>
          <cell r="AZ76">
            <v>61812000</v>
          </cell>
          <cell r="BC76">
            <v>45839</v>
          </cell>
          <cell r="BD76">
            <v>41004000</v>
          </cell>
          <cell r="BE76">
            <v>42204000</v>
          </cell>
          <cell r="BF76">
            <v>42204000</v>
          </cell>
          <cell r="BG76">
            <v>3517000</v>
          </cell>
          <cell r="BH76">
            <v>2975100</v>
          </cell>
          <cell r="BI76">
            <v>15191.87</v>
          </cell>
          <cell r="BJ76">
            <v>209</v>
          </cell>
          <cell r="BK76">
            <v>15</v>
          </cell>
          <cell r="BL76">
            <v>0</v>
          </cell>
          <cell r="BM76">
            <v>341900</v>
          </cell>
          <cell r="BN76">
            <v>0</v>
          </cell>
          <cell r="BO76">
            <v>200000</v>
          </cell>
          <cell r="BP76">
            <v>0</v>
          </cell>
          <cell r="BQ76" t="str">
            <v>적합</v>
          </cell>
          <cell r="BR76"/>
          <cell r="BS76">
            <v>607674.80000000005</v>
          </cell>
          <cell r="BT76">
            <v>3567639.5666666669</v>
          </cell>
          <cell r="BU76">
            <v>1890690</v>
          </cell>
          <cell r="BV76">
            <v>1621232.8415999999</v>
          </cell>
          <cell r="BW76">
            <v>616962</v>
          </cell>
          <cell r="BX76">
            <v>262706.40000000002</v>
          </cell>
          <cell r="BY76">
            <v>4396250</v>
          </cell>
          <cell r="BZ76">
            <v>46379314.366666667</v>
          </cell>
          <cell r="CA76">
            <v>4391591.2416000003</v>
          </cell>
          <cell r="CB76">
            <v>52755000</v>
          </cell>
          <cell r="CC76">
            <v>9057000</v>
          </cell>
          <cell r="CD76">
            <v>14.652494661230827</v>
          </cell>
        </row>
        <row r="77">
          <cell r="F77" t="str">
            <v>김영제</v>
          </cell>
          <cell r="G77" t="str">
            <v>과장</v>
          </cell>
          <cell r="H77" t="str">
            <v>초급상</v>
          </cell>
          <cell r="I77" t="str">
            <v>초급기술자</v>
          </cell>
          <cell r="J77" t="str">
            <v>하도급(FTE)</v>
          </cell>
          <cell r="K77" t="str">
            <v>서버엔지니어</v>
          </cell>
          <cell r="L77" t="str">
            <v>2023_신규</v>
          </cell>
          <cell r="M77"/>
          <cell r="N77" t="str">
            <v>010-4531-8968</v>
          </cell>
          <cell r="O77" t="str">
            <v>borntorun@cnthoth.com</v>
          </cell>
          <cell r="P77" t="str">
            <v>880406-1</v>
          </cell>
          <cell r="Q77">
            <v>41791</v>
          </cell>
          <cell r="R77">
            <v>42852</v>
          </cell>
          <cell r="S77"/>
          <cell r="T77" t="str">
            <v>동서울대학교</v>
          </cell>
          <cell r="U77" t="str">
            <v>소프트웨어학과</v>
          </cell>
          <cell r="V77" t="str">
            <v>전문대졸</v>
          </cell>
          <cell r="W77"/>
          <cell r="X77"/>
          <cell r="Y77"/>
          <cell r="Z77">
            <v>4362</v>
          </cell>
          <cell r="AA77">
            <v>3301</v>
          </cell>
          <cell r="AB77"/>
          <cell r="AC77"/>
          <cell r="AD77" t="str">
            <v>SK AX_판교 B동</v>
          </cell>
          <cell r="AE77" t="str">
            <v>경기도</v>
          </cell>
          <cell r="AF77" t="str">
            <v>1. Infra 운영</v>
          </cell>
          <cell r="AG77" t="str">
            <v>1. Infra 운영</v>
          </cell>
          <cell r="AH77" t="str">
            <v>SK AX</v>
          </cell>
          <cell r="AI77" t="str">
            <v>SK그룹사(공통)</v>
          </cell>
          <cell r="AJ77" t="str">
            <v>김부강</v>
          </cell>
          <cell r="AK77">
            <v>13486</v>
          </cell>
          <cell r="AL77" t="str">
            <v>경기도 성남시 분당구 판교로 255번길 38 SK C&amp;C 판교캠퍼스 B동 5층</v>
          </cell>
          <cell r="AM77" t="str">
            <v>05526</v>
          </cell>
          <cell r="AN77" t="str">
            <v>서울특별시 송파구 풍성로6가길 14-13, 지층동 101호 (풍납동)</v>
          </cell>
          <cell r="AO77" t="str">
            <v>제조/환경Cloud팀 </v>
          </cell>
          <cell r="AP77" t="str">
            <v>SKP 서버 운영</v>
          </cell>
          <cell r="AQ77" t="str">
            <v>Windows 서버 운영</v>
          </cell>
          <cell r="AS77" t="str">
            <v>고객사 공통 / 2026년_인프라운영_HC22_01_1분기 (4500303129-01)</v>
          </cell>
          <cell r="AT77" t="str">
            <v>통상</v>
          </cell>
          <cell r="AU77" t="str">
            <v>정직원</v>
          </cell>
          <cell r="AV77" t="str">
            <v>씨앤토트플러스㈜</v>
          </cell>
          <cell r="AW77">
            <v>4794000</v>
          </cell>
          <cell r="AX77">
            <v>4794000</v>
          </cell>
          <cell r="AY77">
            <v>12</v>
          </cell>
          <cell r="AZ77">
            <v>57528000</v>
          </cell>
          <cell r="BA77"/>
          <cell r="BB77"/>
          <cell r="BC77">
            <v>45839</v>
          </cell>
          <cell r="BD77">
            <v>36600000</v>
          </cell>
          <cell r="BE77">
            <v>37800000</v>
          </cell>
          <cell r="BF77">
            <v>37800000</v>
          </cell>
          <cell r="BG77">
            <v>3150000</v>
          </cell>
          <cell r="BH77">
            <v>2643800</v>
          </cell>
          <cell r="BI77">
            <v>13606.7</v>
          </cell>
          <cell r="BJ77">
            <v>209</v>
          </cell>
          <cell r="BK77">
            <v>15</v>
          </cell>
          <cell r="BL77">
            <v>0</v>
          </cell>
          <cell r="BM77">
            <v>306200</v>
          </cell>
          <cell r="BN77">
            <v>0</v>
          </cell>
          <cell r="BO77">
            <v>200000</v>
          </cell>
          <cell r="BP77">
            <v>0</v>
          </cell>
          <cell r="BQ77" t="str">
            <v>적합</v>
          </cell>
          <cell r="BR77"/>
          <cell r="BS77">
            <v>544268</v>
          </cell>
          <cell r="BT77">
            <v>3195355.6666666665</v>
          </cell>
          <cell r="BU77">
            <v>1681500</v>
          </cell>
          <cell r="BV77">
            <v>1441856.16</v>
          </cell>
          <cell r="BW77">
            <v>548700</v>
          </cell>
          <cell r="BX77">
            <v>233640</v>
          </cell>
          <cell r="BY77">
            <v>3937500</v>
          </cell>
          <cell r="BZ77">
            <v>41539623.666666664</v>
          </cell>
          <cell r="CA77">
            <v>3905696.16</v>
          </cell>
          <cell r="CB77">
            <v>47250000</v>
          </cell>
          <cell r="CC77">
            <v>10278000</v>
          </cell>
          <cell r="CD77">
            <v>17.866082603254068</v>
          </cell>
        </row>
        <row r="78">
          <cell r="F78" t="str">
            <v>박승혁</v>
          </cell>
          <cell r="G78" t="str">
            <v>과장</v>
          </cell>
          <cell r="H78" t="str">
            <v>초급상</v>
          </cell>
          <cell r="I78" t="str">
            <v>초급기술자</v>
          </cell>
          <cell r="J78" t="str">
            <v>하도급(M/M)</v>
          </cell>
          <cell r="K78" t="str">
            <v>IT 인프라 현장대응 엔지니어</v>
          </cell>
          <cell r="L78" t="str">
            <v>김도형 후임</v>
          </cell>
          <cell r="M78" t="str">
            <v>043-280-5802</v>
          </cell>
          <cell r="N78" t="str">
            <v>010-9445-4064</v>
          </cell>
          <cell r="O78" t="str">
            <v>p4064@cnthoth.com</v>
          </cell>
          <cell r="P78" t="str">
            <v>930201-1</v>
          </cell>
          <cell r="Q78">
            <v>42912</v>
          </cell>
          <cell r="R78">
            <v>42912</v>
          </cell>
          <cell r="S78"/>
          <cell r="T78" t="str">
            <v>대전대학교</v>
          </cell>
          <cell r="U78" t="str">
            <v>정보보안과</v>
          </cell>
          <cell r="V78" t="str">
            <v>대졸</v>
          </cell>
          <cell r="W78" t="str">
            <v>정보처리기사</v>
          </cell>
          <cell r="Z78">
            <v>3241</v>
          </cell>
          <cell r="AA78">
            <v>3241</v>
          </cell>
          <cell r="AB78"/>
          <cell r="AC78"/>
          <cell r="AD78" t="str">
            <v>청주HN_대응</v>
          </cell>
          <cell r="AE78" t="str">
            <v>경기도외</v>
          </cell>
          <cell r="AF78" t="str">
            <v>4. SKB/SK하이닉스 Infra 운영</v>
          </cell>
          <cell r="AG78" t="str">
            <v>4. SKB/SK하이닉스 Infra 운영</v>
          </cell>
          <cell r="AH78" t="str">
            <v>SK AX</v>
          </cell>
          <cell r="AI78" t="str">
            <v>SK하이닉스(청주)</v>
          </cell>
          <cell r="AJ78" t="str">
            <v>곽경석</v>
          </cell>
          <cell r="AK78" t="str">
            <v>28436</v>
          </cell>
          <cell r="AL78" t="str">
            <v>충청북도 청주시 흥덕구 직지대로 337 (향정동) , SKHDC4 (M11 3F)</v>
          </cell>
          <cell r="AM78">
            <v>28753</v>
          </cell>
          <cell r="AN78" t="str">
            <v>충청북도 청주시 상당구 수영로 328, 208동 1002호(금천동, 장자마을현대아파트)</v>
          </cell>
          <cell r="AO78" t="str">
            <v>Hynix Cloud팀</v>
          </cell>
          <cell r="AP78" t="str">
            <v>인프라 장애 긴급 대응</v>
          </cell>
          <cell r="AQ78" t="str">
            <v>인프라 장비 장애 발생시 현장대응</v>
          </cell>
          <cell r="AS78" t="str">
            <v>에스케이하이닉스(주) / SKHy '26년 ITO_데이타관제_1분기(4500303464-01)</v>
          </cell>
          <cell r="AT78" t="str">
            <v>스케줄</v>
          </cell>
          <cell r="AU78" t="str">
            <v>정직원</v>
          </cell>
          <cell r="AV78" t="str">
            <v>씨앤토트플러스㈜</v>
          </cell>
          <cell r="AW78">
            <v>5151000</v>
          </cell>
          <cell r="AX78">
            <v>5151000</v>
          </cell>
          <cell r="AY78">
            <v>12</v>
          </cell>
          <cell r="AZ78">
            <v>61812000</v>
          </cell>
          <cell r="BC78">
            <v>45839</v>
          </cell>
          <cell r="BD78">
            <v>33805032</v>
          </cell>
          <cell r="BE78">
            <v>34885200</v>
          </cell>
          <cell r="BF78">
            <v>34885200</v>
          </cell>
          <cell r="BG78">
            <v>2907100</v>
          </cell>
          <cell r="BH78">
            <v>2080900</v>
          </cell>
          <cell r="BI78">
            <v>14591.22</v>
          </cell>
          <cell r="BJ78">
            <v>156.32000000000002</v>
          </cell>
          <cell r="BK78">
            <v>36.39</v>
          </cell>
          <cell r="BL78">
            <v>49.43</v>
          </cell>
          <cell r="BM78">
            <v>265500</v>
          </cell>
          <cell r="BN78">
            <v>360700</v>
          </cell>
          <cell r="BO78">
            <v>200000</v>
          </cell>
          <cell r="BP78">
            <v>2746798</v>
          </cell>
          <cell r="BQ78" t="str">
            <v>적합</v>
          </cell>
          <cell r="BR78"/>
          <cell r="BS78">
            <v>1459122</v>
          </cell>
          <cell r="BT78">
            <v>3028693.5</v>
          </cell>
          <cell r="BU78">
            <v>1543047</v>
          </cell>
          <cell r="BV78">
            <v>1323135.1900799999</v>
          </cell>
          <cell r="BW78">
            <v>503520.6</v>
          </cell>
          <cell r="BX78">
            <v>214402.32</v>
          </cell>
          <cell r="BY78">
            <v>3633875</v>
          </cell>
          <cell r="BZ78">
            <v>39373015.5</v>
          </cell>
          <cell r="CA78">
            <v>3584105.11008</v>
          </cell>
          <cell r="CB78">
            <v>43606500</v>
          </cell>
          <cell r="CC78">
            <v>14881874.42</v>
          </cell>
          <cell r="CD78">
            <v>24.076027988092928</v>
          </cell>
        </row>
        <row r="79">
          <cell r="F79" t="str">
            <v>명승일</v>
          </cell>
          <cell r="G79" t="str">
            <v>부장</v>
          </cell>
          <cell r="H79" t="str">
            <v>고급하</v>
          </cell>
          <cell r="I79" t="str">
            <v>고급기술자</v>
          </cell>
          <cell r="J79" t="str">
            <v>하도급(M/M)</v>
          </cell>
          <cell r="K79" t="str">
            <v>네트워크보안엔지니어</v>
          </cell>
          <cell r="L79" t="str">
            <v>김태형 후임</v>
          </cell>
          <cell r="M79"/>
          <cell r="N79" t="str">
            <v>010-8702-3487</v>
          </cell>
          <cell r="O79" t="str">
            <v>sicommu@cnthoth.com</v>
          </cell>
          <cell r="P79" t="str">
            <v>761106-1</v>
          </cell>
          <cell r="Q79">
            <v>38261</v>
          </cell>
          <cell r="R79">
            <v>42940</v>
          </cell>
          <cell r="S79"/>
          <cell r="T79" t="str">
            <v>한국방송통신대학교</v>
          </cell>
          <cell r="U79" t="str">
            <v>컴퓨터과학과</v>
          </cell>
          <cell r="V79" t="str">
            <v>대졸</v>
          </cell>
          <cell r="W79" t="str">
            <v>정보처리기사</v>
          </cell>
          <cell r="X79" t="str">
            <v>정보통신산업기사</v>
          </cell>
          <cell r="Y79" t="str">
            <v>CCNA</v>
          </cell>
          <cell r="Z79">
            <v>7892</v>
          </cell>
          <cell r="AA79">
            <v>3213</v>
          </cell>
          <cell r="AB79"/>
          <cell r="AC79"/>
          <cell r="AD79" t="str">
            <v>SKT_수내</v>
          </cell>
          <cell r="AE79" t="str">
            <v>경기도</v>
          </cell>
          <cell r="AF79" t="str">
            <v>1. Infra 운영</v>
          </cell>
          <cell r="AG79" t="str">
            <v>1. Infra 운영</v>
          </cell>
          <cell r="AH79" t="str">
            <v>SK AX</v>
          </cell>
          <cell r="AI79" t="str">
            <v>SKT(수내)</v>
          </cell>
          <cell r="AJ79" t="str">
            <v>명승일</v>
          </cell>
          <cell r="AK79">
            <v>13595</v>
          </cell>
          <cell r="AL79" t="str">
            <v xml:space="preserve">경기도 분당구 황새울로 258번길 6 SKT </v>
          </cell>
          <cell r="AM79">
            <v>16948</v>
          </cell>
          <cell r="AN79" t="str">
            <v>경기도 용인시 기흥구 흥덕4로30번길 22-13, 301호 (영덕동)</v>
          </cell>
          <cell r="AO79" t="str">
            <v>보안사업개발팀</v>
          </cell>
          <cell r="AP79" t="str">
            <v>SKT N/W 보안 운영</v>
          </cell>
          <cell r="AQ79" t="str">
            <v>N/W 보안 운영</v>
          </cell>
          <cell r="AR79" t="str">
            <v>방화벽 운영</v>
          </cell>
          <cell r="AS79" t="str">
            <v>에스케이텔레콤(주)  SKT 25년 SDN 보안장비 기술지원 용역_1분기(4500304018-01)</v>
          </cell>
          <cell r="AT79" t="str">
            <v>통상</v>
          </cell>
          <cell r="AU79" t="str">
            <v>정직원</v>
          </cell>
          <cell r="AV79" t="str">
            <v>씨앤토트플러스㈜</v>
          </cell>
          <cell r="AW79">
            <v>6042000</v>
          </cell>
          <cell r="AX79">
            <v>6042000</v>
          </cell>
          <cell r="AY79">
            <v>12</v>
          </cell>
          <cell r="AZ79">
            <v>72504000</v>
          </cell>
          <cell r="BA79"/>
          <cell r="BB79"/>
          <cell r="BC79">
            <v>45839</v>
          </cell>
          <cell r="BD79">
            <v>48564000</v>
          </cell>
          <cell r="BE79">
            <v>49704000</v>
          </cell>
          <cell r="BF79">
            <v>49704000</v>
          </cell>
          <cell r="BG79">
            <v>4142000</v>
          </cell>
          <cell r="BH79">
            <v>3539400</v>
          </cell>
          <cell r="BI79">
            <v>17891.87</v>
          </cell>
          <cell r="BJ79">
            <v>209</v>
          </cell>
          <cell r="BK79">
            <v>15</v>
          </cell>
          <cell r="BL79">
            <v>0</v>
          </cell>
          <cell r="BM79">
            <v>402600</v>
          </cell>
          <cell r="BN79">
            <v>0</v>
          </cell>
          <cell r="BO79">
            <v>200000</v>
          </cell>
          <cell r="BP79">
            <v>0</v>
          </cell>
          <cell r="BQ79" t="str">
            <v>적합</v>
          </cell>
          <cell r="BR79"/>
          <cell r="BS79">
            <v>715674.79999999993</v>
          </cell>
          <cell r="BT79">
            <v>4201639.5666666664</v>
          </cell>
          <cell r="BU79">
            <v>2246940</v>
          </cell>
          <cell r="BV79">
            <v>1926710.8415999997</v>
          </cell>
          <cell r="BW79">
            <v>733212</v>
          </cell>
          <cell r="BX79">
            <v>312206.40000000002</v>
          </cell>
          <cell r="BY79">
            <v>5177500</v>
          </cell>
          <cell r="BZ79">
            <v>54621314.36666666</v>
          </cell>
          <cell r="CA79">
            <v>5219069.2416000003</v>
          </cell>
          <cell r="CB79">
            <v>62130000</v>
          </cell>
          <cell r="CC79">
            <v>10374000</v>
          </cell>
          <cell r="CD79">
            <v>14.308176100628931</v>
          </cell>
        </row>
        <row r="80">
          <cell r="F80" t="str">
            <v>김희경</v>
          </cell>
          <cell r="G80" t="str">
            <v>과장</v>
          </cell>
          <cell r="H80" t="str">
            <v>초급상</v>
          </cell>
          <cell r="I80" t="str">
            <v>초급기술자</v>
          </cell>
          <cell r="J80" t="str">
            <v>하도급(FTE)</v>
          </cell>
          <cell r="K80" t="str">
            <v>NOC 엔지니어</v>
          </cell>
          <cell r="L80" t="str">
            <v>박성국 후임</v>
          </cell>
          <cell r="M80" t="str">
            <v>02-6400-7017</v>
          </cell>
          <cell r="N80" t="str">
            <v>010-5180-4900</v>
          </cell>
          <cell r="O80" t="str">
            <v>ehdrb0212@cnthoth.com</v>
          </cell>
          <cell r="P80" t="str">
            <v>920212-1</v>
          </cell>
          <cell r="Q80">
            <v>42948</v>
          </cell>
          <cell r="R80">
            <v>42948</v>
          </cell>
          <cell r="S80"/>
          <cell r="T80" t="str">
            <v>대구대학교</v>
          </cell>
          <cell r="U80" t="str">
            <v>전산공학과</v>
          </cell>
          <cell r="V80" t="str">
            <v>대졸</v>
          </cell>
          <cell r="W80" t="str">
            <v>네트워크관리사</v>
          </cell>
          <cell r="X80" t="str">
            <v>리눅스마스터</v>
          </cell>
          <cell r="Y80" t="str">
            <v>MCP</v>
          </cell>
          <cell r="Z80">
            <v>3205</v>
          </cell>
          <cell r="AA80">
            <v>3205</v>
          </cell>
          <cell r="AB80"/>
          <cell r="AC80"/>
          <cell r="AD80" t="str">
            <v>판교NOC</v>
          </cell>
          <cell r="AE80" t="str">
            <v>경기도</v>
          </cell>
          <cell r="AF80" t="str">
            <v>2. Network Service</v>
          </cell>
          <cell r="AG80" t="str">
            <v>2. Network Service</v>
          </cell>
          <cell r="AH80" t="str">
            <v>SK AX</v>
          </cell>
          <cell r="AI80" t="str">
            <v>SK그룹사(공통)</v>
          </cell>
          <cell r="AJ80" t="str">
            <v>최재유</v>
          </cell>
          <cell r="AK80">
            <v>13486</v>
          </cell>
          <cell r="AL80" t="str">
            <v>경기도 성남시 분당구 판교로 255번길 46 SK C&amp;C 판교캠퍼스 A동 4층</v>
          </cell>
          <cell r="AM80" t="str">
            <v>08601</v>
          </cell>
          <cell r="AN80" t="str">
            <v>서울특별시 금천구 벚꽃로 110, 1111호 (독산동, 명남더블레스)</v>
          </cell>
          <cell r="AO80" t="str">
            <v>Network Service팀</v>
          </cell>
          <cell r="AP80" t="str">
            <v>SK공통 NOC 운영</v>
          </cell>
          <cell r="AQ80" t="str">
            <v>N/W 관제, 장애 조치</v>
          </cell>
          <cell r="AR80"/>
          <cell r="AS80" t="str">
            <v>고객사 공통 / 2026년_인프라운영_HC11_1분기(4500303149-01)</v>
          </cell>
          <cell r="AT80" t="str">
            <v>스케줄</v>
          </cell>
          <cell r="AU80" t="str">
            <v>정직원</v>
          </cell>
          <cell r="AV80" t="str">
            <v>씨앤토트플러스㈜</v>
          </cell>
          <cell r="AW80">
            <v>5087000</v>
          </cell>
          <cell r="AX80">
            <v>5087000</v>
          </cell>
          <cell r="AY80">
            <v>12</v>
          </cell>
          <cell r="AZ80">
            <v>61044000</v>
          </cell>
          <cell r="BA80"/>
          <cell r="BB80"/>
          <cell r="BC80">
            <v>45839</v>
          </cell>
          <cell r="BD80">
            <v>40297320</v>
          </cell>
          <cell r="BE80">
            <v>41246400</v>
          </cell>
          <cell r="BF80">
            <v>41246400</v>
          </cell>
          <cell r="BG80">
            <v>3437200</v>
          </cell>
          <cell r="BH80">
            <v>2765500</v>
          </cell>
          <cell r="BI80">
            <v>15505.07</v>
          </cell>
          <cell r="BJ80">
            <v>191.26</v>
          </cell>
          <cell r="BK80">
            <v>27.88</v>
          </cell>
          <cell r="BL80">
            <v>32.950000000000003</v>
          </cell>
          <cell r="BM80">
            <v>216200</v>
          </cell>
          <cell r="BN80">
            <v>255500</v>
          </cell>
          <cell r="BO80">
            <v>200000</v>
          </cell>
          <cell r="BP80">
            <v>892001</v>
          </cell>
          <cell r="BQ80" t="str">
            <v>적합</v>
          </cell>
          <cell r="BR80">
            <v>250000</v>
          </cell>
          <cell r="BS80">
            <v>1550507</v>
          </cell>
          <cell r="BT80">
            <v>3566408.9166666665</v>
          </cell>
          <cell r="BU80">
            <v>1845204</v>
          </cell>
          <cell r="BV80">
            <v>1582229.4105599998</v>
          </cell>
          <cell r="BW80">
            <v>602119.19999999995</v>
          </cell>
          <cell r="BX80">
            <v>256386.24</v>
          </cell>
          <cell r="BY80">
            <v>4296500</v>
          </cell>
          <cell r="BZ80">
            <v>46363315.916666664</v>
          </cell>
          <cell r="CA80">
            <v>4285938.8505600002</v>
          </cell>
          <cell r="CB80">
            <v>51558000</v>
          </cell>
          <cell r="CC80">
            <v>8406678.7899999991</v>
          </cell>
          <cell r="CD80">
            <v>13.771507093244214</v>
          </cell>
        </row>
        <row r="81">
          <cell r="F81" t="str">
            <v>김부강</v>
          </cell>
          <cell r="G81" t="str">
            <v>과장</v>
          </cell>
          <cell r="H81" t="str">
            <v>중급상</v>
          </cell>
          <cell r="I81" t="str">
            <v>중급기술자</v>
          </cell>
          <cell r="J81" t="str">
            <v>하도급(FTE)</v>
          </cell>
          <cell r="K81" t="str">
            <v>Backup/Storage 엔지니어</v>
          </cell>
          <cell r="L81" t="str">
            <v>고경훈 후임</v>
          </cell>
          <cell r="M81" t="str">
            <v>02-6400-4085</v>
          </cell>
          <cell r="N81" t="str">
            <v>010-5592-9592</v>
          </cell>
          <cell r="O81" t="str">
            <v>kbk0328@cnthoth.com</v>
          </cell>
          <cell r="P81" t="str">
            <v>880328-1</v>
          </cell>
          <cell r="Q81">
            <v>42989</v>
          </cell>
          <cell r="R81">
            <v>42989</v>
          </cell>
          <cell r="S81"/>
          <cell r="T81" t="str">
            <v>인제대학교대학원</v>
          </cell>
          <cell r="U81" t="str">
            <v>나노융합공학과</v>
          </cell>
          <cell r="V81" t="str">
            <v>대학원졸</v>
          </cell>
          <cell r="W81" t="str">
            <v>CCNA</v>
          </cell>
          <cell r="X81" t="str">
            <v>네트워크관리사2급</v>
          </cell>
          <cell r="Y81" t="str">
            <v>MCSA</v>
          </cell>
          <cell r="Z81">
            <v>3164</v>
          </cell>
          <cell r="AA81">
            <v>3164</v>
          </cell>
          <cell r="AB81"/>
          <cell r="AC81"/>
          <cell r="AD81" t="str">
            <v>SK AX_판교 B동</v>
          </cell>
          <cell r="AE81" t="str">
            <v>경기도</v>
          </cell>
          <cell r="AF81" t="str">
            <v>1. Infra 운영</v>
          </cell>
          <cell r="AG81" t="str">
            <v>1. Infra 운영</v>
          </cell>
          <cell r="AH81" t="str">
            <v>SK AX</v>
          </cell>
          <cell r="AI81" t="str">
            <v>SK그룹사(공통)</v>
          </cell>
          <cell r="AJ81" t="str">
            <v>김부강</v>
          </cell>
          <cell r="AK81">
            <v>13486</v>
          </cell>
          <cell r="AL81" t="str">
            <v>경기도 성남시 분당구 판교로 255번길 38 SK C&amp;C 판교캠퍼스 B동 5층</v>
          </cell>
          <cell r="AM81" t="str">
            <v>17149</v>
          </cell>
          <cell r="AN81" t="str">
            <v>경기도 용인시 처인구 고림로162번길 39, 206동 1303호 (고림동, 힐스테이트 용인 고진역 2단지)</v>
          </cell>
          <cell r="AO81" t="str">
            <v>Global Cloud 팀</v>
          </cell>
          <cell r="AP81" t="str">
            <v>Backup/Storage</v>
          </cell>
          <cell r="AQ81" t="str">
            <v>Backup/Restore 관리</v>
          </cell>
          <cell r="AR81" t="str">
            <v>/ Storage 구축 지원, 운영</v>
          </cell>
          <cell r="AS81" t="str">
            <v>고객사 공통 / 2026년_인프라운영_HC10_37_1분기(4500303364-01)</v>
          </cell>
          <cell r="AT81" t="str">
            <v>통상</v>
          </cell>
          <cell r="AU81" t="str">
            <v>정직원</v>
          </cell>
          <cell r="AV81" t="str">
            <v>씨앤토트플러스㈜</v>
          </cell>
          <cell r="AW81">
            <v>6094000</v>
          </cell>
          <cell r="AX81">
            <v>6094000</v>
          </cell>
          <cell r="AY81">
            <v>12</v>
          </cell>
          <cell r="AZ81">
            <v>73128000</v>
          </cell>
          <cell r="BA81"/>
          <cell r="BB81"/>
          <cell r="BC81">
            <v>45839</v>
          </cell>
          <cell r="BD81">
            <v>42528000</v>
          </cell>
          <cell r="BE81">
            <v>44928000</v>
          </cell>
          <cell r="BF81">
            <v>44928000</v>
          </cell>
          <cell r="BG81">
            <v>3744000</v>
          </cell>
          <cell r="BH81">
            <v>3180100</v>
          </cell>
          <cell r="BI81">
            <v>16172.73</v>
          </cell>
          <cell r="BJ81">
            <v>209</v>
          </cell>
          <cell r="BK81">
            <v>15</v>
          </cell>
          <cell r="BL81">
            <v>0</v>
          </cell>
          <cell r="BM81">
            <v>363900</v>
          </cell>
          <cell r="BN81">
            <v>0</v>
          </cell>
          <cell r="BO81">
            <v>200000</v>
          </cell>
          <cell r="BP81">
            <v>0</v>
          </cell>
          <cell r="BQ81" t="str">
            <v>적합</v>
          </cell>
          <cell r="BR81"/>
          <cell r="BS81">
            <v>646909.19999999995</v>
          </cell>
          <cell r="BT81">
            <v>3797909.1</v>
          </cell>
          <cell r="BU81">
            <v>2020080</v>
          </cell>
          <cell r="BV81">
            <v>1732182.4512</v>
          </cell>
          <cell r="BW81">
            <v>659184</v>
          </cell>
          <cell r="BX81">
            <v>280684.79999999999</v>
          </cell>
          <cell r="BY81">
            <v>4680000</v>
          </cell>
          <cell r="BZ81">
            <v>49372818.300000004</v>
          </cell>
          <cell r="CA81">
            <v>4692131.2511999998</v>
          </cell>
          <cell r="CB81">
            <v>56160000</v>
          </cell>
          <cell r="CC81">
            <v>16968000</v>
          </cell>
          <cell r="CD81">
            <v>23.203150639973742</v>
          </cell>
        </row>
        <row r="82">
          <cell r="F82" t="str">
            <v>윤정열</v>
          </cell>
          <cell r="G82" t="str">
            <v>차장</v>
          </cell>
          <cell r="H82" t="str">
            <v>중급하</v>
          </cell>
          <cell r="I82" t="str">
            <v>중급기술자</v>
          </cell>
          <cell r="J82" t="str">
            <v>하도급(M/M)</v>
          </cell>
          <cell r="K82" t="str">
            <v>서버엔지니어</v>
          </cell>
          <cell r="L82" t="str">
            <v>2017_신규</v>
          </cell>
          <cell r="M82" t="str">
            <v>02-6266-6562</v>
          </cell>
          <cell r="N82" t="str">
            <v>010-4322-1617</v>
          </cell>
          <cell r="O82" t="str">
            <v>jyyoon@cnthoth.com</v>
          </cell>
          <cell r="P82" t="str">
            <v>860103-1</v>
          </cell>
          <cell r="Q82">
            <v>40664</v>
          </cell>
          <cell r="R82">
            <v>43040</v>
          </cell>
          <cell r="S82"/>
          <cell r="T82" t="str">
            <v>평택대학교</v>
          </cell>
          <cell r="U82" t="str">
            <v>정보통신학과</v>
          </cell>
          <cell r="V82" t="str">
            <v>대졸</v>
          </cell>
          <cell r="Z82">
            <v>5489</v>
          </cell>
          <cell r="AA82">
            <v>3113</v>
          </cell>
          <cell r="AB82"/>
          <cell r="AC82"/>
          <cell r="AD82" t="str">
            <v>SKB 7층_동작</v>
          </cell>
          <cell r="AE82" t="str">
            <v>서울특별시</v>
          </cell>
          <cell r="AF82" t="str">
            <v>4. SKB/SK하이닉스 Infra 운영</v>
          </cell>
          <cell r="AG82" t="str">
            <v>4. SKB/SK하이닉스 Infra 운영</v>
          </cell>
          <cell r="AH82" t="str">
            <v>SK AX</v>
          </cell>
          <cell r="AI82" t="str">
            <v>SKB(동작)</v>
          </cell>
          <cell r="AJ82" t="str">
            <v>박규성</v>
          </cell>
          <cell r="AK82" t="str">
            <v>07063</v>
          </cell>
          <cell r="AL82" t="str">
            <v>서울시 동작구 여의대방로 74 (신대방동) SK브로드밴드 7층</v>
          </cell>
          <cell r="AM82" t="str">
            <v>10503</v>
          </cell>
          <cell r="AN82" t="str">
            <v>경기도 고양시 덕양구 백양로 27, 1402동 1201호 (화정동, 옥빛마을14단지아파트)</v>
          </cell>
          <cell r="AO82" t="str">
            <v>ICT Cloud팀</v>
          </cell>
          <cell r="AP82" t="str">
            <v>SKB 서버 운영</v>
          </cell>
          <cell r="AQ82" t="str">
            <v>Linux 서버 운영</v>
          </cell>
          <cell r="AS82" t="str">
            <v>에스케이브로드밴드(주) / SKB 26년 IT장비 및 소프트웨어 유지보수_1분기(4500302989-01)</v>
          </cell>
          <cell r="AT82" t="str">
            <v>통상</v>
          </cell>
          <cell r="AU82" t="str">
            <v>정직원</v>
          </cell>
          <cell r="AV82" t="str">
            <v>씨앤토트플러스㈜</v>
          </cell>
          <cell r="AW82">
            <v>5699000</v>
          </cell>
          <cell r="AX82">
            <v>5699000</v>
          </cell>
          <cell r="AY82">
            <v>12</v>
          </cell>
          <cell r="AZ82">
            <v>68388000</v>
          </cell>
          <cell r="BA82"/>
          <cell r="BB82"/>
          <cell r="BC82">
            <v>45839</v>
          </cell>
          <cell r="BD82">
            <v>45768000</v>
          </cell>
          <cell r="BE82">
            <v>46836000</v>
          </cell>
          <cell r="BF82">
            <v>46836000</v>
          </cell>
          <cell r="BG82">
            <v>3903000</v>
          </cell>
          <cell r="BH82">
            <v>3323600</v>
          </cell>
          <cell r="BI82">
            <v>16859.330000000002</v>
          </cell>
          <cell r="BJ82">
            <v>209</v>
          </cell>
          <cell r="BK82">
            <v>15</v>
          </cell>
          <cell r="BL82">
            <v>0</v>
          </cell>
          <cell r="BM82">
            <v>379400</v>
          </cell>
          <cell r="BN82">
            <v>0</v>
          </cell>
          <cell r="BO82">
            <v>200000</v>
          </cell>
          <cell r="BP82">
            <v>0</v>
          </cell>
          <cell r="BQ82" t="str">
            <v>적합</v>
          </cell>
          <cell r="BR82"/>
          <cell r="BS82">
            <v>674373.20000000007</v>
          </cell>
          <cell r="BT82">
            <v>3959197.7666666666</v>
          </cell>
          <cell r="BU82">
            <v>2110710</v>
          </cell>
          <cell r="BV82">
            <v>1809896.0543999998</v>
          </cell>
          <cell r="BW82">
            <v>688758</v>
          </cell>
          <cell r="BX82">
            <v>293277.59999999998</v>
          </cell>
          <cell r="BY82">
            <v>4878750</v>
          </cell>
          <cell r="BZ82">
            <v>51469570.966666669</v>
          </cell>
          <cell r="CA82">
            <v>4902641.6543999994</v>
          </cell>
          <cell r="CB82">
            <v>58545000</v>
          </cell>
          <cell r="CC82">
            <v>9843000</v>
          </cell>
          <cell r="CD82">
            <v>14.392875943147921</v>
          </cell>
        </row>
        <row r="83">
          <cell r="F83" t="str">
            <v>이현철</v>
          </cell>
          <cell r="G83" t="str">
            <v>과장</v>
          </cell>
          <cell r="H83" t="str">
            <v>초급상</v>
          </cell>
          <cell r="I83" t="str">
            <v>초급기술자</v>
          </cell>
          <cell r="J83" t="str">
            <v>하도급(M/M)</v>
          </cell>
          <cell r="K83" t="str">
            <v>M/W 엔지니어</v>
          </cell>
          <cell r="L83"/>
          <cell r="M83"/>
          <cell r="N83" t="str">
            <v>010-5032-1440</v>
          </cell>
          <cell r="O83" t="str">
            <v>hclee@cnthoth.com</v>
          </cell>
          <cell r="P83" t="str">
            <v>840522-1</v>
          </cell>
          <cell r="Q83">
            <v>41277</v>
          </cell>
          <cell r="R83">
            <v>43040</v>
          </cell>
          <cell r="S83"/>
          <cell r="T83" t="str">
            <v>서일전문대</v>
          </cell>
          <cell r="U83" t="str">
            <v>인터넷정보과</v>
          </cell>
          <cell r="V83" t="str">
            <v>전문대졸</v>
          </cell>
          <cell r="W83" t="str">
            <v>정보처리기능사</v>
          </cell>
          <cell r="X83"/>
          <cell r="Y83"/>
          <cell r="Z83">
            <v>4876</v>
          </cell>
          <cell r="AA83">
            <v>3113</v>
          </cell>
          <cell r="AB83"/>
          <cell r="AC83"/>
          <cell r="AD83" t="str">
            <v>SKB 7층_동작</v>
          </cell>
          <cell r="AE83" t="str">
            <v>서울특별시</v>
          </cell>
          <cell r="AF83" t="str">
            <v>4. SKB/SK하이닉스 Infra 운영</v>
          </cell>
          <cell r="AG83" t="str">
            <v>4. SKB/SK하이닉스 Infra 운영</v>
          </cell>
          <cell r="AH83" t="str">
            <v>SK AX</v>
          </cell>
          <cell r="AI83" t="str">
            <v>SKB(동작)</v>
          </cell>
          <cell r="AJ83" t="str">
            <v>박규성</v>
          </cell>
          <cell r="AK83" t="str">
            <v>07063</v>
          </cell>
          <cell r="AL83" t="str">
            <v>서울시 동작구 여의대방로 74 (신대방동) SK브로드밴드 7층</v>
          </cell>
          <cell r="AM83">
            <v>14266</v>
          </cell>
          <cell r="AN83" t="str">
            <v>경기도 광명시 광명로 888번길 26-13, 201호(금강빌라)</v>
          </cell>
          <cell r="AO83" t="str">
            <v>ICT Cloud팀</v>
          </cell>
          <cell r="AP83" t="str">
            <v>Middleware 운영</v>
          </cell>
          <cell r="AQ83" t="str">
            <v>WAS 운영</v>
          </cell>
          <cell r="AR83" t="str">
            <v>/ 클라우드 인프라 운영</v>
          </cell>
          <cell r="AS83" t="str">
            <v>에스케이브로드밴드(주) / SKB 26년 IT장비 및 소프트웨어 유지보수_1분기(4500302989-01)</v>
          </cell>
          <cell r="AT83" t="str">
            <v>통상</v>
          </cell>
          <cell r="AU83" t="str">
            <v>정직원</v>
          </cell>
          <cell r="AV83" t="str">
            <v>씨앤토트플러스㈜</v>
          </cell>
          <cell r="AW83">
            <v>5202000</v>
          </cell>
          <cell r="AX83">
            <v>5202000</v>
          </cell>
          <cell r="AY83">
            <v>12</v>
          </cell>
          <cell r="AZ83">
            <v>62424000</v>
          </cell>
          <cell r="BA83"/>
          <cell r="BB83"/>
          <cell r="BC83">
            <v>45839</v>
          </cell>
          <cell r="BD83">
            <v>42803999.999999993</v>
          </cell>
          <cell r="BE83">
            <v>43776000</v>
          </cell>
          <cell r="BF83">
            <v>43776000</v>
          </cell>
          <cell r="BG83">
            <v>3648000</v>
          </cell>
          <cell r="BH83">
            <v>3093400</v>
          </cell>
          <cell r="BI83">
            <v>15757.89</v>
          </cell>
          <cell r="BJ83">
            <v>209</v>
          </cell>
          <cell r="BK83">
            <v>15</v>
          </cell>
          <cell r="BL83">
            <v>0</v>
          </cell>
          <cell r="BM83">
            <v>354600</v>
          </cell>
          <cell r="BN83">
            <v>0</v>
          </cell>
          <cell r="BO83">
            <v>200000</v>
          </cell>
          <cell r="BP83">
            <v>0</v>
          </cell>
          <cell r="BQ83" t="str">
            <v>적합</v>
          </cell>
          <cell r="BR83"/>
          <cell r="BS83">
            <v>630315.6</v>
          </cell>
          <cell r="BT83">
            <v>3700526.3</v>
          </cell>
          <cell r="BU83">
            <v>1965360</v>
          </cell>
          <cell r="BV83">
            <v>1685261.0304</v>
          </cell>
          <cell r="BW83">
            <v>641328</v>
          </cell>
          <cell r="BX83">
            <v>273081.59999999998</v>
          </cell>
          <cell r="BY83">
            <v>4560000</v>
          </cell>
          <cell r="BZ83">
            <v>48106841.899999999</v>
          </cell>
          <cell r="CA83">
            <v>4565030.6304000001</v>
          </cell>
          <cell r="CB83">
            <v>54720000</v>
          </cell>
          <cell r="CC83">
            <v>7704000</v>
          </cell>
          <cell r="CD83">
            <v>12.341407151095732</v>
          </cell>
        </row>
        <row r="84">
          <cell r="F84" t="str">
            <v>맹완호</v>
          </cell>
          <cell r="G84" t="str">
            <v>과장</v>
          </cell>
          <cell r="H84" t="str">
            <v>중급상</v>
          </cell>
          <cell r="I84" t="str">
            <v>중급기술자</v>
          </cell>
          <cell r="J84" t="str">
            <v>하도급(M/M)</v>
          </cell>
          <cell r="K84" t="str">
            <v>서버엔지니어</v>
          </cell>
          <cell r="L84" t="str">
            <v>조동순 후임</v>
          </cell>
          <cell r="M84" t="str">
            <v>02-6266-2383</v>
          </cell>
          <cell r="N84" t="str">
            <v>010-6500-8067</v>
          </cell>
          <cell r="O84" t="str">
            <v>maeng16@cnthoth.com</v>
          </cell>
          <cell r="P84" t="str">
            <v>820323-1</v>
          </cell>
          <cell r="Q84">
            <v>40513</v>
          </cell>
          <cell r="R84">
            <v>43160</v>
          </cell>
          <cell r="S84"/>
          <cell r="T84" t="str">
            <v>동서울대학</v>
          </cell>
          <cell r="U84" t="str">
            <v>정보통신과</v>
          </cell>
          <cell r="V84" t="str">
            <v>전문대졸</v>
          </cell>
          <cell r="W84" t="str">
            <v>CCNA</v>
          </cell>
          <cell r="X84" t="str">
            <v>SCSA</v>
          </cell>
          <cell r="Y84" t="str">
            <v>OCNA</v>
          </cell>
          <cell r="Z84">
            <v>5640</v>
          </cell>
          <cell r="AA84">
            <v>2993</v>
          </cell>
          <cell r="AB84"/>
          <cell r="AC84"/>
          <cell r="AD84" t="str">
            <v>SKB 7층_동작</v>
          </cell>
          <cell r="AE84" t="str">
            <v>서울특별시</v>
          </cell>
          <cell r="AF84" t="str">
            <v>4. SKB/SK하이닉스 Infra 운영</v>
          </cell>
          <cell r="AG84" t="str">
            <v>4. SKB/SK하이닉스 Infra 운영</v>
          </cell>
          <cell r="AH84" t="str">
            <v>SK AX</v>
          </cell>
          <cell r="AI84" t="str">
            <v>SKB(동작)</v>
          </cell>
          <cell r="AJ84" t="str">
            <v>박규성</v>
          </cell>
          <cell r="AK84" t="str">
            <v>07063</v>
          </cell>
          <cell r="AL84" t="str">
            <v>서울시 동작구 여의대방로 74 (신대방동) SK브로드밴드 7층</v>
          </cell>
          <cell r="AM84" t="str">
            <v>07765</v>
          </cell>
          <cell r="AN84" t="str">
            <v>서울특별시 강서구 가로공원로82길 41-21, B동 201호 (화곡동, 경인빌라)</v>
          </cell>
          <cell r="AO84" t="str">
            <v>ICT Cloud팀</v>
          </cell>
          <cell r="AP84" t="str">
            <v>SKB 서버 운영</v>
          </cell>
          <cell r="AQ84" t="str">
            <v>Unix(솔라리스) 운영</v>
          </cell>
          <cell r="AS84" t="str">
            <v>에스케이브로드밴드(주) / SKB 26년 IT장비 및 소프트웨어 유지보수_1분기(4500302989-01)</v>
          </cell>
          <cell r="AT84" t="str">
            <v>통상</v>
          </cell>
          <cell r="AU84" t="str">
            <v>정직원</v>
          </cell>
          <cell r="AV84" t="str">
            <v>씨앤토트플러스㈜</v>
          </cell>
          <cell r="AW84">
            <v>5779000</v>
          </cell>
          <cell r="AX84">
            <v>5779000</v>
          </cell>
          <cell r="AY84">
            <v>12</v>
          </cell>
          <cell r="AZ84">
            <v>69348000</v>
          </cell>
          <cell r="BC84">
            <v>45839</v>
          </cell>
          <cell r="BD84">
            <v>47808000</v>
          </cell>
          <cell r="BE84">
            <v>48900000</v>
          </cell>
          <cell r="BF84">
            <v>48900000</v>
          </cell>
          <cell r="BG84">
            <v>4075000</v>
          </cell>
          <cell r="BH84">
            <v>3478900</v>
          </cell>
          <cell r="BI84">
            <v>17602.39</v>
          </cell>
          <cell r="BJ84">
            <v>209</v>
          </cell>
          <cell r="BK84">
            <v>15</v>
          </cell>
          <cell r="BL84">
            <v>0</v>
          </cell>
          <cell r="BM84">
            <v>396100</v>
          </cell>
          <cell r="BN84">
            <v>0</v>
          </cell>
          <cell r="BO84">
            <v>200000</v>
          </cell>
          <cell r="BP84">
            <v>0</v>
          </cell>
          <cell r="BQ84" t="str">
            <v>적합</v>
          </cell>
          <cell r="BR84"/>
          <cell r="BS84">
            <v>704095.6</v>
          </cell>
          <cell r="BT84">
            <v>4133674.6333333333</v>
          </cell>
          <cell r="BU84">
            <v>2208750</v>
          </cell>
          <cell r="BV84">
            <v>1893963.5999999996</v>
          </cell>
          <cell r="BW84">
            <v>720750</v>
          </cell>
          <cell r="BX84">
            <v>306900</v>
          </cell>
          <cell r="BY84">
            <v>5093750</v>
          </cell>
          <cell r="BZ84">
            <v>53737770.233333334</v>
          </cell>
          <cell r="CA84">
            <v>5130363.5999999996</v>
          </cell>
          <cell r="CB84">
            <v>61125000</v>
          </cell>
          <cell r="CC84">
            <v>8223000</v>
          </cell>
          <cell r="CD84">
            <v>11.857587817961585</v>
          </cell>
        </row>
        <row r="85">
          <cell r="F85" t="str">
            <v>송찬호</v>
          </cell>
          <cell r="G85" t="str">
            <v>과장</v>
          </cell>
          <cell r="H85" t="str">
            <v>초급상</v>
          </cell>
          <cell r="I85" t="str">
            <v>초급기술자</v>
          </cell>
          <cell r="J85" t="str">
            <v>하도급(FTE)</v>
          </cell>
          <cell r="K85" t="str">
            <v>네트워크보안엔지니어</v>
          </cell>
          <cell r="L85" t="str">
            <v>김영수93 후임</v>
          </cell>
          <cell r="M85"/>
          <cell r="N85" t="str">
            <v>010-8215-1504</v>
          </cell>
          <cell r="O85" t="str">
            <v>cksgh1504@cnthoth.com</v>
          </cell>
          <cell r="P85" t="str">
            <v>930323-1</v>
          </cell>
          <cell r="Q85">
            <v>42588</v>
          </cell>
          <cell r="R85">
            <v>43466</v>
          </cell>
          <cell r="S85"/>
          <cell r="T85" t="str">
            <v>상명대학교(천안)</v>
          </cell>
          <cell r="U85" t="str">
            <v>컴퓨터시스템공학과</v>
          </cell>
          <cell r="V85" t="str">
            <v>대졸</v>
          </cell>
          <cell r="Z85">
            <v>3565</v>
          </cell>
          <cell r="AA85">
            <v>2687</v>
          </cell>
          <cell r="AB85"/>
          <cell r="AC85"/>
          <cell r="AD85" t="str">
            <v>SK AX A동 1F_판교</v>
          </cell>
          <cell r="AE85" t="str">
            <v>경기도</v>
          </cell>
          <cell r="AF85" t="str">
            <v>2. Network Service</v>
          </cell>
          <cell r="AG85" t="str">
            <v>2. Network Service</v>
          </cell>
          <cell r="AH85" t="str">
            <v>SK AX</v>
          </cell>
          <cell r="AI85" t="str">
            <v>SK그룹사(공통)</v>
          </cell>
          <cell r="AJ85" t="str">
            <v>최재유</v>
          </cell>
          <cell r="AK85">
            <v>13486</v>
          </cell>
          <cell r="AL85" t="str">
            <v>경기도 성남시 분당구 판교로 255번길 46 SK C&amp;C 판교캠퍼스 A동 4층</v>
          </cell>
          <cell r="AM85" t="str">
            <v>17033</v>
          </cell>
          <cell r="AN85" t="str">
            <v>경기도 용인시 처인구 모현읍 문현로 326, 203동 603호 (모현읍, 효천마을신안인스빌)</v>
          </cell>
          <cell r="AO85" t="str">
            <v>Network Service팀</v>
          </cell>
          <cell r="AP85" t="str">
            <v>SK공통 N/W 보안 운영</v>
          </cell>
          <cell r="AQ85" t="str">
            <v>N/W 보안 운영</v>
          </cell>
          <cell r="AS85" t="str">
            <v>고객사 공통 / 2026년_인프라운영_HC11_1분기(4500303149-01)</v>
          </cell>
          <cell r="AT85" t="str">
            <v>통상</v>
          </cell>
          <cell r="AU85" t="str">
            <v>정직원</v>
          </cell>
          <cell r="AV85" t="str">
            <v>씨앤토트플러스㈜</v>
          </cell>
          <cell r="AW85">
            <v>4728000</v>
          </cell>
          <cell r="AX85">
            <v>4728000</v>
          </cell>
          <cell r="AY85">
            <v>12</v>
          </cell>
          <cell r="AZ85">
            <v>56736000</v>
          </cell>
          <cell r="BA85"/>
          <cell r="BB85"/>
          <cell r="BC85">
            <v>46023</v>
          </cell>
          <cell r="BD85">
            <v>38760000</v>
          </cell>
          <cell r="BE85">
            <v>38760000</v>
          </cell>
          <cell r="BF85">
            <v>40260000</v>
          </cell>
          <cell r="BG85">
            <v>3355000</v>
          </cell>
          <cell r="BH85">
            <v>2828900</v>
          </cell>
          <cell r="BI85">
            <v>14492.34</v>
          </cell>
          <cell r="BJ85">
            <v>209</v>
          </cell>
          <cell r="BK85">
            <v>15</v>
          </cell>
          <cell r="BL85">
            <v>0</v>
          </cell>
          <cell r="BM85">
            <v>326100</v>
          </cell>
          <cell r="BN85">
            <v>0</v>
          </cell>
          <cell r="BO85">
            <v>200000</v>
          </cell>
          <cell r="BP85">
            <v>0</v>
          </cell>
          <cell r="BQ85" t="str">
            <v>적합</v>
          </cell>
          <cell r="BR85"/>
          <cell r="BS85">
            <v>579693.6</v>
          </cell>
          <cell r="BT85">
            <v>3403307.8</v>
          </cell>
          <cell r="BU85">
            <v>1798350</v>
          </cell>
          <cell r="BV85">
            <v>1542052.9439999999</v>
          </cell>
          <cell r="BW85">
            <v>586830</v>
          </cell>
          <cell r="BX85">
            <v>249876</v>
          </cell>
          <cell r="BY85">
            <v>4193750</v>
          </cell>
          <cell r="BZ85">
            <v>44243001.399999999</v>
          </cell>
          <cell r="CA85">
            <v>4177108.9440000001</v>
          </cell>
          <cell r="CB85">
            <v>50325000</v>
          </cell>
          <cell r="CC85">
            <v>6411000</v>
          </cell>
          <cell r="CD85">
            <v>11.299703891708967</v>
          </cell>
        </row>
        <row r="86">
          <cell r="F86" t="str">
            <v>허균</v>
          </cell>
          <cell r="G86" t="str">
            <v>대리</v>
          </cell>
          <cell r="H86" t="str">
            <v>초급하</v>
          </cell>
          <cell r="I86" t="str">
            <v>초급기술자</v>
          </cell>
          <cell r="J86" t="str">
            <v>하도급(M/M)</v>
          </cell>
          <cell r="K86" t="str">
            <v>네트워크엔지니어</v>
          </cell>
          <cell r="L86" t="str">
            <v>한성훈 후임</v>
          </cell>
          <cell r="M86"/>
          <cell r="N86" t="str">
            <v>010-8978-9202</v>
          </cell>
          <cell r="O86" t="str">
            <v>toy0137@cnthoth.com</v>
          </cell>
          <cell r="P86" t="str">
            <v>920217-1</v>
          </cell>
          <cell r="Q86">
            <v>43479</v>
          </cell>
          <cell r="R86">
            <v>43479</v>
          </cell>
          <cell r="S86"/>
          <cell r="T86" t="str">
            <v>김포대학교</v>
          </cell>
          <cell r="U86" t="str">
            <v>항공전기전자학과</v>
          </cell>
          <cell r="V86" t="str">
            <v>전문대졸</v>
          </cell>
          <cell r="W86" t="str">
            <v>CCNA</v>
          </cell>
          <cell r="X86" t="str">
            <v>CCNP</v>
          </cell>
          <cell r="Z86">
            <v>2674</v>
          </cell>
          <cell r="AA86">
            <v>2674</v>
          </cell>
          <cell r="AB86"/>
          <cell r="AC86"/>
          <cell r="AD86" t="str">
            <v>SKB 7층_동작</v>
          </cell>
          <cell r="AE86" t="str">
            <v>서울특별시</v>
          </cell>
          <cell r="AF86" t="str">
            <v>4. SKB/SK하이닉스 Infra 운영</v>
          </cell>
          <cell r="AG86" t="str">
            <v>4. SKB/SK하이닉스 Infra 운영</v>
          </cell>
          <cell r="AH86" t="str">
            <v>SK AX</v>
          </cell>
          <cell r="AI86" t="str">
            <v>SKB(동작)</v>
          </cell>
          <cell r="AJ86" t="str">
            <v>박규성</v>
          </cell>
          <cell r="AK86" t="str">
            <v>07063</v>
          </cell>
          <cell r="AL86" t="str">
            <v>서울시 동작구 여의대방로 74 (신대방동) SK브로드밴드 7층</v>
          </cell>
          <cell r="AM86" t="str">
            <v>06952</v>
          </cell>
          <cell r="AN86" t="str">
            <v>서울특별시 동작구 상도로 99-15 성대하이츠빌301호(상도3동)</v>
          </cell>
          <cell r="AO86" t="str">
            <v>ICT Cloud팀</v>
          </cell>
          <cell r="AP86" t="str">
            <v>SKB N/W 운영</v>
          </cell>
          <cell r="AQ86" t="str">
            <v>VPN 운영</v>
          </cell>
          <cell r="AS86" t="str">
            <v>에스케이브로드밴드(주) / SKB 26년 IT장비 및 소프트웨어 유지보수_1분기(4500302989-01)</v>
          </cell>
          <cell r="AT86" t="str">
            <v>통상</v>
          </cell>
          <cell r="AU86" t="str">
            <v>정직원</v>
          </cell>
          <cell r="AV86" t="str">
            <v>씨앤토트플러스㈜</v>
          </cell>
          <cell r="AW86">
            <v>4260000</v>
          </cell>
          <cell r="AX86">
            <v>4260000</v>
          </cell>
          <cell r="AY86">
            <v>12</v>
          </cell>
          <cell r="AZ86">
            <v>51120000</v>
          </cell>
          <cell r="BC86">
            <v>45839</v>
          </cell>
          <cell r="BD86">
            <v>32904000</v>
          </cell>
          <cell r="BE86">
            <v>33864000</v>
          </cell>
          <cell r="BF86">
            <v>33864000</v>
          </cell>
          <cell r="BG86">
            <v>2822000</v>
          </cell>
          <cell r="BH86">
            <v>2347700</v>
          </cell>
          <cell r="BI86">
            <v>12189.95</v>
          </cell>
          <cell r="BJ86">
            <v>209</v>
          </cell>
          <cell r="BK86">
            <v>15</v>
          </cell>
          <cell r="BL86">
            <v>0</v>
          </cell>
          <cell r="BM86">
            <v>274300</v>
          </cell>
          <cell r="BN86">
            <v>0</v>
          </cell>
          <cell r="BO86">
            <v>200000</v>
          </cell>
          <cell r="BP86">
            <v>0</v>
          </cell>
          <cell r="BQ86" t="str">
            <v>적합</v>
          </cell>
          <cell r="BR86"/>
          <cell r="BS86">
            <v>487598</v>
          </cell>
          <cell r="BT86">
            <v>2862633.1666666665</v>
          </cell>
          <cell r="BU86">
            <v>1494540</v>
          </cell>
          <cell r="BV86">
            <v>1281541.3056000001</v>
          </cell>
          <cell r="BW86">
            <v>487692</v>
          </cell>
          <cell r="BX86">
            <v>207662.4</v>
          </cell>
          <cell r="BY86">
            <v>3527500</v>
          </cell>
          <cell r="BZ86">
            <v>37214231.166666664</v>
          </cell>
          <cell r="CA86">
            <v>3471435.7056</v>
          </cell>
          <cell r="CB86">
            <v>42330000</v>
          </cell>
          <cell r="CC86">
            <v>8790000</v>
          </cell>
          <cell r="CD86">
            <v>17.194835680751176</v>
          </cell>
        </row>
        <row r="87">
          <cell r="F87" t="str">
            <v>이인표</v>
          </cell>
          <cell r="G87" t="str">
            <v>과장</v>
          </cell>
          <cell r="H87" t="str">
            <v>초급상</v>
          </cell>
          <cell r="I87" t="str">
            <v>초급기술자</v>
          </cell>
          <cell r="J87" t="str">
            <v>하도급(FTE)</v>
          </cell>
          <cell r="K87" t="str">
            <v>네트워크엔지니어</v>
          </cell>
          <cell r="L87" t="str">
            <v>최지웅 후임</v>
          </cell>
          <cell r="M87" t="str">
            <v>070-7800-2270</v>
          </cell>
          <cell r="N87" t="str">
            <v>010-3238-4096</v>
          </cell>
          <cell r="O87" t="str">
            <v>lip2234@cnthoth.com</v>
          </cell>
          <cell r="P87" t="str">
            <v>840225-1</v>
          </cell>
          <cell r="Q87">
            <v>42203</v>
          </cell>
          <cell r="R87">
            <v>43514</v>
          </cell>
          <cell r="S87"/>
          <cell r="T87" t="str">
            <v>한라대학교</v>
          </cell>
          <cell r="U87" t="str">
            <v>경영정보학과</v>
          </cell>
          <cell r="V87" t="str">
            <v>대졸</v>
          </cell>
          <cell r="W87" t="str">
            <v>CCNA</v>
          </cell>
          <cell r="X87" t="str">
            <v>CCNPIPRouting</v>
          </cell>
          <cell r="Z87">
            <v>3950</v>
          </cell>
          <cell r="AA87">
            <v>2639</v>
          </cell>
          <cell r="AB87"/>
          <cell r="AC87"/>
          <cell r="AD87" t="str">
            <v>삼일빌딩 26F_종로</v>
          </cell>
          <cell r="AE87" t="str">
            <v>서울특별시</v>
          </cell>
          <cell r="AF87" t="str">
            <v>2. Network Service</v>
          </cell>
          <cell r="AG87" t="str">
            <v>2. Network Service</v>
          </cell>
          <cell r="AH87" t="str">
            <v>SK AX</v>
          </cell>
          <cell r="AI87" t="str">
            <v>SK네트웍스</v>
          </cell>
          <cell r="AJ87" t="str">
            <v>개인</v>
          </cell>
          <cell r="AK87" t="str">
            <v>04539</v>
          </cell>
          <cell r="AL87" t="str">
            <v>서울시 종로구 청계천로 85 삼일빌딩 26층</v>
          </cell>
          <cell r="AM87" t="str">
            <v>02701</v>
          </cell>
          <cell r="AN87" t="str">
            <v>서울시 성북구 보국문로30길 28, 405호(정릉동,태솔에버빌)</v>
          </cell>
          <cell r="AO87" t="str">
            <v>Network Service팀</v>
          </cell>
          <cell r="AP87" t="str">
            <v>SK네트웍스, SK네트웍스 자회사(워커힐) 고객지원</v>
          </cell>
          <cell r="AQ87" t="str">
            <v>N/W 고객요청 처리</v>
          </cell>
          <cell r="AS87" t="str">
            <v>고객사 공통 / 2026년_인프라운영_HC11_1분기(4500303149-01)</v>
          </cell>
          <cell r="AT87" t="str">
            <v>통상</v>
          </cell>
          <cell r="AU87" t="str">
            <v>정직원</v>
          </cell>
          <cell r="AV87" t="str">
            <v>씨앤토트플러스㈜</v>
          </cell>
          <cell r="AW87">
            <v>4623000</v>
          </cell>
          <cell r="AX87">
            <v>4623000</v>
          </cell>
          <cell r="AY87">
            <v>12</v>
          </cell>
          <cell r="AZ87">
            <v>55476000</v>
          </cell>
          <cell r="BC87">
            <v>45839</v>
          </cell>
          <cell r="BD87">
            <v>36048000</v>
          </cell>
          <cell r="BE87">
            <v>36912000</v>
          </cell>
          <cell r="BF87">
            <v>36912000</v>
          </cell>
          <cell r="BG87">
            <v>3076000</v>
          </cell>
          <cell r="BH87">
            <v>2577000</v>
          </cell>
          <cell r="BI87">
            <v>13287.08</v>
          </cell>
          <cell r="BJ87">
            <v>209</v>
          </cell>
          <cell r="BK87">
            <v>15</v>
          </cell>
          <cell r="BL87">
            <v>0</v>
          </cell>
          <cell r="BM87">
            <v>299000</v>
          </cell>
          <cell r="BN87">
            <v>0</v>
          </cell>
          <cell r="BO87">
            <v>200000</v>
          </cell>
          <cell r="BP87">
            <v>0</v>
          </cell>
          <cell r="BQ87" t="str">
            <v>적합</v>
          </cell>
          <cell r="BR87"/>
          <cell r="BS87">
            <v>531483.19999999995</v>
          </cell>
          <cell r="BT87">
            <v>3120290.2666666666</v>
          </cell>
          <cell r="BU87">
            <v>1639320</v>
          </cell>
          <cell r="BV87">
            <v>1405687.5648000001</v>
          </cell>
          <cell r="BW87">
            <v>534936</v>
          </cell>
          <cell r="BX87">
            <v>227779.20000000001</v>
          </cell>
          <cell r="BY87">
            <v>3845000</v>
          </cell>
          <cell r="BZ87">
            <v>40563773.466666669</v>
          </cell>
          <cell r="CA87">
            <v>3807722.7648</v>
          </cell>
          <cell r="CB87">
            <v>46140000</v>
          </cell>
          <cell r="CC87">
            <v>9336000</v>
          </cell>
          <cell r="CD87">
            <v>16.82889898334415</v>
          </cell>
        </row>
        <row r="88">
          <cell r="F88" t="str">
            <v>이은서</v>
          </cell>
          <cell r="G88" t="str">
            <v>대리</v>
          </cell>
          <cell r="H88" t="str">
            <v>초급상</v>
          </cell>
          <cell r="I88" t="str">
            <v>초급기술자</v>
          </cell>
          <cell r="J88" t="str">
            <v>하도급(M/M)</v>
          </cell>
          <cell r="K88" t="str">
            <v>서버엔지니어</v>
          </cell>
          <cell r="L88" t="str">
            <v>2023_신규</v>
          </cell>
          <cell r="M88"/>
          <cell r="N88" t="str">
            <v>010-9919-1274</v>
          </cell>
          <cell r="O88" t="str">
            <v>leeseo4614@cnthoth.com</v>
          </cell>
          <cell r="P88" t="str">
            <v>950913-1</v>
          </cell>
          <cell r="Q88">
            <v>43556</v>
          </cell>
          <cell r="R88">
            <v>43549</v>
          </cell>
          <cell r="S88"/>
          <cell r="T88" t="str">
            <v>여주대학교</v>
          </cell>
          <cell r="U88" t="str">
            <v>컴퓨터정보과</v>
          </cell>
          <cell r="V88" t="str">
            <v>전문대졸</v>
          </cell>
          <cell r="Z88">
            <v>2597</v>
          </cell>
          <cell r="AA88">
            <v>2604</v>
          </cell>
          <cell r="AB88"/>
          <cell r="AC88"/>
          <cell r="AD88" t="str">
            <v>SK하이닉스_이천</v>
          </cell>
          <cell r="AE88" t="str">
            <v>경기도</v>
          </cell>
          <cell r="AF88" t="str">
            <v>4. SKB/SK하이닉스 Infra 운영</v>
          </cell>
          <cell r="AG88" t="str">
            <v>4. SKB/SK하이닉스 Infra 운영</v>
          </cell>
          <cell r="AH88" t="str">
            <v>SK AX</v>
          </cell>
          <cell r="AI88" t="str">
            <v>SK하이닉스(이천)</v>
          </cell>
          <cell r="AJ88" t="str">
            <v>이은서</v>
          </cell>
          <cell r="AK88" t="str">
            <v>17336</v>
          </cell>
          <cell r="AL88" t="str">
            <v xml:space="preserve">경기도 이천시 부발읍 경충대로 2091, SK하이닉스 기술지원센터 6층 SKHDC2 </v>
          </cell>
          <cell r="AM88">
            <v>12637</v>
          </cell>
          <cell r="AN88" t="str">
            <v>경기도 여주시 현암3길 45, B동 306호 (현암동, 현암강변빌라)</v>
          </cell>
          <cell r="AO88" t="str">
            <v>Hynix Cloud팀</v>
          </cell>
          <cell r="AP88" t="str">
            <v>SK하이닉스 서버 운영</v>
          </cell>
          <cell r="AQ88" t="str">
            <v>Linux 서버 운영</v>
          </cell>
          <cell r="AS88" t="str">
            <v>에스케이하이닉스(주) / SKHy '26년 ITO_인프라_1분기(4500303686-01)</v>
          </cell>
          <cell r="AT88" t="str">
            <v>통상</v>
          </cell>
          <cell r="AU88" t="str">
            <v>정직원</v>
          </cell>
          <cell r="AV88" t="str">
            <v>씨앤토트플러스㈜</v>
          </cell>
          <cell r="AW88">
            <v>5667000</v>
          </cell>
          <cell r="AX88">
            <v>5667000</v>
          </cell>
          <cell r="AY88">
            <v>12</v>
          </cell>
          <cell r="AZ88">
            <v>68004000</v>
          </cell>
          <cell r="BA88"/>
          <cell r="BB88"/>
          <cell r="BC88">
            <v>45839</v>
          </cell>
          <cell r="BD88">
            <v>38004000</v>
          </cell>
          <cell r="BE88">
            <v>39204000</v>
          </cell>
          <cell r="BF88">
            <v>39204000</v>
          </cell>
          <cell r="BG88">
            <v>3267000</v>
          </cell>
          <cell r="BH88">
            <v>2749400</v>
          </cell>
          <cell r="BI88">
            <v>14111.96</v>
          </cell>
          <cell r="BJ88">
            <v>209</v>
          </cell>
          <cell r="BK88">
            <v>15</v>
          </cell>
          <cell r="BL88">
            <v>0</v>
          </cell>
          <cell r="BM88">
            <v>317600</v>
          </cell>
          <cell r="BN88">
            <v>0</v>
          </cell>
          <cell r="BO88">
            <v>200000</v>
          </cell>
          <cell r="BP88">
            <v>0</v>
          </cell>
          <cell r="BQ88" t="str">
            <v>적합</v>
          </cell>
          <cell r="BR88"/>
          <cell r="BS88">
            <v>564478.39999999991</v>
          </cell>
          <cell r="BT88">
            <v>3314039.8666666667</v>
          </cell>
          <cell r="BU88">
            <v>1748190</v>
          </cell>
          <cell r="BV88">
            <v>1499041.6416</v>
          </cell>
          <cell r="BW88">
            <v>570462</v>
          </cell>
          <cell r="BX88">
            <v>242906.4</v>
          </cell>
          <cell r="BY88">
            <v>4083750</v>
          </cell>
          <cell r="BZ88">
            <v>43082518.266666666</v>
          </cell>
          <cell r="CA88">
            <v>4060600.0415999996</v>
          </cell>
          <cell r="CB88">
            <v>49005000</v>
          </cell>
          <cell r="CC88">
            <v>18999000</v>
          </cell>
          <cell r="CD88">
            <v>27.93806246691371</v>
          </cell>
        </row>
        <row r="89">
          <cell r="F89" t="str">
            <v>최도원</v>
          </cell>
          <cell r="G89" t="str">
            <v>대리</v>
          </cell>
          <cell r="H89" t="str">
            <v>초급상</v>
          </cell>
          <cell r="I89" t="str">
            <v>초급기술자</v>
          </cell>
          <cell r="J89" t="str">
            <v>하도급(M/M)</v>
          </cell>
          <cell r="K89" t="str">
            <v>서버엔지니어</v>
          </cell>
          <cell r="L89" t="str">
            <v>2024_신규</v>
          </cell>
          <cell r="M89"/>
          <cell r="N89" t="str">
            <v>010-8977-9402</v>
          </cell>
          <cell r="O89" t="str">
            <v>arkpl88@cnthoth.com</v>
          </cell>
          <cell r="P89" t="str">
            <v>960720-1</v>
          </cell>
          <cell r="Q89">
            <v>43556</v>
          </cell>
          <cell r="R89">
            <v>43556</v>
          </cell>
          <cell r="S89"/>
          <cell r="T89" t="str">
            <v>여주대학교</v>
          </cell>
          <cell r="U89" t="str">
            <v>컴퓨터정보과</v>
          </cell>
          <cell r="V89" t="str">
            <v>전문대졸</v>
          </cell>
          <cell r="Z89">
            <v>2597</v>
          </cell>
          <cell r="AA89">
            <v>2597</v>
          </cell>
          <cell r="AB89"/>
          <cell r="AC89"/>
          <cell r="AD89" t="str">
            <v>SK하이닉스_이천</v>
          </cell>
          <cell r="AE89" t="str">
            <v>경기도</v>
          </cell>
          <cell r="AF89" t="str">
            <v>4. SKB/SK하이닉스 Infra 운영</v>
          </cell>
          <cell r="AG89" t="str">
            <v>4. SKB/SK하이닉스 Infra 운영</v>
          </cell>
          <cell r="AH89" t="str">
            <v>SK AX</v>
          </cell>
          <cell r="AI89" t="str">
            <v>SK하이닉스(이천)</v>
          </cell>
          <cell r="AJ89" t="str">
            <v>이은서</v>
          </cell>
          <cell r="AK89" t="str">
            <v>17336</v>
          </cell>
          <cell r="AL89" t="str">
            <v xml:space="preserve">경기도 이천시 부발읍 경충대로 2091, SK하이닉스 기술지원센터 6층 SKHDC2 </v>
          </cell>
          <cell r="AM89">
            <v>12633</v>
          </cell>
          <cell r="AN89" t="str">
            <v>경기도 여주시 세종로 173-65, 102동 1401호 (홍문동, 상우아파트)</v>
          </cell>
          <cell r="AO89" t="str">
            <v>Hynix Cloud팀</v>
          </cell>
          <cell r="AP89" t="str">
            <v>SK하이닉스 서버 운영</v>
          </cell>
          <cell r="AQ89" t="str">
            <v>Linux 서버 운영</v>
          </cell>
          <cell r="AS89" t="str">
            <v>에스케이하이닉스(주) / SKHy '26년 ITO_인프라_1분기(4500303686-01)</v>
          </cell>
          <cell r="AT89" t="str">
            <v>통상</v>
          </cell>
          <cell r="AU89" t="str">
            <v>정직원</v>
          </cell>
          <cell r="AV89" t="str">
            <v>씨앤토트플러스㈜</v>
          </cell>
          <cell r="AW89">
            <v>5778000</v>
          </cell>
          <cell r="AX89">
            <v>5778000</v>
          </cell>
          <cell r="AY89">
            <v>12</v>
          </cell>
          <cell r="AZ89">
            <v>69336000</v>
          </cell>
          <cell r="BA89"/>
          <cell r="BB89"/>
          <cell r="BC89">
            <v>45839</v>
          </cell>
          <cell r="BD89">
            <v>35568000</v>
          </cell>
          <cell r="BE89">
            <v>37368000</v>
          </cell>
          <cell r="BF89">
            <v>37368000</v>
          </cell>
          <cell r="BG89">
            <v>3114000</v>
          </cell>
          <cell r="BH89">
            <v>2611300</v>
          </cell>
          <cell r="BI89">
            <v>13451.2</v>
          </cell>
          <cell r="BJ89">
            <v>209</v>
          </cell>
          <cell r="BK89">
            <v>15</v>
          </cell>
          <cell r="BL89">
            <v>0</v>
          </cell>
          <cell r="BM89">
            <v>302700</v>
          </cell>
          <cell r="BN89">
            <v>0</v>
          </cell>
          <cell r="BO89">
            <v>200000</v>
          </cell>
          <cell r="BP89">
            <v>0</v>
          </cell>
          <cell r="BQ89" t="str">
            <v>적합</v>
          </cell>
          <cell r="BR89"/>
          <cell r="BS89">
            <v>538048</v>
          </cell>
          <cell r="BT89">
            <v>3158837.3333333335</v>
          </cell>
          <cell r="BU89">
            <v>1660980</v>
          </cell>
          <cell r="BV89">
            <v>1424260.6272</v>
          </cell>
          <cell r="BW89">
            <v>542004</v>
          </cell>
          <cell r="BX89">
            <v>230788.8</v>
          </cell>
          <cell r="BY89">
            <v>3892500</v>
          </cell>
          <cell r="BZ89">
            <v>41064885.333333336</v>
          </cell>
          <cell r="CA89">
            <v>3858033.4271999998</v>
          </cell>
          <cell r="CB89">
            <v>46710000</v>
          </cell>
          <cell r="CC89">
            <v>22626000</v>
          </cell>
          <cell r="CD89">
            <v>32.63239875389408</v>
          </cell>
        </row>
        <row r="90">
          <cell r="F90" t="str">
            <v>탁오현</v>
          </cell>
          <cell r="G90" t="str">
            <v>과장</v>
          </cell>
          <cell r="H90" t="str">
            <v>초급상</v>
          </cell>
          <cell r="I90" t="str">
            <v>초급기술자</v>
          </cell>
          <cell r="J90" t="str">
            <v>하도급(M/M)</v>
          </cell>
          <cell r="K90" t="str">
            <v>네트워크엔지니어</v>
          </cell>
          <cell r="L90" t="str">
            <v>송규인 후임</v>
          </cell>
          <cell r="M90"/>
          <cell r="N90" t="str">
            <v>010-9869-6915</v>
          </cell>
          <cell r="O90" t="str">
            <v>ohhyun@cnthoth.com</v>
          </cell>
          <cell r="P90" t="str">
            <v>931102-1</v>
          </cell>
          <cell r="Q90">
            <v>41395</v>
          </cell>
          <cell r="R90">
            <v>43556</v>
          </cell>
          <cell r="S90"/>
          <cell r="T90" t="str">
            <v>양영디지털고등학교</v>
          </cell>
          <cell r="U90" t="str">
            <v>로봇전자과</v>
          </cell>
          <cell r="V90" t="str">
            <v>고졸</v>
          </cell>
          <cell r="W90"/>
          <cell r="X90"/>
          <cell r="Y90"/>
          <cell r="Z90">
            <v>4758</v>
          </cell>
          <cell r="AA90">
            <v>2597</v>
          </cell>
          <cell r="AB90"/>
          <cell r="AC90"/>
          <cell r="AD90" t="str">
            <v>판교NOC</v>
          </cell>
          <cell r="AE90" t="str">
            <v>경기도</v>
          </cell>
          <cell r="AF90" t="str">
            <v>2. Network Service</v>
          </cell>
          <cell r="AG90" t="str">
            <v>2. Network Service</v>
          </cell>
          <cell r="AH90" t="str">
            <v>SK AX</v>
          </cell>
          <cell r="AI90" t="str">
            <v>SK그룹사(공통)</v>
          </cell>
          <cell r="AJ90" t="str">
            <v>최재유</v>
          </cell>
          <cell r="AK90">
            <v>13486</v>
          </cell>
          <cell r="AL90" t="str">
            <v>경기도 성남시 분당구 판교로 255번길 46 SK C&amp;C 판교캠퍼스 A동 4층</v>
          </cell>
          <cell r="AM90" t="str">
            <v>13544</v>
          </cell>
          <cell r="AN90" t="str">
            <v>경기도 성남시 분당구 판교대장로5길 58, 1107동 1403호 (대장동, 더샵 판교포레스트 11단지)</v>
          </cell>
          <cell r="AO90" t="str">
            <v>Network Service팀</v>
          </cell>
          <cell r="AP90" t="str">
            <v>SKHC, SK바이오텍, SK바이오팜, SKMS, SK스페셜티(자회사 포함 : 머티리얼즈, SK에어가스, SK트리켐, SK에버텍엔터프라이즈, SKJNC, SK쇼와덴코) 고객지원</v>
          </cell>
          <cell r="AQ90" t="str">
            <v>N/W 구축 및 유지보수</v>
          </cell>
          <cell r="AS90" t="str">
            <v>고객사 공통 / 2026년_인프라운영_HC11_1분기(4500303149-01)</v>
          </cell>
          <cell r="AT90" t="str">
            <v>통상</v>
          </cell>
          <cell r="AU90" t="str">
            <v>정직원</v>
          </cell>
          <cell r="AV90" t="str">
            <v>씨앤토트플러스㈜</v>
          </cell>
          <cell r="AW90">
            <v>5141000</v>
          </cell>
          <cell r="AX90">
            <v>5466000</v>
          </cell>
          <cell r="AY90">
            <v>12</v>
          </cell>
          <cell r="AZ90">
            <v>65592000</v>
          </cell>
          <cell r="BA90"/>
          <cell r="BB90"/>
          <cell r="BC90">
            <v>46023</v>
          </cell>
          <cell r="BD90">
            <v>42480000</v>
          </cell>
          <cell r="BE90">
            <v>43548000</v>
          </cell>
          <cell r="BF90">
            <v>46549200</v>
          </cell>
          <cell r="BG90">
            <v>3879100</v>
          </cell>
          <cell r="BH90">
            <v>3302000</v>
          </cell>
          <cell r="BI90">
            <v>16755.98</v>
          </cell>
          <cell r="BJ90">
            <v>209</v>
          </cell>
          <cell r="BK90">
            <v>15</v>
          </cell>
          <cell r="BL90">
            <v>0</v>
          </cell>
          <cell r="BM90">
            <v>377100</v>
          </cell>
          <cell r="BN90">
            <v>0</v>
          </cell>
          <cell r="BO90">
            <v>200000</v>
          </cell>
          <cell r="BP90">
            <v>0</v>
          </cell>
          <cell r="BQ90" t="str">
            <v>적합</v>
          </cell>
          <cell r="BR90"/>
          <cell r="BS90">
            <v>670239.19999999995</v>
          </cell>
          <cell r="BT90">
            <v>3934953.2666666666</v>
          </cell>
          <cell r="BU90">
            <v>2097087</v>
          </cell>
          <cell r="BV90">
            <v>1798214.57568</v>
          </cell>
          <cell r="BW90">
            <v>684312.6</v>
          </cell>
          <cell r="BX90">
            <v>291384.71999999997</v>
          </cell>
          <cell r="BY90">
            <v>4848875</v>
          </cell>
          <cell r="BZ90">
            <v>51154392.466666669</v>
          </cell>
          <cell r="CA90">
            <v>4870998.8956799991</v>
          </cell>
          <cell r="CB90">
            <v>58186500</v>
          </cell>
          <cell r="CC90">
            <v>7405500</v>
          </cell>
          <cell r="CD90">
            <v>11.290248810830589</v>
          </cell>
        </row>
        <row r="91">
          <cell r="F91" t="str">
            <v>정혜진</v>
          </cell>
          <cell r="G91" t="str">
            <v>대리</v>
          </cell>
          <cell r="H91" t="str">
            <v>고능</v>
          </cell>
          <cell r="I91" t="str">
            <v>고급기능사</v>
          </cell>
          <cell r="J91" t="str">
            <v>하도급(M/M)</v>
          </cell>
          <cell r="K91" t="str">
            <v>서비스 관제 엔지니어</v>
          </cell>
          <cell r="L91" t="str">
            <v>허회국 후임</v>
          </cell>
          <cell r="M91" t="str">
            <v>02-6400-5026</v>
          </cell>
          <cell r="N91" t="str">
            <v>010-3909-5173</v>
          </cell>
          <cell r="O91" t="str">
            <v>ekfhd5173@cnthoth.com</v>
          </cell>
          <cell r="P91" t="str">
            <v>961125-2</v>
          </cell>
          <cell r="Q91">
            <v>44291</v>
          </cell>
          <cell r="R91">
            <v>44291</v>
          </cell>
          <cell r="S91"/>
          <cell r="T91" t="str">
            <v>부경대학교</v>
          </cell>
          <cell r="U91" t="str">
            <v>방송영상영화과</v>
          </cell>
          <cell r="V91" t="str">
            <v>대졸</v>
          </cell>
          <cell r="W91" t="str">
            <v>AZ-900</v>
          </cell>
          <cell r="Z91">
            <v>1862</v>
          </cell>
          <cell r="AA91">
            <v>1862</v>
          </cell>
          <cell r="AB91"/>
          <cell r="AC91"/>
          <cell r="AD91" t="str">
            <v>판교DC</v>
          </cell>
          <cell r="AE91" t="str">
            <v>경기도</v>
          </cell>
          <cell r="AF91" t="str">
            <v>1. Infra 운영</v>
          </cell>
          <cell r="AG91" t="str">
            <v>1. Infra 운영</v>
          </cell>
          <cell r="AH91" t="str">
            <v>SK AX</v>
          </cell>
          <cell r="AI91" t="str">
            <v>SK그룹사(공통)</v>
          </cell>
          <cell r="AJ91" t="str">
            <v>김성구</v>
          </cell>
          <cell r="AK91">
            <v>13486</v>
          </cell>
          <cell r="AL91" t="str">
            <v>경기도 성남시 분당구 판교로 255번길 46 SK(주) C&amp;C 판교캠퍼스 A동 1층</v>
          </cell>
          <cell r="AM91" t="str">
            <v>10406</v>
          </cell>
          <cell r="AN91" t="str">
            <v>경기도 고양시 일산동구 일산로380번길 43-15 (정발산동)</v>
          </cell>
          <cell r="AO91" t="str">
            <v>CloudControlCenter팀</v>
          </cell>
          <cell r="AP91" t="str">
            <v>판교 DC 운영</v>
          </cell>
          <cell r="AQ91" t="str">
            <v>H/W 육안점검, 시스템 모니터링 및 장애 전파</v>
          </cell>
          <cell r="AS91" t="str">
            <v>고객사 공통 / 2026년_VDI_01_1분기(4500302906-01)</v>
          </cell>
          <cell r="AT91" t="str">
            <v>스케줄</v>
          </cell>
          <cell r="AU91" t="str">
            <v>정직원</v>
          </cell>
          <cell r="AV91" t="str">
            <v>씨앤토트플러스㈜</v>
          </cell>
          <cell r="AW91">
            <v>4243000</v>
          </cell>
          <cell r="AX91">
            <v>4243000</v>
          </cell>
          <cell r="AY91">
            <v>12</v>
          </cell>
          <cell r="AZ91">
            <v>50916000</v>
          </cell>
          <cell r="BA91"/>
          <cell r="BB91"/>
          <cell r="BC91">
            <v>45839</v>
          </cell>
          <cell r="BD91">
            <v>33630360</v>
          </cell>
          <cell r="BE91">
            <v>35146800</v>
          </cell>
          <cell r="BF91">
            <v>35146800</v>
          </cell>
          <cell r="BG91">
            <v>2928900</v>
          </cell>
          <cell r="BH91">
            <v>2166500</v>
          </cell>
          <cell r="BI91">
            <v>12861.41</v>
          </cell>
          <cell r="BJ91">
            <v>184</v>
          </cell>
          <cell r="BK91">
            <v>38.020000000000003</v>
          </cell>
          <cell r="BL91">
            <v>49.43</v>
          </cell>
          <cell r="BM91">
            <v>244500</v>
          </cell>
          <cell r="BN91">
            <v>317900</v>
          </cell>
          <cell r="BO91">
            <v>200000</v>
          </cell>
          <cell r="BP91">
            <v>2329523</v>
          </cell>
          <cell r="BQ91" t="str">
            <v>적합</v>
          </cell>
          <cell r="BR91"/>
          <cell r="BS91">
            <v>1286141</v>
          </cell>
          <cell r="BT91">
            <v>3036078.4166666665</v>
          </cell>
          <cell r="BU91">
            <v>1555473</v>
          </cell>
          <cell r="BV91">
            <v>1333790.2627199998</v>
          </cell>
          <cell r="BW91">
            <v>507575.4</v>
          </cell>
          <cell r="BX91">
            <v>216128.88</v>
          </cell>
          <cell r="BY91">
            <v>3661125</v>
          </cell>
          <cell r="BZ91">
            <v>39469019.416666664</v>
          </cell>
          <cell r="CA91">
            <v>3612967.5427199998</v>
          </cell>
          <cell r="CB91">
            <v>43933500</v>
          </cell>
          <cell r="CC91">
            <v>4163777.17</v>
          </cell>
          <cell r="CD91">
            <v>8.1777381766046027</v>
          </cell>
        </row>
        <row r="92">
          <cell r="F92" t="str">
            <v>강연길</v>
          </cell>
          <cell r="G92" t="str">
            <v>차장</v>
          </cell>
          <cell r="H92" t="str">
            <v>중급하</v>
          </cell>
          <cell r="I92" t="str">
            <v>중급기술자</v>
          </cell>
          <cell r="J92" t="str">
            <v>하도급(M/M)</v>
          </cell>
          <cell r="K92" t="str">
            <v>서버엔지니어</v>
          </cell>
          <cell r="L92" t="str">
            <v>2019_신규</v>
          </cell>
          <cell r="M92"/>
          <cell r="N92" t="str">
            <v>010-9765-9113</v>
          </cell>
          <cell r="O92" t="str">
            <v>kyk84@cnthoth.com</v>
          </cell>
          <cell r="P92" t="str">
            <v>841117-1</v>
          </cell>
          <cell r="Q92">
            <v>40756</v>
          </cell>
          <cell r="R92">
            <v>43724</v>
          </cell>
          <cell r="S92">
            <v>43724</v>
          </cell>
          <cell r="T92" t="str">
            <v>경원대학교</v>
          </cell>
          <cell r="U92" t="str">
            <v>컴퓨터소프트웨어</v>
          </cell>
          <cell r="V92" t="str">
            <v>대졸</v>
          </cell>
          <cell r="W92" t="str">
            <v>정보처리기사</v>
          </cell>
          <cell r="X92" t="str">
            <v>정보기기운용기능사</v>
          </cell>
          <cell r="Y92"/>
          <cell r="Z92">
            <v>5397</v>
          </cell>
          <cell r="AA92">
            <v>2429</v>
          </cell>
          <cell r="AB92"/>
          <cell r="AC92"/>
          <cell r="AD92" t="str">
            <v>SKT 5F_수내</v>
          </cell>
          <cell r="AE92" t="str">
            <v>경기도</v>
          </cell>
          <cell r="AF92" t="str">
            <v>1. Infra 운영</v>
          </cell>
          <cell r="AG92" t="str">
            <v>1. Infra 운영</v>
          </cell>
          <cell r="AH92" t="str">
            <v>SK AX</v>
          </cell>
          <cell r="AI92" t="str">
            <v>SKT(수내)</v>
          </cell>
          <cell r="AJ92" t="str">
            <v>개인</v>
          </cell>
          <cell r="AK92">
            <v>13595</v>
          </cell>
          <cell r="AL92" t="str">
            <v>경기도 분당구 황새울로 258번길 6 SKT 5F</v>
          </cell>
          <cell r="AM92" t="str">
            <v>12790</v>
          </cell>
          <cell r="AN92" t="str">
            <v>경기도 광주시 고산별빛1로 11 오포자이디오브 301동 502호</v>
          </cell>
          <cell r="AO92" t="str">
            <v>ICT Cloud팀</v>
          </cell>
          <cell r="AP92" t="str">
            <v>SKT 서버 운영</v>
          </cell>
          <cell r="AQ92" t="str">
            <v>Linux 서버 운영</v>
          </cell>
          <cell r="AR92"/>
          <cell r="AS92" t="str">
            <v>에스케이텔레콤(주) / SKT 25년 부가문자음성 유지보수_26년1분기(4500302136-01)</v>
          </cell>
          <cell r="AT92" t="str">
            <v>통상</v>
          </cell>
          <cell r="AU92" t="str">
            <v>정직원</v>
          </cell>
          <cell r="AV92" t="str">
            <v>씨앤토트플러스㈜</v>
          </cell>
          <cell r="AW92">
            <v>5245000</v>
          </cell>
          <cell r="AX92">
            <v>5245000</v>
          </cell>
          <cell r="AY92">
            <v>12</v>
          </cell>
          <cell r="AZ92">
            <v>62940000</v>
          </cell>
          <cell r="BA92"/>
          <cell r="BB92"/>
          <cell r="BC92">
            <v>46023</v>
          </cell>
          <cell r="BD92">
            <v>44700000</v>
          </cell>
          <cell r="BE92">
            <v>45780000</v>
          </cell>
          <cell r="BF92">
            <v>46780800</v>
          </cell>
          <cell r="BG92">
            <v>3898400</v>
          </cell>
          <cell r="BH92">
            <v>3319500</v>
          </cell>
          <cell r="BI92">
            <v>16839.71</v>
          </cell>
          <cell r="BJ92">
            <v>209</v>
          </cell>
          <cell r="BK92">
            <v>15</v>
          </cell>
          <cell r="BL92">
            <v>0</v>
          </cell>
          <cell r="BM92">
            <v>378900</v>
          </cell>
          <cell r="BN92">
            <v>0</v>
          </cell>
          <cell r="BO92">
            <v>200000</v>
          </cell>
          <cell r="BP92">
            <v>0</v>
          </cell>
          <cell r="BQ92" t="str">
            <v>적합</v>
          </cell>
          <cell r="BR92"/>
          <cell r="BS92">
            <v>673588.39999999991</v>
          </cell>
          <cell r="BT92">
            <v>3954532.3666666667</v>
          </cell>
          <cell r="BU92">
            <v>2108088</v>
          </cell>
          <cell r="BV92">
            <v>1807647.7363199997</v>
          </cell>
          <cell r="BW92">
            <v>687902.4</v>
          </cell>
          <cell r="BX92">
            <v>292913.27999999997</v>
          </cell>
          <cell r="BY92">
            <v>4873000</v>
          </cell>
          <cell r="BZ92">
            <v>51408920.766666666</v>
          </cell>
          <cell r="CA92">
            <v>4896551.4163199998</v>
          </cell>
          <cell r="CB92">
            <v>58476000</v>
          </cell>
          <cell r="CC92">
            <v>4464000</v>
          </cell>
          <cell r="CD92">
            <v>7.0924690181124879</v>
          </cell>
        </row>
        <row r="93">
          <cell r="F93" t="str">
            <v>김요한</v>
          </cell>
          <cell r="G93" t="str">
            <v>과장</v>
          </cell>
          <cell r="H93" t="str">
            <v>중급하</v>
          </cell>
          <cell r="I93" t="str">
            <v>중급기술자</v>
          </cell>
          <cell r="J93" t="str">
            <v>하도급(M/M)</v>
          </cell>
          <cell r="K93" t="str">
            <v>네트워크엔지니어</v>
          </cell>
          <cell r="L93" t="str">
            <v>김지훈 후임</v>
          </cell>
          <cell r="M93" t="str">
            <v>02-6400-7609</v>
          </cell>
          <cell r="N93" t="str">
            <v>010-2873-0850</v>
          </cell>
          <cell r="O93" t="str">
            <v>yohan.kim@cnthoth.com</v>
          </cell>
          <cell r="P93" t="str">
            <v>871015-1</v>
          </cell>
          <cell r="Q93">
            <v>41214</v>
          </cell>
          <cell r="R93">
            <v>43734</v>
          </cell>
          <cell r="S93"/>
          <cell r="T93" t="str">
            <v>목포대학교</v>
          </cell>
          <cell r="U93" t="str">
            <v>정보통신공학</v>
          </cell>
          <cell r="V93" t="str">
            <v>대졸</v>
          </cell>
          <cell r="W93" t="str">
            <v>정보기기운용기능사</v>
          </cell>
          <cell r="X93"/>
          <cell r="Y93"/>
          <cell r="Z93">
            <v>4939</v>
          </cell>
          <cell r="AA93">
            <v>2419</v>
          </cell>
          <cell r="AB93"/>
          <cell r="AC93"/>
          <cell r="AD93" t="str">
            <v>SK㈜ U타워_정자</v>
          </cell>
          <cell r="AE93" t="str">
            <v>경기도</v>
          </cell>
          <cell r="AF93" t="str">
            <v>2. Network Service</v>
          </cell>
          <cell r="AG93" t="str">
            <v>2. Network Service</v>
          </cell>
          <cell r="AH93" t="str">
            <v>SK AX</v>
          </cell>
          <cell r="AI93" t="str">
            <v>SK그룹사(공통)</v>
          </cell>
          <cell r="AJ93" t="str">
            <v>최재유</v>
          </cell>
          <cell r="AK93">
            <v>13486</v>
          </cell>
          <cell r="AL93" t="str">
            <v>경기도 성남시 분당구 판교로 255번길 46 SK C&amp;C 판교캠퍼스 A동 4층</v>
          </cell>
          <cell r="AM93" t="str">
            <v>12821</v>
          </cell>
          <cell r="AN93" t="str">
            <v>경기도 광주시 새말길 239, 303호 (신현동)</v>
          </cell>
          <cell r="AO93" t="str">
            <v>Network Service팀</v>
          </cell>
          <cell r="AP93" t="str">
            <v>SKC&amp;C, 그룹포탈 고객지원</v>
          </cell>
          <cell r="AQ93" t="str">
            <v>N/W 구축 및 유지보수</v>
          </cell>
          <cell r="AS93" t="str">
            <v>고객사 공통 / 26년 SKAX Network 운영_1분기(4500302319-01)</v>
          </cell>
          <cell r="AT93" t="str">
            <v>통상</v>
          </cell>
          <cell r="AU93" t="str">
            <v>정직원</v>
          </cell>
          <cell r="AV93" t="str">
            <v>씨앤토트플러스㈜</v>
          </cell>
          <cell r="AW93">
            <v>5464000</v>
          </cell>
          <cell r="AX93">
            <v>5464000</v>
          </cell>
          <cell r="AY93">
            <v>12</v>
          </cell>
          <cell r="AZ93">
            <v>65568000</v>
          </cell>
          <cell r="BA93"/>
          <cell r="BB93"/>
          <cell r="BC93">
            <v>45839</v>
          </cell>
          <cell r="BD93">
            <v>43008000</v>
          </cell>
          <cell r="BE93">
            <v>44040000</v>
          </cell>
          <cell r="BF93">
            <v>44040000</v>
          </cell>
          <cell r="BG93">
            <v>3670000</v>
          </cell>
          <cell r="BH93">
            <v>3113300</v>
          </cell>
          <cell r="BI93">
            <v>15853.11</v>
          </cell>
          <cell r="BJ93">
            <v>209</v>
          </cell>
          <cell r="BK93">
            <v>15</v>
          </cell>
          <cell r="BL93">
            <v>0</v>
          </cell>
          <cell r="BM93">
            <v>356700</v>
          </cell>
          <cell r="BN93">
            <v>0</v>
          </cell>
          <cell r="BO93">
            <v>200000</v>
          </cell>
          <cell r="BP93">
            <v>0</v>
          </cell>
          <cell r="BQ93" t="str">
            <v>적합</v>
          </cell>
          <cell r="BR93"/>
          <cell r="BS93">
            <v>634124.4</v>
          </cell>
          <cell r="BT93">
            <v>3722843.7</v>
          </cell>
          <cell r="BU93">
            <v>1977900</v>
          </cell>
          <cell r="BV93">
            <v>1696013.8559999999</v>
          </cell>
          <cell r="BW93">
            <v>645420</v>
          </cell>
          <cell r="BX93">
            <v>274824</v>
          </cell>
          <cell r="BY93">
            <v>4587500</v>
          </cell>
          <cell r="BZ93">
            <v>48396968.100000001</v>
          </cell>
          <cell r="CA93">
            <v>4594157.8559999997</v>
          </cell>
          <cell r="CB93">
            <v>55050000</v>
          </cell>
          <cell r="CC93">
            <v>10518000</v>
          </cell>
          <cell r="CD93">
            <v>16.041361639824306</v>
          </cell>
        </row>
        <row r="94">
          <cell r="F94" t="str">
            <v>엄홍열</v>
          </cell>
          <cell r="G94" t="str">
            <v>차장</v>
          </cell>
          <cell r="H94" t="str">
            <v>초급하</v>
          </cell>
          <cell r="I94" t="str">
            <v>초급기술자</v>
          </cell>
          <cell r="J94" t="str">
            <v>하도급(M/M)</v>
          </cell>
          <cell r="K94" t="str">
            <v>서비스 관제 센터장</v>
          </cell>
          <cell r="L94" t="str">
            <v>2020_신규</v>
          </cell>
          <cell r="N94" t="str">
            <v>010-2557-7358</v>
          </cell>
          <cell r="O94" t="str">
            <v>bluefit2@cnthoth.com</v>
          </cell>
          <cell r="P94" t="str">
            <v>711020-1</v>
          </cell>
          <cell r="Q94">
            <v>33878</v>
          </cell>
          <cell r="R94">
            <v>43831</v>
          </cell>
          <cell r="T94" t="str">
            <v>제천제일고등학교</v>
          </cell>
          <cell r="V94" t="str">
            <v>고졸</v>
          </cell>
          <cell r="Z94">
            <v>12275</v>
          </cell>
          <cell r="AA94">
            <v>2322</v>
          </cell>
          <cell r="AB94"/>
          <cell r="AC94"/>
          <cell r="AD94" t="str">
            <v>SK증권_주간</v>
          </cell>
          <cell r="AE94" t="str">
            <v>서울특별시</v>
          </cell>
          <cell r="AF94" t="str">
            <v>3. 콜센터 &amp; 금융 &amp; 기타</v>
          </cell>
          <cell r="AG94" t="str">
            <v>3. 콜센터 &amp; 금융 &amp; 기타</v>
          </cell>
          <cell r="AH94" t="str">
            <v>SK증권</v>
          </cell>
          <cell r="AI94" t="str">
            <v>SK증권(여의도)</v>
          </cell>
          <cell r="AJ94" t="str">
            <v>엄홍열</v>
          </cell>
          <cell r="AK94" t="str">
            <v>07332</v>
          </cell>
          <cell r="AL94" t="str">
            <v xml:space="preserve">서울시 영등포구 국제금융로8길 31, SK증권 </v>
          </cell>
          <cell r="AM94" t="str">
            <v>04950</v>
          </cell>
          <cell r="AN94" t="str">
            <v>서울특별시 광진구 용마산로4길 6, 501호 (중곡동, 나폴리움)</v>
          </cell>
          <cell r="AO94" t="str">
            <v>SK 증권</v>
          </cell>
          <cell r="AQ94" t="str">
            <v>관제 총괄 운영</v>
          </cell>
          <cell r="AS94" t="str">
            <v>2025년 SK증권 통합운영 도급 계약</v>
          </cell>
          <cell r="AT94" t="str">
            <v>통상</v>
          </cell>
          <cell r="AU94" t="str">
            <v>정직원</v>
          </cell>
          <cell r="AV94" t="str">
            <v>씨앤토트플러스㈜</v>
          </cell>
          <cell r="AW94">
            <v>4330000</v>
          </cell>
          <cell r="AX94">
            <v>4750000</v>
          </cell>
          <cell r="AY94">
            <v>12</v>
          </cell>
          <cell r="AZ94">
            <v>57000000</v>
          </cell>
          <cell r="BC94">
            <v>46023</v>
          </cell>
          <cell r="BD94">
            <v>37079999.999999993</v>
          </cell>
          <cell r="BE94">
            <v>37079999.999999993</v>
          </cell>
          <cell r="BF94">
            <v>37636799.999999993</v>
          </cell>
          <cell r="BG94">
            <v>3136399.9999999995</v>
          </cell>
          <cell r="BH94">
            <v>2631499.9999999995</v>
          </cell>
          <cell r="BI94">
            <v>13547.85</v>
          </cell>
          <cell r="BJ94">
            <v>209</v>
          </cell>
          <cell r="BK94">
            <v>15</v>
          </cell>
          <cell r="BL94">
            <v>0</v>
          </cell>
          <cell r="BM94">
            <v>304900</v>
          </cell>
          <cell r="BN94">
            <v>0</v>
          </cell>
          <cell r="BO94">
            <v>200000</v>
          </cell>
          <cell r="BP94">
            <v>0</v>
          </cell>
          <cell r="BQ94" t="str">
            <v>적합</v>
          </cell>
          <cell r="BR94"/>
          <cell r="BS94">
            <v>541914</v>
          </cell>
          <cell r="BT94">
            <v>3181559.4999999995</v>
          </cell>
          <cell r="BU94">
            <v>1673747.9999999998</v>
          </cell>
          <cell r="BV94">
            <v>1435208.9587199995</v>
          </cell>
          <cell r="BW94">
            <v>546170.39999999991</v>
          </cell>
          <cell r="BX94">
            <v>232562.87999999995</v>
          </cell>
          <cell r="BY94">
            <v>3920499.9999999995</v>
          </cell>
          <cell r="BZ94">
            <v>41360273.499999993</v>
          </cell>
          <cell r="CA94">
            <v>3887690.2387199993</v>
          </cell>
          <cell r="CB94">
            <v>47045999.999999993</v>
          </cell>
          <cell r="CC94">
            <v>9954000.0000000075</v>
          </cell>
          <cell r="CD94">
            <v>17.463157894736856</v>
          </cell>
        </row>
        <row r="95">
          <cell r="F95" t="str">
            <v>김영민</v>
          </cell>
          <cell r="G95" t="str">
            <v>과장</v>
          </cell>
          <cell r="H95" t="str">
            <v>고능</v>
          </cell>
          <cell r="I95" t="str">
            <v>고급기능사</v>
          </cell>
          <cell r="J95" t="str">
            <v>하도급(M/M)</v>
          </cell>
          <cell r="K95" t="str">
            <v>서비스 관제 엔지니어</v>
          </cell>
          <cell r="L95" t="str">
            <v>2020_신규</v>
          </cell>
          <cell r="M95"/>
          <cell r="N95" t="str">
            <v>010-8582-0773</v>
          </cell>
          <cell r="O95" t="str">
            <v>lixm@cnthoth.com</v>
          </cell>
          <cell r="P95" t="str">
            <v>740228-1</v>
          </cell>
          <cell r="Q95">
            <v>35674</v>
          </cell>
          <cell r="R95">
            <v>43831</v>
          </cell>
          <cell r="S95"/>
          <cell r="T95" t="str">
            <v>광주상업고등학교</v>
          </cell>
          <cell r="U95"/>
          <cell r="V95" t="str">
            <v>고졸</v>
          </cell>
          <cell r="W95"/>
          <cell r="X95"/>
          <cell r="Y95"/>
          <cell r="Z95">
            <v>10479</v>
          </cell>
          <cell r="AA95">
            <v>2322</v>
          </cell>
          <cell r="AB95"/>
          <cell r="AC95"/>
          <cell r="AD95" t="str">
            <v>SK증권</v>
          </cell>
          <cell r="AE95" t="str">
            <v>서울특별시</v>
          </cell>
          <cell r="AF95" t="str">
            <v>3. 콜센터 &amp; 금융 &amp; 기타</v>
          </cell>
          <cell r="AG95" t="str">
            <v>3. 콜센터 &amp; 금융 &amp; 기타</v>
          </cell>
          <cell r="AH95" t="str">
            <v>SK증권</v>
          </cell>
          <cell r="AI95" t="str">
            <v>SK증권(여의도)</v>
          </cell>
          <cell r="AJ95" t="str">
            <v>엄홍열</v>
          </cell>
          <cell r="AK95" t="str">
            <v>07332</v>
          </cell>
          <cell r="AL95" t="str">
            <v>서울시 영등포구 국제금융로8길 31, SK증권</v>
          </cell>
          <cell r="AM95" t="str">
            <v>06906</v>
          </cell>
          <cell r="AN95" t="str">
            <v>서울특별시 동작구 매봉로 156, 107호 (본동, 극동아파트)</v>
          </cell>
          <cell r="AO95" t="str">
            <v>SK 증권</v>
          </cell>
          <cell r="AP95" t="str">
            <v>SK증권 DC 운영</v>
          </cell>
          <cell r="AQ95" t="str">
            <v>H/W 육안점검, 시스템 모니터링 및 장애 전파</v>
          </cell>
          <cell r="AR95"/>
          <cell r="AS95" t="str">
            <v>2025년 SK증권 통합운영 도급 계약</v>
          </cell>
          <cell r="AT95" t="str">
            <v>스케줄</v>
          </cell>
          <cell r="AU95" t="str">
            <v>정직원</v>
          </cell>
          <cell r="AV95" t="str">
            <v>씨앤토트플러스㈜</v>
          </cell>
          <cell r="AW95">
            <v>3500000</v>
          </cell>
          <cell r="AX95">
            <v>4250000</v>
          </cell>
          <cell r="AY95">
            <v>12</v>
          </cell>
          <cell r="AZ95">
            <v>51000000</v>
          </cell>
          <cell r="BA95"/>
          <cell r="BB95"/>
          <cell r="BC95">
            <v>46023</v>
          </cell>
          <cell r="BD95">
            <v>31681200</v>
          </cell>
          <cell r="BE95">
            <v>31681200</v>
          </cell>
          <cell r="BF95">
            <v>32157600</v>
          </cell>
          <cell r="BG95">
            <v>2679800</v>
          </cell>
          <cell r="BH95">
            <v>1846700</v>
          </cell>
          <cell r="BI95">
            <v>12139.38</v>
          </cell>
          <cell r="BJ95">
            <v>168.60000000000002</v>
          </cell>
          <cell r="BK95">
            <v>43.45</v>
          </cell>
          <cell r="BL95">
            <v>60.83</v>
          </cell>
          <cell r="BM95">
            <v>263800</v>
          </cell>
          <cell r="BN95">
            <v>369300</v>
          </cell>
          <cell r="BO95">
            <v>200000</v>
          </cell>
          <cell r="BP95">
            <v>2373249</v>
          </cell>
          <cell r="BQ95" t="str">
            <v>적합</v>
          </cell>
          <cell r="BR95"/>
          <cell r="BS95">
            <v>1213938</v>
          </cell>
          <cell r="BT95">
            <v>2780961.5</v>
          </cell>
          <cell r="BU95">
            <v>1413486</v>
          </cell>
          <cell r="BV95">
            <v>1212038.9510399997</v>
          </cell>
          <cell r="BW95">
            <v>461242.8</v>
          </cell>
          <cell r="BX95">
            <v>196400.16</v>
          </cell>
          <cell r="BY95">
            <v>3349750</v>
          </cell>
          <cell r="BZ95">
            <v>36152499.5</v>
          </cell>
          <cell r="CA95">
            <v>3283167.9110399997</v>
          </cell>
          <cell r="CB95">
            <v>40197000</v>
          </cell>
          <cell r="CC95">
            <v>7931368.71</v>
          </cell>
          <cell r="CD95">
            <v>15.551703352941177</v>
          </cell>
        </row>
        <row r="96">
          <cell r="F96" t="str">
            <v>이영규</v>
          </cell>
          <cell r="G96" t="str">
            <v>과장</v>
          </cell>
          <cell r="H96" t="str">
            <v>초급하</v>
          </cell>
          <cell r="I96" t="str">
            <v>초급기술자</v>
          </cell>
          <cell r="J96" t="str">
            <v>하도급(M/M)</v>
          </cell>
          <cell r="K96" t="str">
            <v>서비스 관제 엔지니어</v>
          </cell>
          <cell r="L96" t="str">
            <v>박찬원 후임</v>
          </cell>
          <cell r="M96" t="str">
            <v>043-280-5802</v>
          </cell>
          <cell r="N96" t="str">
            <v>010-8841-4923</v>
          </cell>
          <cell r="O96" t="str">
            <v>lykymk@cnthoth.com</v>
          </cell>
          <cell r="P96" t="str">
            <v>860906-1</v>
          </cell>
          <cell r="Q96">
            <v>42293</v>
          </cell>
          <cell r="R96">
            <v>43831</v>
          </cell>
          <cell r="S96"/>
          <cell r="T96" t="str">
            <v>대전과학기술대학교</v>
          </cell>
          <cell r="U96" t="str">
            <v>컴퓨터공학과</v>
          </cell>
          <cell r="V96" t="str">
            <v>전문대졸</v>
          </cell>
          <cell r="Z96">
            <v>3860</v>
          </cell>
          <cell r="AA96">
            <v>2322</v>
          </cell>
          <cell r="AB96"/>
          <cell r="AC96"/>
          <cell r="AD96" t="str">
            <v>청주HN_OP</v>
          </cell>
          <cell r="AE96" t="str">
            <v>경기도외</v>
          </cell>
          <cell r="AF96" t="str">
            <v>4. SKB/SK하이닉스 Infra 운영</v>
          </cell>
          <cell r="AG96" t="str">
            <v>4. SKB/SK하이닉스 Infra 운영</v>
          </cell>
          <cell r="AH96" t="str">
            <v>SK AX</v>
          </cell>
          <cell r="AI96" t="str">
            <v>SK하이닉스(청주)</v>
          </cell>
          <cell r="AJ96" t="str">
            <v>곽경석</v>
          </cell>
          <cell r="AK96" t="str">
            <v>28436</v>
          </cell>
          <cell r="AL96" t="str">
            <v>충청북도 청주시 흥덕구 직지대로 337 (향정동) , SKHDC4 (M11 3F)</v>
          </cell>
          <cell r="AM96" t="str">
            <v>28538</v>
          </cell>
          <cell r="AN96" t="str">
            <v>충청북도 청주시 청원구 사북로149번길 31-1, 301호 (우암동, 세진빌)</v>
          </cell>
          <cell r="AO96" t="str">
            <v>Hynix Cloud팀</v>
          </cell>
          <cell r="AP96" t="str">
            <v>청주 DC 운영</v>
          </cell>
          <cell r="AQ96" t="str">
            <v>H/W 육안점검, 시스템 모니터링 및 장애 전파</v>
          </cell>
          <cell r="AS96" t="str">
            <v>에스케이하이닉스(주) / SKHy '26년 ITO_데이타관제_1분기(4500303464-01)</v>
          </cell>
          <cell r="AT96" t="str">
            <v>스케줄</v>
          </cell>
          <cell r="AU96" t="str">
            <v>정직원</v>
          </cell>
          <cell r="AV96" t="str">
            <v>씨앤토트플러스㈜</v>
          </cell>
          <cell r="AW96">
            <v>4179000</v>
          </cell>
          <cell r="AX96">
            <v>4179000</v>
          </cell>
          <cell r="AY96">
            <v>12</v>
          </cell>
          <cell r="AZ96">
            <v>50148000</v>
          </cell>
          <cell r="BC96">
            <v>45839</v>
          </cell>
          <cell r="BD96">
            <v>30193680</v>
          </cell>
          <cell r="BE96">
            <v>31285200</v>
          </cell>
          <cell r="BF96">
            <v>31285200</v>
          </cell>
          <cell r="BG96">
            <v>2607100</v>
          </cell>
          <cell r="BH96">
            <v>2084400</v>
          </cell>
          <cell r="BI96">
            <v>11643.81</v>
          </cell>
          <cell r="BJ96">
            <v>196.19</v>
          </cell>
          <cell r="BK96">
            <v>2.17</v>
          </cell>
          <cell r="BL96">
            <v>53.23</v>
          </cell>
          <cell r="BM96">
            <v>12700</v>
          </cell>
          <cell r="BN96">
            <v>310000</v>
          </cell>
          <cell r="BO96">
            <v>200000</v>
          </cell>
          <cell r="BP96">
            <v>2108986</v>
          </cell>
          <cell r="BQ96" t="str">
            <v>적합</v>
          </cell>
          <cell r="BR96"/>
          <cell r="BS96">
            <v>1164381</v>
          </cell>
          <cell r="BT96">
            <v>2704131.75</v>
          </cell>
          <cell r="BU96">
            <v>1372047</v>
          </cell>
          <cell r="BV96">
            <v>1176505.7500799999</v>
          </cell>
          <cell r="BW96">
            <v>447720.6</v>
          </cell>
          <cell r="BX96">
            <v>190642.32</v>
          </cell>
          <cell r="BY96">
            <v>3258875</v>
          </cell>
          <cell r="BZ96">
            <v>35153712.75</v>
          </cell>
          <cell r="CA96">
            <v>3186915.6700799996</v>
          </cell>
          <cell r="CB96">
            <v>39106500</v>
          </cell>
          <cell r="CC96">
            <v>8489626.9399999995</v>
          </cell>
          <cell r="CD96">
            <v>16.929143614899893</v>
          </cell>
        </row>
        <row r="97">
          <cell r="F97" t="str">
            <v>오영빈</v>
          </cell>
          <cell r="G97" t="str">
            <v>과장</v>
          </cell>
          <cell r="H97" t="str">
            <v>중능</v>
          </cell>
          <cell r="I97" t="str">
            <v>중급기능사</v>
          </cell>
          <cell r="J97" t="str">
            <v>하도급(M/M)</v>
          </cell>
          <cell r="K97" t="str">
            <v>서비스 관제 엔지니어</v>
          </cell>
          <cell r="L97" t="str">
            <v>2020_신규</v>
          </cell>
          <cell r="N97" t="str">
            <v>010-5522-4059</v>
          </cell>
          <cell r="O97" t="str">
            <v>mayax@cnthoth.com</v>
          </cell>
          <cell r="P97" t="str">
            <v>840509-1</v>
          </cell>
          <cell r="Q97">
            <v>40330</v>
          </cell>
          <cell r="R97">
            <v>43831</v>
          </cell>
          <cell r="T97" t="str">
            <v>선린인터넷고등학교</v>
          </cell>
          <cell r="V97" t="str">
            <v>고졸</v>
          </cell>
          <cell r="Z97">
            <v>5823</v>
          </cell>
          <cell r="AA97">
            <v>2322</v>
          </cell>
          <cell r="AB97"/>
          <cell r="AC97"/>
          <cell r="AD97" t="str">
            <v>SK증권</v>
          </cell>
          <cell r="AE97" t="str">
            <v>서울특별시</v>
          </cell>
          <cell r="AF97" t="str">
            <v>3. 콜센터 &amp; 금융 &amp; 기타</v>
          </cell>
          <cell r="AG97" t="str">
            <v>3. 콜센터 &amp; 금융 &amp; 기타</v>
          </cell>
          <cell r="AH97" t="str">
            <v>SK증권</v>
          </cell>
          <cell r="AI97" t="str">
            <v>SK증권(여의도)</v>
          </cell>
          <cell r="AJ97" t="str">
            <v>엄홍열</v>
          </cell>
          <cell r="AK97" t="str">
            <v>07332</v>
          </cell>
          <cell r="AL97" t="str">
            <v>서울시 영등포구 국제금융로8길 31, SK증권</v>
          </cell>
          <cell r="AM97" t="str">
            <v>04300</v>
          </cell>
          <cell r="AN97" t="str">
            <v>서울특별시 용산구 만리재로36길 4 (서계동)</v>
          </cell>
          <cell r="AO97" t="str">
            <v>SK 증권</v>
          </cell>
          <cell r="AP97" t="str">
            <v>SK증권 DC 운영</v>
          </cell>
          <cell r="AQ97" t="str">
            <v>H/W 육안점검, 시스템 모니터링 및 장애 전파</v>
          </cell>
          <cell r="AS97" t="str">
            <v>2025년 SK증권 통합운영 도급 계약</v>
          </cell>
          <cell r="AT97" t="str">
            <v>스케줄</v>
          </cell>
          <cell r="AU97" t="str">
            <v>정직원</v>
          </cell>
          <cell r="AV97" t="str">
            <v>씨앤토트플러스㈜</v>
          </cell>
          <cell r="AW97">
            <v>3370000</v>
          </cell>
          <cell r="AX97">
            <v>3460000</v>
          </cell>
          <cell r="AY97">
            <v>12</v>
          </cell>
          <cell r="AZ97">
            <v>41520000</v>
          </cell>
          <cell r="BC97">
            <v>46023</v>
          </cell>
          <cell r="BD97">
            <v>29040960</v>
          </cell>
          <cell r="BE97">
            <v>29100000</v>
          </cell>
          <cell r="BF97">
            <v>29538000</v>
          </cell>
          <cell r="BG97">
            <v>2461500</v>
          </cell>
          <cell r="BH97">
            <v>1680000</v>
          </cell>
          <cell r="BI97">
            <v>11150.65</v>
          </cell>
          <cell r="BJ97">
            <v>168.60000000000002</v>
          </cell>
          <cell r="BK97">
            <v>43.45</v>
          </cell>
          <cell r="BL97">
            <v>60.83</v>
          </cell>
          <cell r="BM97">
            <v>242300</v>
          </cell>
          <cell r="BN97">
            <v>339200</v>
          </cell>
          <cell r="BO97">
            <v>200000</v>
          </cell>
          <cell r="BP97">
            <v>2179953</v>
          </cell>
          <cell r="BQ97" t="str">
            <v>적합</v>
          </cell>
          <cell r="BR97"/>
          <cell r="BS97">
            <v>1115065</v>
          </cell>
          <cell r="BT97">
            <v>2554422.0833333335</v>
          </cell>
          <cell r="BU97">
            <v>1289055</v>
          </cell>
          <cell r="BV97">
            <v>1105341.5951999999</v>
          </cell>
          <cell r="BW97">
            <v>420639</v>
          </cell>
          <cell r="BX97">
            <v>179110.8</v>
          </cell>
          <cell r="BY97">
            <v>3076875</v>
          </cell>
          <cell r="BZ97">
            <v>33207487.083333332</v>
          </cell>
          <cell r="CA97">
            <v>2994146.3951999997</v>
          </cell>
          <cell r="CB97">
            <v>36922500</v>
          </cell>
          <cell r="CC97">
            <v>1959756.87</v>
          </cell>
          <cell r="CD97">
            <v>4.7200309971098271</v>
          </cell>
        </row>
        <row r="98">
          <cell r="F98" t="str">
            <v>조현행</v>
          </cell>
          <cell r="G98" t="str">
            <v>과장</v>
          </cell>
          <cell r="H98" t="str">
            <v>초능</v>
          </cell>
          <cell r="I98" t="str">
            <v>초급기능사</v>
          </cell>
          <cell r="J98" t="str">
            <v>하도급(M/M)</v>
          </cell>
          <cell r="K98" t="str">
            <v>서비스 관제 엔지니어</v>
          </cell>
          <cell r="L98" t="str">
            <v>2020_신규</v>
          </cell>
          <cell r="N98" t="str">
            <v>010-3394-1482</v>
          </cell>
          <cell r="O98" t="str">
            <v>jhh88@cnthoth.com</v>
          </cell>
          <cell r="P98" t="str">
            <v>880219-1</v>
          </cell>
          <cell r="Q98">
            <v>41821</v>
          </cell>
          <cell r="R98">
            <v>43831</v>
          </cell>
          <cell r="T98" t="str">
            <v>서정대학교</v>
          </cell>
          <cell r="U98" t="str">
            <v>인터넷정보학</v>
          </cell>
          <cell r="V98" t="str">
            <v>전문대졸</v>
          </cell>
          <cell r="Z98">
            <v>4332</v>
          </cell>
          <cell r="AA98">
            <v>2322</v>
          </cell>
          <cell r="AB98"/>
          <cell r="AC98"/>
          <cell r="AD98" t="str">
            <v>SK증권</v>
          </cell>
          <cell r="AE98" t="str">
            <v>서울특별시</v>
          </cell>
          <cell r="AF98" t="str">
            <v>3. 콜센터 &amp; 금융 &amp; 기타</v>
          </cell>
          <cell r="AG98" t="str">
            <v>3. 콜센터 &amp; 금융 &amp; 기타</v>
          </cell>
          <cell r="AH98" t="str">
            <v>SK증권</v>
          </cell>
          <cell r="AI98" t="str">
            <v>SK증권(여의도)</v>
          </cell>
          <cell r="AJ98" t="str">
            <v>엄홍열</v>
          </cell>
          <cell r="AK98" t="str">
            <v>07332</v>
          </cell>
          <cell r="AL98" t="str">
            <v>서울시 영등포구 국제금융로8길 31, SK증권</v>
          </cell>
          <cell r="AM98" t="str">
            <v>02425</v>
          </cell>
          <cell r="AN98" t="str">
            <v>서울시 동대문구 한천로61길 11-7 (이문동)</v>
          </cell>
          <cell r="AO98" t="str">
            <v>SK 증권</v>
          </cell>
          <cell r="AP98" t="str">
            <v>SK증권 DC 운영</v>
          </cell>
          <cell r="AQ98" t="str">
            <v>H/W 육안점검, 시스템 모니터링 및 장애 전파</v>
          </cell>
          <cell r="AS98" t="str">
            <v>2025년 SK증권 통합운영 도급 계약</v>
          </cell>
          <cell r="AT98" t="str">
            <v>스케줄</v>
          </cell>
          <cell r="AU98" t="str">
            <v>정직원</v>
          </cell>
          <cell r="AV98" t="str">
            <v>씨앤토트플러스㈜</v>
          </cell>
          <cell r="AW98">
            <v>3300000</v>
          </cell>
          <cell r="AX98">
            <v>3260000</v>
          </cell>
          <cell r="AY98">
            <v>12</v>
          </cell>
          <cell r="AZ98">
            <v>39120000</v>
          </cell>
          <cell r="BC98">
            <v>46023</v>
          </cell>
          <cell r="BD98">
            <v>29040960</v>
          </cell>
          <cell r="BE98">
            <v>29100000</v>
          </cell>
          <cell r="BF98">
            <v>29538000</v>
          </cell>
          <cell r="BG98">
            <v>2461500</v>
          </cell>
          <cell r="BH98">
            <v>1680000</v>
          </cell>
          <cell r="BI98">
            <v>11150.65</v>
          </cell>
          <cell r="BJ98">
            <v>168.60000000000002</v>
          </cell>
          <cell r="BK98">
            <v>43.45</v>
          </cell>
          <cell r="BL98">
            <v>60.83</v>
          </cell>
          <cell r="BM98">
            <v>242300</v>
          </cell>
          <cell r="BN98">
            <v>339200</v>
          </cell>
          <cell r="BO98">
            <v>200000</v>
          </cell>
          <cell r="BP98">
            <v>2179953</v>
          </cell>
          <cell r="BQ98" t="str">
            <v>적합</v>
          </cell>
          <cell r="BR98"/>
          <cell r="BS98">
            <v>1115065</v>
          </cell>
          <cell r="BT98">
            <v>2554422.0833333335</v>
          </cell>
          <cell r="BU98">
            <v>1289055</v>
          </cell>
          <cell r="BV98">
            <v>1105341.5951999999</v>
          </cell>
          <cell r="BW98">
            <v>420639</v>
          </cell>
          <cell r="BX98">
            <v>179110.8</v>
          </cell>
          <cell r="BY98">
            <v>3076875</v>
          </cell>
          <cell r="BZ98">
            <v>33207487.083333332</v>
          </cell>
          <cell r="CA98">
            <v>2994146.3951999997</v>
          </cell>
          <cell r="CB98">
            <v>36922500</v>
          </cell>
          <cell r="CC98">
            <v>-440243.12999999989</v>
          </cell>
          <cell r="CD98">
            <v>-1.1253658742331285</v>
          </cell>
        </row>
        <row r="99">
          <cell r="F99" t="str">
            <v>조준환</v>
          </cell>
          <cell r="G99" t="str">
            <v>대리</v>
          </cell>
          <cell r="H99" t="str">
            <v>초능</v>
          </cell>
          <cell r="I99" t="str">
            <v>초급기능사</v>
          </cell>
          <cell r="J99" t="str">
            <v>하도급(M/M)</v>
          </cell>
          <cell r="K99" t="str">
            <v>서비스 관제 엔지니어</v>
          </cell>
          <cell r="L99" t="str">
            <v>2020_신규</v>
          </cell>
          <cell r="N99" t="str">
            <v>010-5572-1214</v>
          </cell>
          <cell r="O99" t="str">
            <v>jhcho@cnthoth.com</v>
          </cell>
          <cell r="P99" t="str">
            <v>871214-1</v>
          </cell>
          <cell r="Q99">
            <v>43009</v>
          </cell>
          <cell r="R99">
            <v>43831</v>
          </cell>
          <cell r="T99" t="str">
            <v>경희고등학교</v>
          </cell>
          <cell r="V99" t="str">
            <v>고졸</v>
          </cell>
          <cell r="Z99">
            <v>3144</v>
          </cell>
          <cell r="AA99">
            <v>2322</v>
          </cell>
          <cell r="AB99"/>
          <cell r="AC99"/>
          <cell r="AD99" t="str">
            <v>SK증권</v>
          </cell>
          <cell r="AE99" t="str">
            <v>서울특별시</v>
          </cell>
          <cell r="AF99" t="str">
            <v>3. 콜센터 &amp; 금융 &amp; 기타</v>
          </cell>
          <cell r="AG99" t="str">
            <v>3. 콜센터 &amp; 금융 &amp; 기타</v>
          </cell>
          <cell r="AH99" t="str">
            <v>SK증권</v>
          </cell>
          <cell r="AI99" t="str">
            <v>SK증권(여의도)</v>
          </cell>
          <cell r="AJ99" t="str">
            <v>엄홍열</v>
          </cell>
          <cell r="AK99" t="str">
            <v>07332</v>
          </cell>
          <cell r="AL99" t="str">
            <v>서울시 영등포구 국제금융로8길 31, SK증권</v>
          </cell>
          <cell r="AM99" t="str">
            <v>02405</v>
          </cell>
          <cell r="AN99" t="str">
            <v>서울특별시 동대문구 천장산로4가길 20</v>
          </cell>
          <cell r="AO99" t="str">
            <v>SK 증권</v>
          </cell>
          <cell r="AP99" t="str">
            <v>SK증권 DC 운영</v>
          </cell>
          <cell r="AQ99" t="str">
            <v>H/W 육안점검, 시스템 모니터링 및 장애 전파</v>
          </cell>
          <cell r="AS99" t="str">
            <v>2025년 SK증권 통합운영 도급 계약</v>
          </cell>
          <cell r="AT99" t="str">
            <v>스케줄</v>
          </cell>
          <cell r="AU99" t="str">
            <v>정직원</v>
          </cell>
          <cell r="AV99" t="str">
            <v>씨앤토트플러스㈜</v>
          </cell>
          <cell r="AW99">
            <v>3300000</v>
          </cell>
          <cell r="AX99">
            <v>3260000</v>
          </cell>
          <cell r="AY99">
            <v>12</v>
          </cell>
          <cell r="AZ99">
            <v>39120000</v>
          </cell>
          <cell r="BC99">
            <v>46023</v>
          </cell>
          <cell r="BD99">
            <v>29040960</v>
          </cell>
          <cell r="BE99">
            <v>29100000</v>
          </cell>
          <cell r="BF99">
            <v>29538000</v>
          </cell>
          <cell r="BG99">
            <v>2461500</v>
          </cell>
          <cell r="BH99">
            <v>1680000</v>
          </cell>
          <cell r="BI99">
            <v>11150.65</v>
          </cell>
          <cell r="BJ99">
            <v>168.60000000000002</v>
          </cell>
          <cell r="BK99">
            <v>43.45</v>
          </cell>
          <cell r="BL99">
            <v>60.83</v>
          </cell>
          <cell r="BM99">
            <v>242300</v>
          </cell>
          <cell r="BN99">
            <v>339200</v>
          </cell>
          <cell r="BO99">
            <v>200000</v>
          </cell>
          <cell r="BP99">
            <v>2179953</v>
          </cell>
          <cell r="BQ99" t="str">
            <v>적합</v>
          </cell>
          <cell r="BR99"/>
          <cell r="BS99">
            <v>1115065</v>
          </cell>
          <cell r="BT99">
            <v>2554422.0833333335</v>
          </cell>
          <cell r="BU99">
            <v>1289055</v>
          </cell>
          <cell r="BV99">
            <v>1105341.5951999999</v>
          </cell>
          <cell r="BW99">
            <v>420639</v>
          </cell>
          <cell r="BX99">
            <v>179110.8</v>
          </cell>
          <cell r="BY99">
            <v>3076875</v>
          </cell>
          <cell r="BZ99">
            <v>33207487.083333332</v>
          </cell>
          <cell r="CA99">
            <v>2994146.3951999997</v>
          </cell>
          <cell r="CB99">
            <v>36922500</v>
          </cell>
          <cell r="CC99">
            <v>-440243.12999999989</v>
          </cell>
          <cell r="CD99">
            <v>-1.1253658742331285</v>
          </cell>
        </row>
        <row r="100">
          <cell r="F100" t="str">
            <v>신종철</v>
          </cell>
          <cell r="G100" t="str">
            <v>과장</v>
          </cell>
          <cell r="H100" t="str">
            <v>고능</v>
          </cell>
          <cell r="I100" t="str">
            <v>고급기능사</v>
          </cell>
          <cell r="J100" t="str">
            <v>하도급(M/M)</v>
          </cell>
          <cell r="K100" t="str">
            <v>서비스 관제 엔지니어</v>
          </cell>
          <cell r="L100" t="str">
            <v>2020_신규</v>
          </cell>
          <cell r="N100" t="str">
            <v>010-9918-6931</v>
          </cell>
          <cell r="O100" t="str">
            <v>sjc_2002@cnthoth.com</v>
          </cell>
          <cell r="P100" t="str">
            <v>870110-1</v>
          </cell>
          <cell r="Q100">
            <v>41091</v>
          </cell>
          <cell r="R100">
            <v>43831</v>
          </cell>
          <cell r="T100" t="str">
            <v>단국대학교</v>
          </cell>
          <cell r="U100" t="str">
            <v>전자공학과</v>
          </cell>
          <cell r="V100" t="str">
            <v>대졸</v>
          </cell>
          <cell r="Z100">
            <v>5062</v>
          </cell>
          <cell r="AA100">
            <v>2322</v>
          </cell>
          <cell r="AB100"/>
          <cell r="AC100"/>
          <cell r="AD100" t="str">
            <v>SK증권</v>
          </cell>
          <cell r="AE100" t="str">
            <v>서울특별시</v>
          </cell>
          <cell r="AF100" t="str">
            <v>3. 콜센터 &amp; 금융 &amp; 기타</v>
          </cell>
          <cell r="AG100" t="str">
            <v>3. 콜센터 &amp; 금융 &amp; 기타</v>
          </cell>
          <cell r="AH100" t="str">
            <v>SK증권</v>
          </cell>
          <cell r="AI100" t="str">
            <v>SK증권(여의도)</v>
          </cell>
          <cell r="AJ100" t="str">
            <v>엄홍열</v>
          </cell>
          <cell r="AK100" t="str">
            <v>07332</v>
          </cell>
          <cell r="AL100" t="str">
            <v>서울시 영등포구 국제금융로8길 31, SK증권</v>
          </cell>
          <cell r="AM100" t="str">
            <v>14916</v>
          </cell>
          <cell r="AN100" t="str">
            <v>경기도 시흥시 은행로 122, 104동 303호 (은행동, 대우아파트)</v>
          </cell>
          <cell r="AO100" t="str">
            <v>SK 증권</v>
          </cell>
          <cell r="AP100" t="str">
            <v>SK증권 DC 운영</v>
          </cell>
          <cell r="AQ100" t="str">
            <v>H/W 육안점검, 시스템 모니터링 및 장애 전파</v>
          </cell>
          <cell r="AS100" t="str">
            <v>2025년 SK증권 통합운영 도급 계약</v>
          </cell>
          <cell r="AT100" t="str">
            <v>스케줄</v>
          </cell>
          <cell r="AU100" t="str">
            <v>정직원</v>
          </cell>
          <cell r="AV100" t="str">
            <v>씨앤토트플러스㈜</v>
          </cell>
          <cell r="AW100">
            <v>3370000</v>
          </cell>
          <cell r="AX100">
            <v>3460000</v>
          </cell>
          <cell r="AY100">
            <v>12</v>
          </cell>
          <cell r="AZ100">
            <v>41520000</v>
          </cell>
          <cell r="BC100">
            <v>46023</v>
          </cell>
          <cell r="BD100">
            <v>30000720</v>
          </cell>
          <cell r="BE100">
            <v>30060000</v>
          </cell>
          <cell r="BF100">
            <v>30512400</v>
          </cell>
          <cell r="BG100">
            <v>2542700</v>
          </cell>
          <cell r="BH100">
            <v>1742000</v>
          </cell>
          <cell r="BI100">
            <v>11518.39</v>
          </cell>
          <cell r="BJ100">
            <v>168.60000000000002</v>
          </cell>
          <cell r="BK100">
            <v>43.45</v>
          </cell>
          <cell r="BL100">
            <v>60.83</v>
          </cell>
          <cell r="BM100">
            <v>250300</v>
          </cell>
          <cell r="BN100">
            <v>350400</v>
          </cell>
          <cell r="BO100">
            <v>200000</v>
          </cell>
          <cell r="BP100">
            <v>2251846</v>
          </cell>
          <cell r="BQ100" t="str">
            <v>적합</v>
          </cell>
          <cell r="BR100"/>
          <cell r="BS100">
            <v>1151839</v>
          </cell>
          <cell r="BT100">
            <v>2638686.5833333335</v>
          </cell>
          <cell r="BU100">
            <v>1335339</v>
          </cell>
          <cell r="BV100">
            <v>1145029.2969599999</v>
          </cell>
          <cell r="BW100">
            <v>435742.2</v>
          </cell>
          <cell r="BX100">
            <v>185541.84</v>
          </cell>
          <cell r="BY100">
            <v>3178375</v>
          </cell>
          <cell r="BZ100">
            <v>34302925.583333336</v>
          </cell>
          <cell r="CA100">
            <v>3101652.33696</v>
          </cell>
          <cell r="CB100">
            <v>38140500</v>
          </cell>
          <cell r="CC100">
            <v>654766.33999999985</v>
          </cell>
          <cell r="CD100">
            <v>1.5769902215799609</v>
          </cell>
        </row>
        <row r="101">
          <cell r="F101" t="str">
            <v>엄지용</v>
          </cell>
          <cell r="G101" t="str">
            <v>대리</v>
          </cell>
          <cell r="H101" t="str">
            <v>초급하</v>
          </cell>
          <cell r="I101" t="str">
            <v>초급기술자</v>
          </cell>
          <cell r="J101" t="str">
            <v>하도급(M/M)</v>
          </cell>
          <cell r="K101" t="str">
            <v>네트워크엔지니어</v>
          </cell>
          <cell r="L101" t="str">
            <v>2022_신규</v>
          </cell>
          <cell r="M101"/>
          <cell r="N101" t="str">
            <v>010-4732-9311</v>
          </cell>
          <cell r="O101" t="str">
            <v>dsdsds323@cnthoth.com</v>
          </cell>
          <cell r="P101" t="str">
            <v>960530-1</v>
          </cell>
          <cell r="Q101">
            <v>43841</v>
          </cell>
          <cell r="R101">
            <v>43841</v>
          </cell>
          <cell r="S101"/>
          <cell r="T101" t="str">
            <v>ICT폴리텍대학</v>
          </cell>
          <cell r="U101" t="str">
            <v>스마트통신학과</v>
          </cell>
          <cell r="V101" t="str">
            <v>전문대졸</v>
          </cell>
          <cell r="W101" t="str">
            <v>네트워크관리사2급</v>
          </cell>
          <cell r="X101"/>
          <cell r="Y101"/>
          <cell r="Z101">
            <v>2312</v>
          </cell>
          <cell r="AA101">
            <v>2312</v>
          </cell>
          <cell r="AB101"/>
          <cell r="AC101"/>
          <cell r="AD101" t="str">
            <v>SK AX_판교 B동</v>
          </cell>
          <cell r="AE101" t="str">
            <v>경기도</v>
          </cell>
          <cell r="AF101" t="str">
            <v>2. Network Service</v>
          </cell>
          <cell r="AG101" t="str">
            <v>2. Network Service</v>
          </cell>
          <cell r="AH101" t="str">
            <v>SK AX</v>
          </cell>
          <cell r="AI101" t="str">
            <v>SK그룹사(공통)</v>
          </cell>
          <cell r="AJ101" t="str">
            <v>최재유</v>
          </cell>
          <cell r="AK101">
            <v>13486</v>
          </cell>
          <cell r="AL101" t="str">
            <v>경기도 성남시 분당구 판교로 255번길 38 SK C&amp;C 판교캠퍼스 B동</v>
          </cell>
          <cell r="AM101">
            <v>13583</v>
          </cell>
          <cell r="AN101" t="str">
            <v>경기도 성남시 분당구 장안로15, 126동 404호 (분당동, 건영아파트)</v>
          </cell>
          <cell r="AO101" t="str">
            <v>Network Service팀</v>
          </cell>
          <cell r="AP101" t="str">
            <v>SK쉴더스 고객지원</v>
          </cell>
          <cell r="AQ101" t="str">
            <v>N/W 고객요청 처리</v>
          </cell>
          <cell r="AS101" t="str">
            <v>에스케이쉴더스 주식회사 / SK쉴더스 26년 IT Infra. 유지보수 통합운영 (NW 운영+MA)(4500304175-01)</v>
          </cell>
          <cell r="AT101" t="str">
            <v>통상</v>
          </cell>
          <cell r="AU101" t="str">
            <v>정직원</v>
          </cell>
          <cell r="AV101" t="str">
            <v>씨앤토트플러스㈜</v>
          </cell>
          <cell r="AW101">
            <v>4536000</v>
          </cell>
          <cell r="AX101">
            <v>4536000</v>
          </cell>
          <cell r="AY101">
            <v>12</v>
          </cell>
          <cell r="AZ101">
            <v>54432000</v>
          </cell>
          <cell r="BA101"/>
          <cell r="BB101"/>
          <cell r="BC101">
            <v>46023</v>
          </cell>
          <cell r="BD101">
            <v>33444000</v>
          </cell>
          <cell r="BE101">
            <v>34524000</v>
          </cell>
          <cell r="BF101">
            <v>35524800</v>
          </cell>
          <cell r="BG101">
            <v>2960400</v>
          </cell>
          <cell r="BH101">
            <v>2472600</v>
          </cell>
          <cell r="BI101">
            <v>12787.56</v>
          </cell>
          <cell r="BJ101">
            <v>209</v>
          </cell>
          <cell r="BK101">
            <v>15</v>
          </cell>
          <cell r="BL101">
            <v>0</v>
          </cell>
          <cell r="BM101">
            <v>287800</v>
          </cell>
          <cell r="BN101">
            <v>0</v>
          </cell>
          <cell r="BO101">
            <v>200000</v>
          </cell>
          <cell r="BP101">
            <v>0</v>
          </cell>
          <cell r="BQ101" t="str">
            <v>적합</v>
          </cell>
          <cell r="BR101"/>
          <cell r="BS101">
            <v>511502.39999999997</v>
          </cell>
          <cell r="BT101">
            <v>3003025.2</v>
          </cell>
          <cell r="BU101">
            <v>1573428</v>
          </cell>
          <cell r="BV101">
            <v>1349186.3539199997</v>
          </cell>
          <cell r="BW101">
            <v>513434.4</v>
          </cell>
          <cell r="BX101">
            <v>218623.68</v>
          </cell>
          <cell r="BY101">
            <v>3700500</v>
          </cell>
          <cell r="BZ101">
            <v>39039327.600000001</v>
          </cell>
          <cell r="CA101">
            <v>3654672.4339199997</v>
          </cell>
          <cell r="CB101">
            <v>44406000</v>
          </cell>
          <cell r="CC101">
            <v>10026000</v>
          </cell>
          <cell r="CD101">
            <v>18.419312169312168</v>
          </cell>
        </row>
        <row r="102">
          <cell r="F102" t="str">
            <v>엄기현</v>
          </cell>
          <cell r="G102" t="str">
            <v>대리</v>
          </cell>
          <cell r="H102" t="str">
            <v>초급하</v>
          </cell>
          <cell r="I102" t="str">
            <v>초급기술자</v>
          </cell>
          <cell r="J102" t="str">
            <v>하도급(M/M)</v>
          </cell>
          <cell r="K102" t="str">
            <v>서비스 관제 엔지니어</v>
          </cell>
          <cell r="L102" t="str">
            <v>김정민 후임</v>
          </cell>
          <cell r="M102"/>
          <cell r="N102" t="str">
            <v>010-9735-6400</v>
          </cell>
          <cell r="O102" t="str">
            <v>gpen01@cnthoth.com</v>
          </cell>
          <cell r="P102" t="str">
            <v>921112-1</v>
          </cell>
          <cell r="Q102">
            <v>43861</v>
          </cell>
          <cell r="R102">
            <v>43861</v>
          </cell>
          <cell r="S102"/>
          <cell r="T102" t="str">
            <v>배재대학교</v>
          </cell>
          <cell r="U102" t="str">
            <v>게임공학과</v>
          </cell>
          <cell r="V102" t="str">
            <v>대졸</v>
          </cell>
          <cell r="W102"/>
          <cell r="X102"/>
          <cell r="Y102"/>
          <cell r="Z102">
            <v>2292</v>
          </cell>
          <cell r="AA102">
            <v>2292</v>
          </cell>
          <cell r="AB102"/>
          <cell r="AC102"/>
          <cell r="AD102" t="str">
            <v>청주HN_OP</v>
          </cell>
          <cell r="AE102" t="str">
            <v>경기도외</v>
          </cell>
          <cell r="AF102" t="str">
            <v>4. SKB/SK하이닉스 Infra 운영</v>
          </cell>
          <cell r="AG102" t="str">
            <v>4. SKB/SK하이닉스 Infra 운영</v>
          </cell>
          <cell r="AH102" t="str">
            <v>SK AX</v>
          </cell>
          <cell r="AI102" t="str">
            <v>SK하이닉스(청주)</v>
          </cell>
          <cell r="AJ102" t="str">
            <v>곽경석</v>
          </cell>
          <cell r="AK102" t="str">
            <v>28436</v>
          </cell>
          <cell r="AL102" t="str">
            <v>충청북도 청주시 흥덕구 직지대로 337 (향정동) , SKHDC4 (M11 3F)</v>
          </cell>
          <cell r="AM102" t="str">
            <v>28417</v>
          </cell>
          <cell r="AN102" t="str">
            <v>충청북도 청주시 흥덕구 짐대로46번길 21, 206호 (복대동)</v>
          </cell>
          <cell r="AO102" t="str">
            <v>Hynix Cloud팀</v>
          </cell>
          <cell r="AP102" t="str">
            <v>청주 DC 운영</v>
          </cell>
          <cell r="AQ102" t="str">
            <v>H/W 육안점검, 시스템 모니터링 및 장애 전파</v>
          </cell>
          <cell r="AR102"/>
          <cell r="AS102" t="str">
            <v>에스케이하이닉스(주) / SKHy '26년 ITO_데이타관제_1분기(4500303464-01)</v>
          </cell>
          <cell r="AT102" t="str">
            <v>스케줄</v>
          </cell>
          <cell r="AU102" t="str">
            <v>정직원</v>
          </cell>
          <cell r="AV102" t="str">
            <v>씨앤토트플러스㈜</v>
          </cell>
          <cell r="AW102">
            <v>4179000</v>
          </cell>
          <cell r="AX102">
            <v>4179000</v>
          </cell>
          <cell r="AY102">
            <v>12</v>
          </cell>
          <cell r="AZ102">
            <v>50148000</v>
          </cell>
          <cell r="BA102"/>
          <cell r="BB102"/>
          <cell r="BC102">
            <v>45839</v>
          </cell>
          <cell r="BD102">
            <v>30601680</v>
          </cell>
          <cell r="BE102">
            <v>31381200</v>
          </cell>
          <cell r="BF102">
            <v>31381200</v>
          </cell>
          <cell r="BG102">
            <v>2615100</v>
          </cell>
          <cell r="BH102">
            <v>2091500</v>
          </cell>
          <cell r="BI102">
            <v>11680</v>
          </cell>
          <cell r="BJ102">
            <v>196.19</v>
          </cell>
          <cell r="BK102">
            <v>2.17</v>
          </cell>
          <cell r="BL102">
            <v>53.23</v>
          </cell>
          <cell r="BM102">
            <v>12700</v>
          </cell>
          <cell r="BN102">
            <v>310900</v>
          </cell>
          <cell r="BO102">
            <v>200000</v>
          </cell>
          <cell r="BP102">
            <v>2115540</v>
          </cell>
          <cell r="BQ102" t="str">
            <v>적합</v>
          </cell>
          <cell r="BR102"/>
          <cell r="BS102">
            <v>1168000</v>
          </cell>
          <cell r="BT102">
            <v>2712433.3333333335</v>
          </cell>
          <cell r="BU102">
            <v>1376607</v>
          </cell>
          <cell r="BV102">
            <v>1180415.8684799999</v>
          </cell>
          <cell r="BW102">
            <v>449208.6</v>
          </cell>
          <cell r="BX102">
            <v>191275.92</v>
          </cell>
          <cell r="BY102">
            <v>3268875</v>
          </cell>
          <cell r="BZ102">
            <v>35261633.333333336</v>
          </cell>
          <cell r="CA102">
            <v>3197507.3884799997</v>
          </cell>
          <cell r="CB102">
            <v>39226500</v>
          </cell>
          <cell r="CC102">
            <v>8361696.5999999996</v>
          </cell>
          <cell r="CD102">
            <v>16.674038047379756</v>
          </cell>
        </row>
        <row r="103">
          <cell r="F103" t="str">
            <v>이영현</v>
          </cell>
          <cell r="G103" t="str">
            <v>대리</v>
          </cell>
          <cell r="H103" t="str">
            <v>초급상</v>
          </cell>
          <cell r="I103" t="str">
            <v>초급기술자</v>
          </cell>
          <cell r="J103" t="str">
            <v>하도급(FTE)</v>
          </cell>
          <cell r="K103" t="str">
            <v>서버엔지니어</v>
          </cell>
          <cell r="L103" t="str">
            <v>이주렬 후임</v>
          </cell>
          <cell r="M103" t="str">
            <v>02-3700-7206</v>
          </cell>
          <cell r="N103" t="str">
            <v>010-2907-9309</v>
          </cell>
          <cell r="O103" t="str">
            <v>lyh20@cnthoth.com</v>
          </cell>
          <cell r="P103" t="str">
            <v>930923-1</v>
          </cell>
          <cell r="Q103">
            <v>43942</v>
          </cell>
          <cell r="R103">
            <v>43942</v>
          </cell>
          <cell r="S103"/>
          <cell r="T103" t="str">
            <v>상명대학교</v>
          </cell>
          <cell r="U103" t="str">
            <v>게임학과</v>
          </cell>
          <cell r="V103" t="str">
            <v>대졸</v>
          </cell>
          <cell r="W103"/>
          <cell r="X103"/>
          <cell r="Y103"/>
          <cell r="Z103">
            <v>2211</v>
          </cell>
          <cell r="AA103">
            <v>2211</v>
          </cell>
          <cell r="AB103"/>
          <cell r="AC103"/>
          <cell r="AD103" t="str">
            <v>관훈빌딩_종로</v>
          </cell>
          <cell r="AE103" t="str">
            <v>서울특별시</v>
          </cell>
          <cell r="AF103" t="str">
            <v>1. Infra 운영</v>
          </cell>
          <cell r="AG103" t="str">
            <v>1. Infra 운영</v>
          </cell>
          <cell r="AH103" t="str">
            <v>SK AX</v>
          </cell>
          <cell r="AI103" t="str">
            <v>SK에코플랜트(종로)</v>
          </cell>
          <cell r="AJ103" t="str">
            <v>임정재</v>
          </cell>
          <cell r="AK103" t="str">
            <v>03149</v>
          </cell>
          <cell r="AL103" t="str">
            <v>서울시 종로구 인사동7길 32, SK에코플랜트 관훈빌딩(정보기술팀) 11층</v>
          </cell>
          <cell r="AM103" t="str">
            <v>02533</v>
          </cell>
          <cell r="AN103" t="str">
            <v>서울특별시 동대문구 사가정로 190, 6동 605호 (전논동, 전농1차우성아파트)</v>
          </cell>
          <cell r="AO103" t="str">
            <v>제조/환경Cloud팀 </v>
          </cell>
          <cell r="AP103" t="str">
            <v>SK 에코플랜트 서버 운영</v>
          </cell>
          <cell r="AQ103" t="str">
            <v>Windows 서버 운영</v>
          </cell>
          <cell r="AR103" t="str">
            <v>/ Linux 서버 운영</v>
          </cell>
          <cell r="AS103" t="str">
            <v>고객사 공통 / 2026년_인프라운영_HC22_01_1분기 (4500303129-01)</v>
          </cell>
          <cell r="AT103" t="str">
            <v>통상</v>
          </cell>
          <cell r="AU103" t="str">
            <v>정직원</v>
          </cell>
          <cell r="AV103" t="str">
            <v>씨앤토트플러스㈜</v>
          </cell>
          <cell r="AW103">
            <v>4437000</v>
          </cell>
          <cell r="AX103">
            <v>4437000</v>
          </cell>
          <cell r="AY103">
            <v>12</v>
          </cell>
          <cell r="AZ103">
            <v>53244000</v>
          </cell>
          <cell r="BA103"/>
          <cell r="BB103"/>
          <cell r="BC103">
            <v>45839</v>
          </cell>
          <cell r="BD103">
            <v>33984000</v>
          </cell>
          <cell r="BE103">
            <v>35184000</v>
          </cell>
          <cell r="BF103">
            <v>35184000</v>
          </cell>
          <cell r="BG103">
            <v>2932000</v>
          </cell>
          <cell r="BH103">
            <v>2447000</v>
          </cell>
          <cell r="BI103">
            <v>12665.07</v>
          </cell>
          <cell r="BJ103">
            <v>209</v>
          </cell>
          <cell r="BK103">
            <v>15</v>
          </cell>
          <cell r="BL103">
            <v>0</v>
          </cell>
          <cell r="BM103">
            <v>285000</v>
          </cell>
          <cell r="BN103">
            <v>0</v>
          </cell>
          <cell r="BO103">
            <v>200000</v>
          </cell>
          <cell r="BP103">
            <v>0</v>
          </cell>
          <cell r="BQ103" t="str">
            <v>적합</v>
          </cell>
          <cell r="BR103"/>
          <cell r="BS103">
            <v>506602.8</v>
          </cell>
          <cell r="BT103">
            <v>2974216.9</v>
          </cell>
          <cell r="BU103">
            <v>1557240</v>
          </cell>
          <cell r="BV103">
            <v>1335305.4336000001</v>
          </cell>
          <cell r="BW103">
            <v>508152</v>
          </cell>
          <cell r="BX103">
            <v>216374.39999999999</v>
          </cell>
          <cell r="BY103">
            <v>3665000</v>
          </cell>
          <cell r="BZ103">
            <v>38664819.699999996</v>
          </cell>
          <cell r="CA103">
            <v>3617071.8336</v>
          </cell>
          <cell r="CB103">
            <v>43980000</v>
          </cell>
          <cell r="CC103">
            <v>9264000</v>
          </cell>
          <cell r="CD103">
            <v>17.399143565472166</v>
          </cell>
        </row>
        <row r="104">
          <cell r="F104" t="str">
            <v>김원준</v>
          </cell>
          <cell r="G104" t="str">
            <v>대리</v>
          </cell>
          <cell r="H104" t="str">
            <v>고능</v>
          </cell>
          <cell r="I104" t="str">
            <v>고급기능사</v>
          </cell>
          <cell r="J104" t="str">
            <v>하도급(FTE)</v>
          </cell>
          <cell r="K104" t="str">
            <v>서비스 관제 엔지니어</v>
          </cell>
          <cell r="L104" t="str">
            <v>김용민 후임</v>
          </cell>
          <cell r="M104" t="str">
            <v>02-6343-8282</v>
          </cell>
          <cell r="N104" t="str">
            <v>010-9950-6519</v>
          </cell>
          <cell r="O104" t="str">
            <v>a110911@cnthoth.com</v>
          </cell>
          <cell r="P104" t="str">
            <v>930819-1</v>
          </cell>
          <cell r="Q104">
            <v>43965</v>
          </cell>
          <cell r="R104">
            <v>43965</v>
          </cell>
          <cell r="S104"/>
          <cell r="T104" t="str">
            <v>부경대학교</v>
          </cell>
          <cell r="U104" t="str">
            <v>금속공학과</v>
          </cell>
          <cell r="V104" t="str">
            <v>대졸</v>
          </cell>
          <cell r="W104"/>
          <cell r="X104"/>
          <cell r="Y104"/>
          <cell r="Z104">
            <v>2188</v>
          </cell>
          <cell r="AA104">
            <v>2188</v>
          </cell>
          <cell r="AB104"/>
          <cell r="AC104"/>
          <cell r="AD104" t="str">
            <v>SKT장안국사</v>
          </cell>
          <cell r="AE104" t="str">
            <v>서울특별시</v>
          </cell>
          <cell r="AF104" t="str">
            <v>3. 콜센터 &amp; 금융 &amp; 기타</v>
          </cell>
          <cell r="AG104" t="str">
            <v>3. 콜센터 &amp; 금융 &amp; 기타</v>
          </cell>
          <cell r="AH104" t="str">
            <v>SK AX</v>
          </cell>
          <cell r="AI104" t="str">
            <v>SKT(장안콜센터)</v>
          </cell>
          <cell r="AJ104" t="str">
            <v>이기홍</v>
          </cell>
          <cell r="AK104" t="str">
            <v>02635</v>
          </cell>
          <cell r="AL104" t="str">
            <v>서울시 동대문구 장한로3길 34 SKT 장안고객센터 구관 2층 시스템 운영실</v>
          </cell>
          <cell r="AM104" t="str">
            <v>05583</v>
          </cell>
          <cell r="AN104" t="str">
            <v>서울특별시 송파구 백제고분로28길 8-12, 202호 (삼전동)</v>
          </cell>
          <cell r="AO104" t="str">
            <v>T Biz. Cloud팀</v>
          </cell>
          <cell r="AP104" t="str">
            <v>SKT_장안 콜센터 운영</v>
          </cell>
          <cell r="AQ104" t="str">
            <v>H/W 육안점검, 시스템 모니터링 및 장애 전파</v>
          </cell>
          <cell r="AR104"/>
          <cell r="AS104" t="str">
            <v>고객사 공통 / 2026년_ICT운영171_1분기(4500303362-01)</v>
          </cell>
          <cell r="AT104" t="str">
            <v>스케줄</v>
          </cell>
          <cell r="AU104" t="str">
            <v>정직원</v>
          </cell>
          <cell r="AV104" t="str">
            <v>씨앤토트플러스㈜</v>
          </cell>
          <cell r="AW104">
            <v>4078000</v>
          </cell>
          <cell r="AX104">
            <v>4078000</v>
          </cell>
          <cell r="AY104">
            <v>12</v>
          </cell>
          <cell r="AZ104">
            <v>48936000</v>
          </cell>
          <cell r="BA104"/>
          <cell r="BB104"/>
          <cell r="BC104">
            <v>45839</v>
          </cell>
          <cell r="BD104">
            <v>31585080</v>
          </cell>
          <cell r="BE104">
            <v>32352000</v>
          </cell>
          <cell r="BF104">
            <v>32352000</v>
          </cell>
          <cell r="BG104">
            <v>2696000</v>
          </cell>
          <cell r="BH104">
            <v>1854500</v>
          </cell>
          <cell r="BI104">
            <v>13024.6</v>
          </cell>
          <cell r="BJ104">
            <v>157.74</v>
          </cell>
          <cell r="BK104">
            <v>32.590000000000003</v>
          </cell>
          <cell r="BL104">
            <v>65.900000000000006</v>
          </cell>
          <cell r="BM104">
            <v>212300</v>
          </cell>
          <cell r="BN104">
            <v>429200</v>
          </cell>
          <cell r="BO104">
            <v>200000</v>
          </cell>
          <cell r="BP104">
            <v>3145441</v>
          </cell>
          <cell r="BQ104" t="str">
            <v>적합</v>
          </cell>
          <cell r="BR104"/>
          <cell r="BS104">
            <v>1302460</v>
          </cell>
          <cell r="BT104">
            <v>2804538.3333333335</v>
          </cell>
          <cell r="BU104">
            <v>1422720</v>
          </cell>
          <cell r="BV104">
            <v>1219956.9408</v>
          </cell>
          <cell r="BW104">
            <v>464256</v>
          </cell>
          <cell r="BX104">
            <v>197683.20000000001</v>
          </cell>
          <cell r="BY104">
            <v>3370000</v>
          </cell>
          <cell r="BZ104">
            <v>36458998.333333336</v>
          </cell>
          <cell r="CA104">
            <v>3304616.1408000002</v>
          </cell>
          <cell r="CB104">
            <v>40440000</v>
          </cell>
          <cell r="CC104">
            <v>4690016.3900000006</v>
          </cell>
          <cell r="CD104">
            <v>9.5839798716691202</v>
          </cell>
        </row>
        <row r="105">
          <cell r="F105" t="str">
            <v>조정열</v>
          </cell>
          <cell r="G105" t="str">
            <v>대리</v>
          </cell>
          <cell r="H105" t="str">
            <v>초급하</v>
          </cell>
          <cell r="I105" t="str">
            <v>초급기술자</v>
          </cell>
          <cell r="J105" t="str">
            <v>하도급(M/M)</v>
          </cell>
          <cell r="K105" t="str">
            <v>네트워크보안엔지니어</v>
          </cell>
          <cell r="L105" t="str">
            <v>장순영 후임</v>
          </cell>
          <cell r="M105"/>
          <cell r="N105" t="str">
            <v>010-3357-9743</v>
          </cell>
          <cell r="O105" t="str">
            <v>jdjy24@cnthoth.com</v>
          </cell>
          <cell r="P105" t="str">
            <v>930324-1</v>
          </cell>
          <cell r="Q105">
            <v>43976</v>
          </cell>
          <cell r="R105">
            <v>43976</v>
          </cell>
          <cell r="S105"/>
          <cell r="T105" t="str">
            <v>부경대학교</v>
          </cell>
          <cell r="U105" t="str">
            <v>전자공학</v>
          </cell>
          <cell r="V105" t="str">
            <v>대졸</v>
          </cell>
          <cell r="W105"/>
          <cell r="X105"/>
          <cell r="Y105"/>
          <cell r="Z105">
            <v>2177</v>
          </cell>
          <cell r="AA105">
            <v>2177</v>
          </cell>
          <cell r="AB105"/>
          <cell r="AC105"/>
          <cell r="AD105" t="str">
            <v>SK AX A동 1F_판교</v>
          </cell>
          <cell r="AE105" t="str">
            <v>경기도</v>
          </cell>
          <cell r="AF105" t="str">
            <v>2. Network Service</v>
          </cell>
          <cell r="AG105" t="str">
            <v>2. Network Service</v>
          </cell>
          <cell r="AH105" t="str">
            <v>SK AX</v>
          </cell>
          <cell r="AI105" t="str">
            <v>SK그룹사(공통)</v>
          </cell>
          <cell r="AJ105" t="str">
            <v>최재유</v>
          </cell>
          <cell r="AK105">
            <v>13486</v>
          </cell>
          <cell r="AL105" t="str">
            <v>경기도 성남시 분당구 판교로 255번길 46 SK C&amp;C 판교캠퍼스 A동 4층</v>
          </cell>
          <cell r="AM105" t="str">
            <v>13284</v>
          </cell>
          <cell r="AN105" t="str">
            <v>경기도 성남시 수정구 태평동 859, 1층</v>
          </cell>
          <cell r="AO105" t="str">
            <v>Network Service팀</v>
          </cell>
          <cell r="AP105" t="str">
            <v>SK전체(DHCP, VPN) N/W 보안 운영</v>
          </cell>
          <cell r="AQ105" t="str">
            <v>DNS 서버 관리</v>
          </cell>
          <cell r="AR105" t="str">
            <v>IP 할당, / SSL VPN 운영</v>
          </cell>
          <cell r="AS105" t="str">
            <v>고객사 공통 / 2026년_인프라운영_HC11_1분기(4500303149-01)</v>
          </cell>
          <cell r="AT105" t="str">
            <v>통상</v>
          </cell>
          <cell r="AU105" t="str">
            <v>정직원</v>
          </cell>
          <cell r="AV105" t="str">
            <v>씨앤토트플러스㈜</v>
          </cell>
          <cell r="AW105">
            <v>4896000</v>
          </cell>
          <cell r="AX105">
            <v>4896000</v>
          </cell>
          <cell r="AY105">
            <v>12</v>
          </cell>
          <cell r="AZ105">
            <v>58752000</v>
          </cell>
          <cell r="BA105"/>
          <cell r="BB105"/>
          <cell r="BC105">
            <v>45839</v>
          </cell>
          <cell r="BD105">
            <v>34008000</v>
          </cell>
          <cell r="BE105">
            <v>35088000</v>
          </cell>
          <cell r="BF105">
            <v>35088000</v>
          </cell>
          <cell r="BG105">
            <v>2924000</v>
          </cell>
          <cell r="BH105">
            <v>2439800</v>
          </cell>
          <cell r="BI105">
            <v>12630.62</v>
          </cell>
          <cell r="BJ105">
            <v>209</v>
          </cell>
          <cell r="BK105">
            <v>15</v>
          </cell>
          <cell r="BL105">
            <v>0</v>
          </cell>
          <cell r="BM105">
            <v>284200</v>
          </cell>
          <cell r="BN105">
            <v>0</v>
          </cell>
          <cell r="BO105">
            <v>200000</v>
          </cell>
          <cell r="BP105">
            <v>0</v>
          </cell>
          <cell r="BQ105" t="str">
            <v>적합</v>
          </cell>
          <cell r="BR105"/>
          <cell r="BS105">
            <v>505224.80000000005</v>
          </cell>
          <cell r="BT105">
            <v>2966102.0666666669</v>
          </cell>
          <cell r="BU105">
            <v>1552680</v>
          </cell>
          <cell r="BV105">
            <v>1331395.3152000001</v>
          </cell>
          <cell r="BW105">
            <v>506664</v>
          </cell>
          <cell r="BX105">
            <v>215740.79999999999</v>
          </cell>
          <cell r="BY105">
            <v>3655000</v>
          </cell>
          <cell r="BZ105">
            <v>38559326.866666667</v>
          </cell>
          <cell r="CA105">
            <v>3606480.1151999999</v>
          </cell>
          <cell r="CB105">
            <v>43860000</v>
          </cell>
          <cell r="CC105">
            <v>14892000</v>
          </cell>
          <cell r="CD105">
            <v>25.347222222222221</v>
          </cell>
        </row>
        <row r="106">
          <cell r="F106" t="str">
            <v>문경철</v>
          </cell>
          <cell r="G106" t="str">
            <v>대리</v>
          </cell>
          <cell r="H106" t="str">
            <v>초급상</v>
          </cell>
          <cell r="I106" t="str">
            <v>초급기술자</v>
          </cell>
          <cell r="J106" t="str">
            <v>하도급(FTE)</v>
          </cell>
          <cell r="K106" t="str">
            <v>NOC 엔지니어</v>
          </cell>
          <cell r="L106" t="str">
            <v>박재현 후임</v>
          </cell>
          <cell r="M106"/>
          <cell r="N106" t="str">
            <v>010-5241-9495</v>
          </cell>
          <cell r="O106" t="str">
            <v>m9495@cnthoth.com</v>
          </cell>
          <cell r="P106" t="str">
            <v>930525-1</v>
          </cell>
          <cell r="Q106">
            <v>44032</v>
          </cell>
          <cell r="R106">
            <v>44032</v>
          </cell>
          <cell r="S106"/>
          <cell r="T106" t="str">
            <v>안산강서고등학교</v>
          </cell>
          <cell r="U106"/>
          <cell r="V106" t="str">
            <v>고졸</v>
          </cell>
          <cell r="W106" t="str">
            <v xml:space="preserve">네트워크관리사2급 </v>
          </cell>
          <cell r="X106"/>
          <cell r="Y106"/>
          <cell r="Z106">
            <v>2121</v>
          </cell>
          <cell r="AA106">
            <v>2121</v>
          </cell>
          <cell r="AB106"/>
          <cell r="AC106"/>
          <cell r="AD106" t="str">
            <v>판교NOC</v>
          </cell>
          <cell r="AE106" t="str">
            <v>경기도</v>
          </cell>
          <cell r="AF106" t="str">
            <v>2. Network Service</v>
          </cell>
          <cell r="AG106" t="str">
            <v>2. Network Service</v>
          </cell>
          <cell r="AH106" t="str">
            <v>SK AX</v>
          </cell>
          <cell r="AI106" t="str">
            <v>SK그룹사(공통)</v>
          </cell>
          <cell r="AJ106" t="str">
            <v>최재유</v>
          </cell>
          <cell r="AK106">
            <v>13486</v>
          </cell>
          <cell r="AL106" t="str">
            <v>경기도 성남시 분당구 판교로 255번길 46 SK C&amp;C 판교캠퍼스 A동 4층</v>
          </cell>
          <cell r="AM106" t="str">
            <v>13284</v>
          </cell>
          <cell r="AN106" t="str">
            <v>경기도 성남시 수정구 탄리로132번길 15-8 (태평동)</v>
          </cell>
          <cell r="AO106" t="str">
            <v>Network Service팀</v>
          </cell>
          <cell r="AP106" t="str">
            <v>SK공통 NOC 운영</v>
          </cell>
          <cell r="AQ106" t="str">
            <v>N/W 관제, 장애 조치</v>
          </cell>
          <cell r="AR106"/>
          <cell r="AS106" t="str">
            <v>고객사 공통 / 2026년_인프라운영_HC11_1분기(4500303149-01)</v>
          </cell>
          <cell r="AT106" t="str">
            <v>스케줄</v>
          </cell>
          <cell r="AU106" t="str">
            <v>정직원</v>
          </cell>
          <cell r="AV106" t="str">
            <v>씨앤토트플러스㈜</v>
          </cell>
          <cell r="AW106">
            <v>4466000</v>
          </cell>
          <cell r="AX106">
            <v>4466000</v>
          </cell>
          <cell r="AY106">
            <v>12</v>
          </cell>
          <cell r="AZ106">
            <v>53592000</v>
          </cell>
          <cell r="BA106"/>
          <cell r="BB106"/>
          <cell r="BC106">
            <v>45839</v>
          </cell>
          <cell r="BD106">
            <v>34058520</v>
          </cell>
          <cell r="BE106">
            <v>35258400</v>
          </cell>
          <cell r="BF106">
            <v>35258400</v>
          </cell>
          <cell r="BG106">
            <v>2938200</v>
          </cell>
          <cell r="BH106">
            <v>2335000</v>
          </cell>
          <cell r="BI106">
            <v>13254.21</v>
          </cell>
          <cell r="BJ106">
            <v>191.26</v>
          </cell>
          <cell r="BK106">
            <v>27.88</v>
          </cell>
          <cell r="BL106">
            <v>32.950000000000003</v>
          </cell>
          <cell r="BM106">
            <v>184800</v>
          </cell>
          <cell r="BN106">
            <v>218400</v>
          </cell>
          <cell r="BO106">
            <v>200000</v>
          </cell>
          <cell r="BP106">
            <v>762510</v>
          </cell>
          <cell r="BQ106" t="str">
            <v>적합</v>
          </cell>
          <cell r="BR106">
            <v>250000</v>
          </cell>
          <cell r="BS106">
            <v>1325421</v>
          </cell>
          <cell r="BT106">
            <v>3048651.75</v>
          </cell>
          <cell r="BU106">
            <v>1560774</v>
          </cell>
          <cell r="BV106">
            <v>1338335.7753599999</v>
          </cell>
          <cell r="BW106">
            <v>509305.2</v>
          </cell>
          <cell r="BX106">
            <v>216865.44</v>
          </cell>
          <cell r="BY106">
            <v>3672750</v>
          </cell>
          <cell r="BZ106">
            <v>39632472.75</v>
          </cell>
          <cell r="CA106">
            <v>3625280.41536</v>
          </cell>
          <cell r="CB106">
            <v>44073000</v>
          </cell>
          <cell r="CC106">
            <v>8596362.9000000004</v>
          </cell>
          <cell r="CD106">
            <v>16.040384572324228</v>
          </cell>
        </row>
        <row r="107">
          <cell r="F107" t="str">
            <v>김기황</v>
          </cell>
          <cell r="G107" t="str">
            <v>과장</v>
          </cell>
          <cell r="H107" t="str">
            <v>초급하</v>
          </cell>
          <cell r="I107" t="str">
            <v>초급기술자</v>
          </cell>
          <cell r="J107" t="str">
            <v>하도급(M/M)</v>
          </cell>
          <cell r="K107" t="str">
            <v>서비스 관제 엔지니어</v>
          </cell>
          <cell r="L107" t="str">
            <v>박상혁 후임</v>
          </cell>
          <cell r="M107"/>
          <cell r="N107" t="str">
            <v>010-9547-9959</v>
          </cell>
          <cell r="O107" t="str">
            <v>chosimkkh89@cnthoth.com</v>
          </cell>
          <cell r="P107" t="str">
            <v>891119-1</v>
          </cell>
          <cell r="Q107">
            <v>43318</v>
          </cell>
          <cell r="R107">
            <v>43318</v>
          </cell>
          <cell r="S107">
            <v>44105</v>
          </cell>
          <cell r="T107" t="str">
            <v>경북대학교</v>
          </cell>
          <cell r="U107" t="str">
            <v>컴퓨터시스템공학과</v>
          </cell>
          <cell r="V107" t="str">
            <v>대졸</v>
          </cell>
          <cell r="W107" t="str">
            <v>네트워크관리사2급</v>
          </cell>
          <cell r="X107"/>
          <cell r="Y107"/>
          <cell r="Z107">
            <v>1998</v>
          </cell>
          <cell r="AA107">
            <v>1998</v>
          </cell>
          <cell r="AB107"/>
          <cell r="AC107"/>
          <cell r="AD107" t="str">
            <v>청주HN_OP</v>
          </cell>
          <cell r="AE107" t="str">
            <v>경기도외</v>
          </cell>
          <cell r="AF107" t="str">
            <v>4. SKB/SK하이닉스 Infra 운영</v>
          </cell>
          <cell r="AG107" t="str">
            <v>4. SKB/SK하이닉스 Infra 운영</v>
          </cell>
          <cell r="AH107" t="str">
            <v>SK AX</v>
          </cell>
          <cell r="AI107" t="str">
            <v>SK하이닉스(청주)</v>
          </cell>
          <cell r="AJ107" t="str">
            <v>곽경석</v>
          </cell>
          <cell r="AK107" t="str">
            <v>28436</v>
          </cell>
          <cell r="AL107" t="str">
            <v>충청북도 청주시 흥덕구 직지대로 337 (향정동) , SKHDC4 (M11 3F)</v>
          </cell>
          <cell r="AM107">
            <v>28668</v>
          </cell>
          <cell r="AN107" t="str">
            <v>충청북도 청주시 서원구 모충로26번길 60, 202동 804호 (개신동, 두산한솔2차아파트)</v>
          </cell>
          <cell r="AO107" t="str">
            <v>Hynix Cloud팀</v>
          </cell>
          <cell r="AP107" t="str">
            <v>청주 DC 운영</v>
          </cell>
          <cell r="AQ107" t="str">
            <v>H/W 육안점검, 시스템 모니터링 및 장애 전파</v>
          </cell>
          <cell r="AR107"/>
          <cell r="AS107" t="str">
            <v>에스케이하이닉스(주) / SKHy '26년 ITO_데이타관제_1분기(4500303464-01)</v>
          </cell>
          <cell r="AT107" t="str">
            <v>스케줄</v>
          </cell>
          <cell r="AU107" t="str">
            <v>정직원</v>
          </cell>
          <cell r="AV107" t="str">
            <v>씨앤토트플러스㈜</v>
          </cell>
          <cell r="AW107">
            <v>4179000</v>
          </cell>
          <cell r="AX107">
            <v>4179000</v>
          </cell>
          <cell r="AY107">
            <v>12</v>
          </cell>
          <cell r="AZ107">
            <v>50148000</v>
          </cell>
          <cell r="BA107"/>
          <cell r="BB107"/>
          <cell r="BC107">
            <v>45839</v>
          </cell>
          <cell r="BD107">
            <v>30720840</v>
          </cell>
          <cell r="BE107">
            <v>31918800</v>
          </cell>
          <cell r="BF107">
            <v>31918800</v>
          </cell>
          <cell r="BG107">
            <v>2659900</v>
          </cell>
          <cell r="BH107">
            <v>2130800</v>
          </cell>
          <cell r="BI107">
            <v>11880.32</v>
          </cell>
          <cell r="BJ107">
            <v>196.19</v>
          </cell>
          <cell r="BK107">
            <v>2.17</v>
          </cell>
          <cell r="BL107">
            <v>53.23</v>
          </cell>
          <cell r="BM107">
            <v>12900</v>
          </cell>
          <cell r="BN107">
            <v>316200</v>
          </cell>
          <cell r="BO107">
            <v>200000</v>
          </cell>
          <cell r="BP107">
            <v>2151823</v>
          </cell>
          <cell r="BQ107" t="str">
            <v>적합</v>
          </cell>
          <cell r="BR107"/>
          <cell r="BS107">
            <v>1188032</v>
          </cell>
          <cell r="BT107">
            <v>2758902.6666666665</v>
          </cell>
          <cell r="BU107">
            <v>1402143</v>
          </cell>
          <cell r="BV107">
            <v>1202312.5315199997</v>
          </cell>
          <cell r="BW107">
            <v>457541.4</v>
          </cell>
          <cell r="BX107">
            <v>194824.08</v>
          </cell>
          <cell r="BY107">
            <v>3324875</v>
          </cell>
          <cell r="BZ107">
            <v>35865734.666666664</v>
          </cell>
          <cell r="CA107">
            <v>3256821.0115199997</v>
          </cell>
          <cell r="CB107">
            <v>39898500</v>
          </cell>
          <cell r="CC107">
            <v>7645794.1699999999</v>
          </cell>
          <cell r="CD107">
            <v>15.246458821887213</v>
          </cell>
        </row>
        <row r="108">
          <cell r="F108" t="str">
            <v>김명환</v>
          </cell>
          <cell r="G108" t="str">
            <v>대리</v>
          </cell>
          <cell r="H108" t="str">
            <v>초급하</v>
          </cell>
          <cell r="I108" t="str">
            <v>초급기술자</v>
          </cell>
          <cell r="J108" t="str">
            <v>하도급(M/M)</v>
          </cell>
          <cell r="K108" t="str">
            <v>서비스 관제 엔지니어</v>
          </cell>
          <cell r="L108" t="str">
            <v>2018_신규</v>
          </cell>
          <cell r="M108"/>
          <cell r="N108" t="str">
            <v>010-4100-6973</v>
          </cell>
          <cell r="O108" t="str">
            <v>kmh4100@cnthoth.com</v>
          </cell>
          <cell r="P108" t="str">
            <v>950915-1</v>
          </cell>
          <cell r="Q108">
            <v>43339</v>
          </cell>
          <cell r="R108">
            <v>43339</v>
          </cell>
          <cell r="S108">
            <v>44105</v>
          </cell>
          <cell r="T108" t="str">
            <v>한국폴리텍대학(청주캠퍼스)</v>
          </cell>
          <cell r="U108" t="str">
            <v>정보통신시스템과</v>
          </cell>
          <cell r="V108" t="str">
            <v>전문대졸</v>
          </cell>
          <cell r="W108"/>
          <cell r="X108"/>
          <cell r="Y108"/>
          <cell r="Z108">
            <v>2814</v>
          </cell>
          <cell r="AA108">
            <v>2814</v>
          </cell>
          <cell r="AB108"/>
          <cell r="AC108"/>
          <cell r="AD108" t="str">
            <v>청주HN_OP</v>
          </cell>
          <cell r="AE108" t="str">
            <v>경기도외</v>
          </cell>
          <cell r="AF108" t="str">
            <v>4. SKB/SK하이닉스 Infra 운영</v>
          </cell>
          <cell r="AG108" t="str">
            <v>4. SKB/SK하이닉스 Infra 운영</v>
          </cell>
          <cell r="AH108" t="str">
            <v>SK AX</v>
          </cell>
          <cell r="AI108" t="str">
            <v>SK하이닉스(청주)</v>
          </cell>
          <cell r="AJ108" t="str">
            <v>곽경석</v>
          </cell>
          <cell r="AK108" t="str">
            <v>28436</v>
          </cell>
          <cell r="AL108" t="str">
            <v>충청북도 청주시 흥덕구 직지대로 337 (향정동) , SKHDC4 (M11 3F)</v>
          </cell>
          <cell r="AM108">
            <v>28556</v>
          </cell>
          <cell r="AN108" t="str">
            <v>충청북도 청주시 서원구 흥덕로 34-1 (사직동)</v>
          </cell>
          <cell r="AO108" t="str">
            <v>Hynix Cloud팀</v>
          </cell>
          <cell r="AP108" t="str">
            <v>청주 DC 운영</v>
          </cell>
          <cell r="AQ108" t="str">
            <v>H/W 육안점검, 시스템 모니터링 및 장애 전파</v>
          </cell>
          <cell r="AR108"/>
          <cell r="AS108" t="str">
            <v>에스케이하이닉스(주) / SKHy '26년 ITO_데이타관제_1분기(4500303464-01)</v>
          </cell>
          <cell r="AT108" t="str">
            <v>스케줄</v>
          </cell>
          <cell r="AU108" t="str">
            <v>정직원</v>
          </cell>
          <cell r="AV108" t="str">
            <v>씨앤토트플러스㈜</v>
          </cell>
          <cell r="AW108">
            <v>4179000</v>
          </cell>
          <cell r="AX108">
            <v>4179000</v>
          </cell>
          <cell r="AY108">
            <v>12</v>
          </cell>
          <cell r="AZ108">
            <v>50148000</v>
          </cell>
          <cell r="BA108"/>
          <cell r="BB108"/>
          <cell r="BC108">
            <v>45839</v>
          </cell>
          <cell r="BD108">
            <v>30121080</v>
          </cell>
          <cell r="BE108">
            <v>30901200</v>
          </cell>
          <cell r="BF108">
            <v>30901200</v>
          </cell>
          <cell r="BG108">
            <v>2575100</v>
          </cell>
          <cell r="BH108">
            <v>2056400</v>
          </cell>
          <cell r="BI108">
            <v>11501.1</v>
          </cell>
          <cell r="BJ108">
            <v>196.19</v>
          </cell>
          <cell r="BK108">
            <v>2.17</v>
          </cell>
          <cell r="BL108">
            <v>53.23</v>
          </cell>
          <cell r="BM108">
            <v>12500</v>
          </cell>
          <cell r="BN108">
            <v>306200</v>
          </cell>
          <cell r="BO108">
            <v>200000</v>
          </cell>
          <cell r="BP108">
            <v>2083137</v>
          </cell>
          <cell r="BQ108" t="str">
            <v>적합</v>
          </cell>
          <cell r="BR108"/>
          <cell r="BS108">
            <v>1150110</v>
          </cell>
          <cell r="BT108">
            <v>2670942.5</v>
          </cell>
          <cell r="BU108">
            <v>1353807</v>
          </cell>
          <cell r="BV108">
            <v>1160865.27648</v>
          </cell>
          <cell r="BW108">
            <v>441768.6</v>
          </cell>
          <cell r="BX108">
            <v>188107.92</v>
          </cell>
          <cell r="BY108">
            <v>3218875</v>
          </cell>
          <cell r="BZ108">
            <v>34722252.5</v>
          </cell>
          <cell r="CA108">
            <v>3144548.79648</v>
          </cell>
          <cell r="CB108">
            <v>38626500</v>
          </cell>
          <cell r="CC108">
            <v>9000904.2300000004</v>
          </cell>
          <cell r="CD108">
            <v>17.948680366116296</v>
          </cell>
        </row>
        <row r="109">
          <cell r="F109" t="str">
            <v>강병구</v>
          </cell>
          <cell r="G109" t="str">
            <v>대리</v>
          </cell>
          <cell r="H109" t="str">
            <v>초급하</v>
          </cell>
          <cell r="I109" t="str">
            <v>초급기술자</v>
          </cell>
          <cell r="J109" t="str">
            <v>하도급(M/M)</v>
          </cell>
          <cell r="K109" t="str">
            <v>서비스 관제 엔지니어</v>
          </cell>
          <cell r="L109" t="str">
            <v>2018_신규</v>
          </cell>
          <cell r="M109"/>
          <cell r="N109" t="str">
            <v>010-6516-4774</v>
          </cell>
          <cell r="O109" t="str">
            <v>kbkkms147@cnthoth.com</v>
          </cell>
          <cell r="P109" t="str">
            <v>940308-1</v>
          </cell>
          <cell r="Q109">
            <v>43344</v>
          </cell>
          <cell r="R109">
            <v>43344</v>
          </cell>
          <cell r="S109">
            <v>44105</v>
          </cell>
          <cell r="T109" t="str">
            <v>충청대학교</v>
          </cell>
          <cell r="U109" t="str">
            <v>품질경영과</v>
          </cell>
          <cell r="V109" t="str">
            <v>전문대졸</v>
          </cell>
          <cell r="W109" t="str">
            <v>네트워크관리사2급</v>
          </cell>
          <cell r="X109"/>
          <cell r="Y109"/>
          <cell r="Z109">
            <v>2809</v>
          </cell>
          <cell r="AA109">
            <v>2809</v>
          </cell>
          <cell r="AB109"/>
          <cell r="AC109"/>
          <cell r="AD109" t="str">
            <v>청주HN_OP</v>
          </cell>
          <cell r="AE109" t="str">
            <v>경기도외</v>
          </cell>
          <cell r="AF109" t="str">
            <v>4. SKB/SK하이닉스 Infra 운영</v>
          </cell>
          <cell r="AG109" t="str">
            <v>4. SKB/SK하이닉스 Infra 운영</v>
          </cell>
          <cell r="AH109" t="str">
            <v>SK AX</v>
          </cell>
          <cell r="AI109" t="str">
            <v>SK하이닉스(청주)</v>
          </cell>
          <cell r="AJ109" t="str">
            <v>곽경석</v>
          </cell>
          <cell r="AK109" t="str">
            <v>28436</v>
          </cell>
          <cell r="AL109" t="str">
            <v>충청북도 청주시 흥덕구 직지대로 337 (향정동) , SKHDC4 (M11 3F)</v>
          </cell>
          <cell r="AM109">
            <v>28293</v>
          </cell>
          <cell r="AN109" t="str">
            <v>충청북도 청주시 흥덕구 송화로116번길 11-8, 401호 (송절동)</v>
          </cell>
          <cell r="AO109" t="str">
            <v>Hynix Cloud팀</v>
          </cell>
          <cell r="AP109" t="str">
            <v>청주 DC 운영</v>
          </cell>
          <cell r="AQ109" t="str">
            <v>H/W 육안점검, 시스템 모니터링 및 장애 전파</v>
          </cell>
          <cell r="AR109"/>
          <cell r="AS109" t="str">
            <v>에스케이하이닉스(주) / SKHy '26년 ITO_데이타관제_1분기(4500303464-01)</v>
          </cell>
          <cell r="AT109" t="str">
            <v>스케줄</v>
          </cell>
          <cell r="AU109" t="str">
            <v>정직원</v>
          </cell>
          <cell r="AV109" t="str">
            <v>씨앤토트플러스㈜</v>
          </cell>
          <cell r="AW109">
            <v>4179000</v>
          </cell>
          <cell r="AX109">
            <v>4179000</v>
          </cell>
          <cell r="AY109">
            <v>12</v>
          </cell>
          <cell r="AZ109">
            <v>50148000</v>
          </cell>
          <cell r="BA109"/>
          <cell r="BB109"/>
          <cell r="BC109">
            <v>45839</v>
          </cell>
          <cell r="BD109">
            <v>30720840</v>
          </cell>
          <cell r="BE109">
            <v>31500000</v>
          </cell>
          <cell r="BF109">
            <v>31500000</v>
          </cell>
          <cell r="BG109">
            <v>2625000</v>
          </cell>
          <cell r="BH109">
            <v>2100100</v>
          </cell>
          <cell r="BI109">
            <v>11723.84</v>
          </cell>
          <cell r="BJ109">
            <v>196.19</v>
          </cell>
          <cell r="BK109">
            <v>2.17</v>
          </cell>
          <cell r="BL109">
            <v>53.23</v>
          </cell>
          <cell r="BM109">
            <v>12800</v>
          </cell>
          <cell r="BN109">
            <v>312100</v>
          </cell>
          <cell r="BO109">
            <v>200000</v>
          </cell>
          <cell r="BP109">
            <v>2123481</v>
          </cell>
          <cell r="BQ109" t="str">
            <v>적합</v>
          </cell>
          <cell r="BR109"/>
          <cell r="BS109">
            <v>1172384</v>
          </cell>
          <cell r="BT109">
            <v>2722698.6666666665</v>
          </cell>
          <cell r="BU109">
            <v>1382250</v>
          </cell>
          <cell r="BV109">
            <v>1185254.6399999999</v>
          </cell>
          <cell r="BW109">
            <v>451050</v>
          </cell>
          <cell r="BX109">
            <v>192060</v>
          </cell>
          <cell r="BY109">
            <v>3281250</v>
          </cell>
          <cell r="BZ109">
            <v>35395082.666666664</v>
          </cell>
          <cell r="CA109">
            <v>3210614.6399999997</v>
          </cell>
          <cell r="CB109">
            <v>39375000</v>
          </cell>
          <cell r="CC109">
            <v>8203587.9900000002</v>
          </cell>
          <cell r="CD109">
            <v>16.358754067958841</v>
          </cell>
        </row>
        <row r="110">
          <cell r="F110" t="str">
            <v>곽노훈</v>
          </cell>
          <cell r="G110" t="str">
            <v>대리</v>
          </cell>
          <cell r="H110" t="str">
            <v>초급하</v>
          </cell>
          <cell r="I110" t="str">
            <v>초급기술자</v>
          </cell>
          <cell r="J110" t="str">
            <v>하도급(M/M)</v>
          </cell>
          <cell r="K110" t="str">
            <v>서비스 관제 엔지니어</v>
          </cell>
          <cell r="L110" t="str">
            <v>김용후 후임</v>
          </cell>
          <cell r="M110" t="str">
            <v>043-280-5802</v>
          </cell>
          <cell r="N110" t="str">
            <v>010-4263-7797</v>
          </cell>
          <cell r="O110" t="str">
            <v>tk1135@cnthoth.com</v>
          </cell>
          <cell r="P110" t="str">
            <v>951026-1</v>
          </cell>
          <cell r="Q110">
            <v>43388</v>
          </cell>
          <cell r="R110">
            <v>43388</v>
          </cell>
          <cell r="S110">
            <v>44105</v>
          </cell>
          <cell r="T110" t="str">
            <v>한국폴리텍대학(청주캠퍼스)</v>
          </cell>
          <cell r="U110" t="str">
            <v>정보통신시스템과</v>
          </cell>
          <cell r="V110" t="str">
            <v>전문대졸</v>
          </cell>
          <cell r="W110"/>
          <cell r="X110"/>
          <cell r="Y110"/>
          <cell r="Z110">
            <v>2765</v>
          </cell>
          <cell r="AA110">
            <v>2765</v>
          </cell>
          <cell r="AB110"/>
          <cell r="AC110"/>
          <cell r="AD110" t="str">
            <v>청주HN_OP</v>
          </cell>
          <cell r="AE110" t="str">
            <v>경기도외</v>
          </cell>
          <cell r="AF110" t="str">
            <v>4. SKB/SK하이닉스 Infra 운영</v>
          </cell>
          <cell r="AG110" t="str">
            <v>4. SKB/SK하이닉스 Infra 운영</v>
          </cell>
          <cell r="AH110" t="str">
            <v>SK AX</v>
          </cell>
          <cell r="AI110" t="str">
            <v>SK하이닉스(청주)</v>
          </cell>
          <cell r="AJ110" t="str">
            <v>곽경석</v>
          </cell>
          <cell r="AK110" t="str">
            <v>28436</v>
          </cell>
          <cell r="AL110" t="str">
            <v>충청북도 청주시 흥덕구 직지대로 337 (향정동) , SKHDC4 (M11 3F)</v>
          </cell>
          <cell r="AM110">
            <v>28740</v>
          </cell>
          <cell r="AN110" t="str">
            <v>충청북도 청주시 영운천로91번길 57, 304동 107호 (금천동, 삼일아파트)</v>
          </cell>
          <cell r="AO110" t="str">
            <v>Hynix Cloud팀</v>
          </cell>
          <cell r="AP110" t="str">
            <v>청주 DC 운영</v>
          </cell>
          <cell r="AQ110" t="str">
            <v>H/W 육안점검, 시스템 모니터링 및 장애 전파</v>
          </cell>
          <cell r="AR110"/>
          <cell r="AS110" t="str">
            <v>에스케이하이닉스(주) / SKHy '26년 ITO_데이타관제_1분기(4500303464-01)</v>
          </cell>
          <cell r="AT110" t="str">
            <v>스케줄</v>
          </cell>
          <cell r="AU110" t="str">
            <v>정직원</v>
          </cell>
          <cell r="AV110" t="str">
            <v>씨앤토트플러스㈜</v>
          </cell>
          <cell r="AW110">
            <v>4179000</v>
          </cell>
          <cell r="AX110">
            <v>4179000</v>
          </cell>
          <cell r="AY110">
            <v>12</v>
          </cell>
          <cell r="AZ110">
            <v>50148000</v>
          </cell>
          <cell r="BA110"/>
          <cell r="BB110"/>
          <cell r="BC110">
            <v>45839</v>
          </cell>
          <cell r="BD110">
            <v>30121080</v>
          </cell>
          <cell r="BE110">
            <v>30898800</v>
          </cell>
          <cell r="BF110">
            <v>30898800</v>
          </cell>
          <cell r="BG110">
            <v>2574900</v>
          </cell>
          <cell r="BH110">
            <v>2056300</v>
          </cell>
          <cell r="BI110">
            <v>11500.59</v>
          </cell>
          <cell r="BJ110">
            <v>196.19</v>
          </cell>
          <cell r="BK110">
            <v>2.17</v>
          </cell>
          <cell r="BL110">
            <v>53.23</v>
          </cell>
          <cell r="BM110">
            <v>12500</v>
          </cell>
          <cell r="BN110">
            <v>306100</v>
          </cell>
          <cell r="BO110">
            <v>200000</v>
          </cell>
          <cell r="BP110">
            <v>2083045</v>
          </cell>
          <cell r="BQ110" t="str">
            <v>적합</v>
          </cell>
          <cell r="BR110"/>
          <cell r="BS110">
            <v>1150059</v>
          </cell>
          <cell r="BT110">
            <v>2670738.25</v>
          </cell>
          <cell r="BU110">
            <v>1353693</v>
          </cell>
          <cell r="BV110">
            <v>1160767.5235199998</v>
          </cell>
          <cell r="BW110">
            <v>441731.4</v>
          </cell>
          <cell r="BX110">
            <v>188092.08</v>
          </cell>
          <cell r="BY110">
            <v>3218625</v>
          </cell>
          <cell r="BZ110">
            <v>34719597.25</v>
          </cell>
          <cell r="CA110">
            <v>3144284.0035199998</v>
          </cell>
          <cell r="CB110">
            <v>38623500</v>
          </cell>
          <cell r="CC110">
            <v>9004015.5500000007</v>
          </cell>
          <cell r="CD110">
            <v>17.954884641461277</v>
          </cell>
        </row>
        <row r="111">
          <cell r="F111" t="str">
            <v>최종범</v>
          </cell>
          <cell r="G111" t="str">
            <v>과장</v>
          </cell>
          <cell r="H111" t="str">
            <v>초급상</v>
          </cell>
          <cell r="I111" t="str">
            <v>초급기술자</v>
          </cell>
          <cell r="J111" t="str">
            <v>하도급(FTE)</v>
          </cell>
          <cell r="K111" t="str">
            <v>VDI 엔지니어</v>
          </cell>
          <cell r="L111" t="str">
            <v>2020_신규</v>
          </cell>
          <cell r="M111"/>
          <cell r="N111" t="str">
            <v>010-7764-6580</v>
          </cell>
          <cell r="O111" t="str">
            <v>dhrhd6580@cnthoth.com</v>
          </cell>
          <cell r="P111" t="str">
            <v>931018-1</v>
          </cell>
          <cell r="Q111">
            <v>43313</v>
          </cell>
          <cell r="R111">
            <v>44116</v>
          </cell>
          <cell r="S111"/>
          <cell r="T111" t="str">
            <v>국가평생교육진흥원</v>
          </cell>
          <cell r="U111"/>
          <cell r="V111" t="str">
            <v>전문대졸</v>
          </cell>
          <cell r="W111" t="str">
            <v>네트워크관리사2급</v>
          </cell>
          <cell r="X111"/>
          <cell r="Y111"/>
          <cell r="Z111">
            <v>2840</v>
          </cell>
          <cell r="AA111">
            <v>2037</v>
          </cell>
          <cell r="AB111"/>
          <cell r="AC111"/>
          <cell r="AD111" t="str">
            <v>SK㈜ U타워_정자</v>
          </cell>
          <cell r="AE111" t="str">
            <v>경기도</v>
          </cell>
          <cell r="AF111" t="str">
            <v>1. Infra 운영</v>
          </cell>
          <cell r="AG111" t="str">
            <v>1. Infra 운영</v>
          </cell>
          <cell r="AH111" t="str">
            <v>SK AX</v>
          </cell>
          <cell r="AI111" t="str">
            <v>SK그룹사(공통)</v>
          </cell>
          <cell r="AJ111" t="str">
            <v>최종범</v>
          </cell>
          <cell r="AK111">
            <v>13558</v>
          </cell>
          <cell r="AL111" t="str">
            <v>경기도 성남시 분당구 성남대로 343번길 9 SK U 타워 19층 VDI 센터</v>
          </cell>
          <cell r="AM111" t="str">
            <v>05629</v>
          </cell>
          <cell r="AN111" t="str">
            <v>서울특별시 송파구 백제고분로50길 30-26, 202호 (방이동)</v>
          </cell>
          <cell r="AO111" t="str">
            <v>Cloud VDI팀</v>
          </cell>
          <cell r="AP111" t="str">
            <v>SKT/SKI VDI 운영</v>
          </cell>
          <cell r="AQ111" t="str">
            <v>VDI 구축 및 운영</v>
          </cell>
          <cell r="AR111" t="str">
            <v>SKT담당</v>
          </cell>
          <cell r="AS111" t="str">
            <v>고객사 공통 / 2026년_VDI_01_1분기 (4500303359-01)</v>
          </cell>
          <cell r="AT111" t="str">
            <v>통상</v>
          </cell>
          <cell r="AU111" t="str">
            <v>정직원</v>
          </cell>
          <cell r="AV111" t="str">
            <v>씨앤토트플러스㈜</v>
          </cell>
          <cell r="AW111">
            <v>5731000</v>
          </cell>
          <cell r="AX111">
            <v>5731000</v>
          </cell>
          <cell r="AY111">
            <v>12</v>
          </cell>
          <cell r="AZ111">
            <v>68772000</v>
          </cell>
          <cell r="BA111"/>
          <cell r="BB111"/>
          <cell r="BC111">
            <v>45839</v>
          </cell>
          <cell r="BD111">
            <v>42048000</v>
          </cell>
          <cell r="BE111">
            <v>43488000</v>
          </cell>
          <cell r="BF111">
            <v>43488000</v>
          </cell>
          <cell r="BG111">
            <v>3624000</v>
          </cell>
          <cell r="BH111">
            <v>3071700</v>
          </cell>
          <cell r="BI111">
            <v>15654.07</v>
          </cell>
          <cell r="BJ111">
            <v>209</v>
          </cell>
          <cell r="BK111">
            <v>15</v>
          </cell>
          <cell r="BL111">
            <v>0</v>
          </cell>
          <cell r="BM111">
            <v>352300</v>
          </cell>
          <cell r="BN111">
            <v>0</v>
          </cell>
          <cell r="BO111">
            <v>200000</v>
          </cell>
          <cell r="BP111">
            <v>0</v>
          </cell>
          <cell r="BQ111" t="str">
            <v>적합</v>
          </cell>
          <cell r="BR111"/>
          <cell r="BS111">
            <v>626162.80000000005</v>
          </cell>
          <cell r="BT111">
            <v>3676180.2333333334</v>
          </cell>
          <cell r="BU111">
            <v>1951680</v>
          </cell>
          <cell r="BV111">
            <v>1673530.6751999999</v>
          </cell>
          <cell r="BW111">
            <v>636864</v>
          </cell>
          <cell r="BX111">
            <v>271180.79999999999</v>
          </cell>
          <cell r="BY111">
            <v>4530000</v>
          </cell>
          <cell r="BZ111">
            <v>47790343.033333331</v>
          </cell>
          <cell r="CA111">
            <v>4533255.4752000002</v>
          </cell>
          <cell r="CB111">
            <v>54360000</v>
          </cell>
          <cell r="CC111">
            <v>14412000</v>
          </cell>
          <cell r="CD111">
            <v>20.956203105915197</v>
          </cell>
        </row>
        <row r="112">
          <cell r="F112" t="str">
            <v>최성경</v>
          </cell>
          <cell r="G112" t="str">
            <v>대리</v>
          </cell>
          <cell r="H112" t="str">
            <v>초급하</v>
          </cell>
          <cell r="I112" t="str">
            <v>초급기술자</v>
          </cell>
          <cell r="J112" t="str">
            <v>하도급(FTE)</v>
          </cell>
          <cell r="K112" t="str">
            <v>VDI 엔지니어</v>
          </cell>
          <cell r="L112" t="str">
            <v>2020_신규</v>
          </cell>
          <cell r="M112"/>
          <cell r="N112" t="str">
            <v>010-6727-7032</v>
          </cell>
          <cell r="O112" t="str">
            <v>choi@cnthoth.com</v>
          </cell>
          <cell r="P112" t="str">
            <v>950706-1</v>
          </cell>
          <cell r="Q112">
            <v>43259</v>
          </cell>
          <cell r="R112">
            <v>44116</v>
          </cell>
          <cell r="S112"/>
          <cell r="T112" t="str">
            <v>국제평생교육진행원</v>
          </cell>
          <cell r="U112" t="str">
            <v>컴퓨터공학과</v>
          </cell>
          <cell r="V112" t="str">
            <v>전문대졸</v>
          </cell>
          <cell r="W112"/>
          <cell r="X112"/>
          <cell r="Y112"/>
          <cell r="Z112">
            <v>2894</v>
          </cell>
          <cell r="AA112">
            <v>2037</v>
          </cell>
          <cell r="AB112"/>
          <cell r="AC112"/>
          <cell r="AD112" t="str">
            <v>SK㈜ U타워_정자</v>
          </cell>
          <cell r="AE112" t="str">
            <v>경기도</v>
          </cell>
          <cell r="AF112" t="str">
            <v>1. Infra 운영</v>
          </cell>
          <cell r="AG112" t="str">
            <v>1. Infra 운영</v>
          </cell>
          <cell r="AH112" t="str">
            <v>SK AX</v>
          </cell>
          <cell r="AI112" t="str">
            <v>SK그룹사(공통)</v>
          </cell>
          <cell r="AJ112" t="str">
            <v>최종범</v>
          </cell>
          <cell r="AK112">
            <v>13558</v>
          </cell>
          <cell r="AL112" t="str">
            <v>경기도 성남시 분당구 성남대로 343번길 9 SK U 타워 19층 VDI 센터</v>
          </cell>
          <cell r="AM112" t="str">
            <v>17097</v>
          </cell>
          <cell r="AN112" t="str">
            <v>경기도 용인시 기흥구 덕영대로2033번길 62, 2층 203호 (하갈동)</v>
          </cell>
          <cell r="AO112" t="str">
            <v>Cloud VDI팀</v>
          </cell>
          <cell r="AP112" t="str">
            <v>SKT/SKI VDI 운영</v>
          </cell>
          <cell r="AQ112" t="str">
            <v>VDI 구축 및 운영</v>
          </cell>
          <cell r="AR112" t="str">
            <v>SK네트웍스 담당</v>
          </cell>
          <cell r="AS112" t="str">
            <v>고객사 공통 / 2026년_VDI_01_1분기 (4500303359-01)</v>
          </cell>
          <cell r="AT112" t="str">
            <v>통상</v>
          </cell>
          <cell r="AU112" t="str">
            <v>정직원</v>
          </cell>
          <cell r="AV112" t="str">
            <v>씨앤토트플러스㈜</v>
          </cell>
          <cell r="AW112">
            <v>4688000</v>
          </cell>
          <cell r="AX112">
            <v>4688000</v>
          </cell>
          <cell r="AY112">
            <v>12</v>
          </cell>
          <cell r="AZ112">
            <v>56256000</v>
          </cell>
          <cell r="BC112">
            <v>45839</v>
          </cell>
          <cell r="BD112">
            <v>34404000</v>
          </cell>
          <cell r="BE112">
            <v>36204000</v>
          </cell>
          <cell r="BF112">
            <v>36204000</v>
          </cell>
          <cell r="BG112">
            <v>3017000</v>
          </cell>
          <cell r="BH112">
            <v>2523700</v>
          </cell>
          <cell r="BI112">
            <v>13032.06</v>
          </cell>
          <cell r="BJ112">
            <v>209</v>
          </cell>
          <cell r="BK112">
            <v>15</v>
          </cell>
          <cell r="BL112">
            <v>0</v>
          </cell>
          <cell r="BM112">
            <v>293300</v>
          </cell>
          <cell r="BN112">
            <v>0</v>
          </cell>
          <cell r="BO112">
            <v>200000</v>
          </cell>
          <cell r="BP112">
            <v>0</v>
          </cell>
          <cell r="BQ112" t="str">
            <v>적합</v>
          </cell>
          <cell r="BR112"/>
          <cell r="BS112">
            <v>521282.39999999997</v>
          </cell>
          <cell r="BT112">
            <v>3060440.2</v>
          </cell>
          <cell r="BU112">
            <v>1605690</v>
          </cell>
          <cell r="BV112">
            <v>1376850.4416</v>
          </cell>
          <cell r="BW112">
            <v>523962</v>
          </cell>
          <cell r="BX112">
            <v>223106.4</v>
          </cell>
          <cell r="BY112">
            <v>3771250</v>
          </cell>
          <cell r="BZ112">
            <v>39785722.600000001</v>
          </cell>
          <cell r="CA112">
            <v>3729608.8415999999</v>
          </cell>
          <cell r="CB112">
            <v>45255000</v>
          </cell>
          <cell r="CC112">
            <v>11001000</v>
          </cell>
          <cell r="CD112">
            <v>19.555247440273039</v>
          </cell>
        </row>
        <row r="113">
          <cell r="F113" t="str">
            <v>고현재</v>
          </cell>
          <cell r="G113" t="str">
            <v>대리</v>
          </cell>
          <cell r="H113" t="str">
            <v>고능</v>
          </cell>
          <cell r="I113" t="str">
            <v>고급기능사</v>
          </cell>
          <cell r="J113" t="str">
            <v>하도급(M/M)</v>
          </cell>
          <cell r="K113" t="str">
            <v>NOC 엔지니어</v>
          </cell>
          <cell r="L113" t="str">
            <v>허균 후임</v>
          </cell>
          <cell r="M113"/>
          <cell r="N113" t="str">
            <v>010-5026-5184</v>
          </cell>
          <cell r="O113" t="str">
            <v>gomi1201@cnthoth.com</v>
          </cell>
          <cell r="P113" t="str">
            <v>950508-1</v>
          </cell>
          <cell r="Q113">
            <v>44119</v>
          </cell>
          <cell r="R113">
            <v>44119</v>
          </cell>
          <cell r="S113"/>
          <cell r="T113" t="str">
            <v>유원대학교</v>
          </cell>
          <cell r="U113" t="str">
            <v>스마트IT학과</v>
          </cell>
          <cell r="V113" t="str">
            <v>대졸</v>
          </cell>
          <cell r="W113" t="str">
            <v>정보처리기사</v>
          </cell>
          <cell r="X113" t="str">
            <v>리눅스마스터2급</v>
          </cell>
          <cell r="Z113">
            <v>2034</v>
          </cell>
          <cell r="AA113">
            <v>2034</v>
          </cell>
          <cell r="AB113"/>
          <cell r="AC113"/>
          <cell r="AD113" t="str">
            <v>SKB동작국사</v>
          </cell>
          <cell r="AE113" t="str">
            <v>서울특별시</v>
          </cell>
          <cell r="AF113" t="str">
            <v>4. SKB/SK하이닉스 Infra 운영</v>
          </cell>
          <cell r="AG113" t="str">
            <v>4. SKB/SK하이닉스 Infra 운영</v>
          </cell>
          <cell r="AH113" t="str">
            <v>SK AX</v>
          </cell>
          <cell r="AI113" t="str">
            <v>SKB(동작)</v>
          </cell>
          <cell r="AJ113" t="str">
            <v>박규성</v>
          </cell>
          <cell r="AK113" t="str">
            <v>07063</v>
          </cell>
          <cell r="AL113" t="str">
            <v>서울시 동작구 여의대방로 74 (신대방동) SK브로드밴드 7층</v>
          </cell>
          <cell r="AM113" t="str">
            <v>12030</v>
          </cell>
          <cell r="AN113" t="str">
            <v>경기도 남양주시 수동면 비룡로782번길 113-17 (수동면)</v>
          </cell>
          <cell r="AO113" t="str">
            <v>ICT Cloud팀</v>
          </cell>
          <cell r="AP113" t="str">
            <v>SKB N/W 운영</v>
          </cell>
          <cell r="AQ113" t="str">
            <v>N/W 관제, 장애 전파 및 처리, 상황실 NMS 등록/관리</v>
          </cell>
          <cell r="AS113" t="str">
            <v>에스케이브로드밴드(주) / SKB 26년 IT장비 및 소프트웨어 유지보수_1분기(4500302989-01)</v>
          </cell>
          <cell r="AT113" t="str">
            <v>스케줄</v>
          </cell>
          <cell r="AU113" t="str">
            <v>정직원</v>
          </cell>
          <cell r="AV113" t="str">
            <v>씨앤토트플러스㈜</v>
          </cell>
          <cell r="AW113">
            <v>3835000</v>
          </cell>
          <cell r="AX113">
            <v>3835000</v>
          </cell>
          <cell r="AY113">
            <v>12</v>
          </cell>
          <cell r="AZ113">
            <v>46020000</v>
          </cell>
          <cell r="BC113">
            <v>45839</v>
          </cell>
          <cell r="BD113">
            <v>29797200</v>
          </cell>
          <cell r="BE113">
            <v>30517200</v>
          </cell>
          <cell r="BF113">
            <v>30517200</v>
          </cell>
          <cell r="BG113">
            <v>2543100</v>
          </cell>
          <cell r="BH113">
            <v>1949700</v>
          </cell>
          <cell r="BI113">
            <v>11457.12</v>
          </cell>
          <cell r="BJ113">
            <v>187.63</v>
          </cell>
          <cell r="BK113">
            <v>29.11</v>
          </cell>
          <cell r="BL113">
            <v>39.54</v>
          </cell>
          <cell r="BM113">
            <v>166800</v>
          </cell>
          <cell r="BN113">
            <v>226600</v>
          </cell>
          <cell r="BO113">
            <v>200000</v>
          </cell>
          <cell r="BP113">
            <v>2315454</v>
          </cell>
          <cell r="BQ113" t="str">
            <v>적합</v>
          </cell>
          <cell r="BR113"/>
          <cell r="BS113">
            <v>1145712</v>
          </cell>
          <cell r="BT113">
            <v>2638576</v>
          </cell>
          <cell r="BU113">
            <v>1335567</v>
          </cell>
          <cell r="BV113">
            <v>1145224.8028799999</v>
          </cell>
          <cell r="BW113">
            <v>435816.6</v>
          </cell>
          <cell r="BX113">
            <v>185573.52</v>
          </cell>
          <cell r="BY113">
            <v>3178875</v>
          </cell>
          <cell r="BZ113">
            <v>34301488</v>
          </cell>
          <cell r="CA113">
            <v>3102181.92288</v>
          </cell>
          <cell r="CB113">
            <v>38146500</v>
          </cell>
          <cell r="CC113">
            <v>5071800.66</v>
          </cell>
          <cell r="CD113">
            <v>11.020861929595828</v>
          </cell>
        </row>
        <row r="114">
          <cell r="F114" t="str">
            <v>이수용</v>
          </cell>
          <cell r="G114" t="str">
            <v>사원</v>
          </cell>
          <cell r="H114" t="str">
            <v>초급상</v>
          </cell>
          <cell r="I114" t="str">
            <v>초급기술자</v>
          </cell>
          <cell r="J114" t="str">
            <v>하도급(M/M)</v>
          </cell>
          <cell r="K114" t="str">
            <v>서버엔지니어</v>
          </cell>
          <cell r="L114" t="str">
            <v>2022_신규</v>
          </cell>
          <cell r="M114"/>
          <cell r="N114" t="str">
            <v>010-5746-4406</v>
          </cell>
          <cell r="O114" t="str">
            <v>qwe98759@cnthoth.com</v>
          </cell>
          <cell r="P114" t="str">
            <v>980304-1</v>
          </cell>
          <cell r="Q114">
            <v>44123</v>
          </cell>
          <cell r="R114">
            <v>44123</v>
          </cell>
          <cell r="S114"/>
          <cell r="T114" t="str">
            <v>여주대학교</v>
          </cell>
          <cell r="U114" t="str">
            <v>컴퓨터정보과</v>
          </cell>
          <cell r="V114" t="str">
            <v>전문대졸</v>
          </cell>
          <cell r="W114" t="str">
            <v>CCNA</v>
          </cell>
          <cell r="Z114">
            <v>2030</v>
          </cell>
          <cell r="AA114">
            <v>2030</v>
          </cell>
          <cell r="AB114"/>
          <cell r="AC114"/>
          <cell r="AD114" t="str">
            <v>SK하이닉스_이천</v>
          </cell>
          <cell r="AE114" t="str">
            <v>경기도</v>
          </cell>
          <cell r="AF114" t="str">
            <v>4. SKB/SK하이닉스 Infra 운영</v>
          </cell>
          <cell r="AG114" t="str">
            <v>4. SKB/SK하이닉스 Infra 운영</v>
          </cell>
          <cell r="AH114" t="str">
            <v>SK AX</v>
          </cell>
          <cell r="AI114" t="str">
            <v>SK하이닉스(이천)</v>
          </cell>
          <cell r="AJ114" t="str">
            <v>이은서</v>
          </cell>
          <cell r="AK114" t="str">
            <v>17336</v>
          </cell>
          <cell r="AL114" t="str">
            <v xml:space="preserve">경기도 이천시 부발읍 경충대로 2091, SK하이닉스 기술지원센터 6층 SKHDC2 </v>
          </cell>
          <cell r="AM114" t="str">
            <v>01799</v>
          </cell>
          <cell r="AN114" t="str">
            <v>서울특별시 노원구 화랑로51길 78, 504동 202호 (공릉동, 비선아파트)</v>
          </cell>
          <cell r="AO114" t="str">
            <v>Hynix Cloud팀</v>
          </cell>
          <cell r="AP114" t="str">
            <v>SK하이닉스 서버 운영</v>
          </cell>
          <cell r="AQ114" t="str">
            <v>Linux 서버 운영</v>
          </cell>
          <cell r="AS114" t="str">
            <v>에스케이하이닉스(주) / SKHy '26년 ITO_인프라_1분기(4500303686-01)</v>
          </cell>
          <cell r="AT114" t="str">
            <v>통상</v>
          </cell>
          <cell r="AU114" t="str">
            <v>정직원</v>
          </cell>
          <cell r="AV114" t="str">
            <v>씨앤토트플러스㈜</v>
          </cell>
          <cell r="AW114">
            <v>5610000</v>
          </cell>
          <cell r="AX114">
            <v>5610000</v>
          </cell>
          <cell r="AY114">
            <v>12</v>
          </cell>
          <cell r="AZ114">
            <v>67320000</v>
          </cell>
          <cell r="BA114"/>
          <cell r="BB114"/>
          <cell r="BC114">
            <v>45839</v>
          </cell>
          <cell r="BD114">
            <v>38004000</v>
          </cell>
          <cell r="BE114">
            <v>40020000</v>
          </cell>
          <cell r="BF114">
            <v>40020000</v>
          </cell>
          <cell r="BG114">
            <v>3335000</v>
          </cell>
          <cell r="BH114">
            <v>2810800</v>
          </cell>
          <cell r="BI114">
            <v>14405.74</v>
          </cell>
          <cell r="BJ114">
            <v>209</v>
          </cell>
          <cell r="BK114">
            <v>15</v>
          </cell>
          <cell r="BL114">
            <v>0</v>
          </cell>
          <cell r="BM114">
            <v>324200</v>
          </cell>
          <cell r="BN114">
            <v>0</v>
          </cell>
          <cell r="BO114">
            <v>200000</v>
          </cell>
          <cell r="BP114">
            <v>0</v>
          </cell>
          <cell r="BQ114" t="str">
            <v>적합</v>
          </cell>
          <cell r="BR114"/>
          <cell r="BS114">
            <v>576229.6</v>
          </cell>
          <cell r="BT114">
            <v>3383019.1333333333</v>
          </cell>
          <cell r="BU114">
            <v>1786950</v>
          </cell>
          <cell r="BV114">
            <v>1532277.648</v>
          </cell>
          <cell r="BW114">
            <v>583110</v>
          </cell>
          <cell r="BX114">
            <v>248292</v>
          </cell>
          <cell r="BY114">
            <v>4168750</v>
          </cell>
          <cell r="BZ114">
            <v>43979248.733333334</v>
          </cell>
          <cell r="CA114">
            <v>4150629.648</v>
          </cell>
          <cell r="CB114">
            <v>50025000</v>
          </cell>
          <cell r="CC114">
            <v>17295000</v>
          </cell>
          <cell r="CD114">
            <v>25.690730837789662</v>
          </cell>
        </row>
        <row r="115">
          <cell r="F115" t="str">
            <v>한석규</v>
          </cell>
          <cell r="G115" t="str">
            <v>사원</v>
          </cell>
          <cell r="H115" t="str">
            <v>고능</v>
          </cell>
          <cell r="I115" t="str">
            <v>고급기능사</v>
          </cell>
          <cell r="J115" t="str">
            <v>하도급(FTE)</v>
          </cell>
          <cell r="K115" t="str">
            <v>서비스 관제 엔지니어</v>
          </cell>
          <cell r="L115" t="str">
            <v>유기원 후임</v>
          </cell>
          <cell r="M115"/>
          <cell r="N115" t="str">
            <v>010-4830-2801</v>
          </cell>
          <cell r="O115" t="str">
            <v>mingginu01@cnthoth.com</v>
          </cell>
          <cell r="P115" t="str">
            <v>961112-1</v>
          </cell>
          <cell r="Q115">
            <v>44136</v>
          </cell>
          <cell r="R115">
            <v>44136</v>
          </cell>
          <cell r="S115"/>
          <cell r="T115" t="str">
            <v>폴리텍대학</v>
          </cell>
          <cell r="U115" t="str">
            <v>모바일정보통신학과</v>
          </cell>
          <cell r="V115" t="str">
            <v>전문대졸</v>
          </cell>
          <cell r="W115" t="str">
            <v>정보처리산업기사</v>
          </cell>
          <cell r="X115" t="str">
            <v>네트워크관리사</v>
          </cell>
          <cell r="Y115"/>
          <cell r="Z115">
            <v>2017</v>
          </cell>
          <cell r="AA115">
            <v>2017</v>
          </cell>
          <cell r="AB115"/>
          <cell r="AC115"/>
          <cell r="AD115" t="str">
            <v>SKT장안국사</v>
          </cell>
          <cell r="AE115" t="str">
            <v>서울특별시</v>
          </cell>
          <cell r="AF115" t="str">
            <v>3. 콜센터 &amp; 금융 &amp; 기타</v>
          </cell>
          <cell r="AG115" t="str">
            <v>3. 콜센터 &amp; 금융 &amp; 기타</v>
          </cell>
          <cell r="AH115" t="str">
            <v>SK AX</v>
          </cell>
          <cell r="AI115" t="str">
            <v>SKT(장안콜센터)</v>
          </cell>
          <cell r="AJ115" t="str">
            <v>이기홍</v>
          </cell>
          <cell r="AK115" t="str">
            <v>02635</v>
          </cell>
          <cell r="AL115" t="str">
            <v>서울시 동대문구 장한로3길 34 SKT 장안고객센터 구관 2층 시스템 운영실</v>
          </cell>
          <cell r="AM115" t="str">
            <v>12239</v>
          </cell>
          <cell r="AN115" t="str">
            <v>경기도 남양주시 홍유릉로248번길 21, 102동 1501호 (금곡동, 금강아파트)</v>
          </cell>
          <cell r="AO115" t="str">
            <v>T Biz. Cloud팀</v>
          </cell>
          <cell r="AP115" t="str">
            <v>SKT_장안 콜센터 운영</v>
          </cell>
          <cell r="AQ115" t="str">
            <v>H/W 육안점검, 시스템 모니터링 및 장애 전파</v>
          </cell>
          <cell r="AS115" t="str">
            <v>고객사 공통 / 2026년_ICT운영171_1분기(4500303362-01)</v>
          </cell>
          <cell r="AT115" t="str">
            <v>스케줄</v>
          </cell>
          <cell r="AU115" t="str">
            <v>정직원</v>
          </cell>
          <cell r="AV115" t="str">
            <v>씨앤토트플러스㈜</v>
          </cell>
          <cell r="AW115">
            <v>4118000</v>
          </cell>
          <cell r="AX115">
            <v>4118000</v>
          </cell>
          <cell r="AY115">
            <v>12</v>
          </cell>
          <cell r="AZ115">
            <v>49416000</v>
          </cell>
          <cell r="BC115">
            <v>45839</v>
          </cell>
          <cell r="BD115">
            <v>31585080</v>
          </cell>
          <cell r="BE115">
            <v>32353200</v>
          </cell>
          <cell r="BF115">
            <v>32353200</v>
          </cell>
          <cell r="BG115">
            <v>2696100</v>
          </cell>
          <cell r="BH115">
            <v>1854600</v>
          </cell>
          <cell r="BI115">
            <v>13025.23</v>
          </cell>
          <cell r="BJ115">
            <v>157.74</v>
          </cell>
          <cell r="BK115">
            <v>32.590000000000003</v>
          </cell>
          <cell r="BL115">
            <v>65.900000000000006</v>
          </cell>
          <cell r="BM115">
            <v>212300</v>
          </cell>
          <cell r="BN115">
            <v>429200</v>
          </cell>
          <cell r="BO115">
            <v>200000</v>
          </cell>
          <cell r="BP115">
            <v>3145594</v>
          </cell>
          <cell r="BQ115" t="str">
            <v>적합</v>
          </cell>
          <cell r="BR115"/>
          <cell r="BS115">
            <v>1302523</v>
          </cell>
          <cell r="BT115">
            <v>2804643.5833333335</v>
          </cell>
          <cell r="BU115">
            <v>1422777</v>
          </cell>
          <cell r="BV115">
            <v>1220005.8172799998</v>
          </cell>
          <cell r="BW115">
            <v>464274.6</v>
          </cell>
          <cell r="BX115">
            <v>197691.12</v>
          </cell>
          <cell r="BY115">
            <v>3370125</v>
          </cell>
          <cell r="BZ115">
            <v>36460366.583333336</v>
          </cell>
          <cell r="CA115">
            <v>3304748.5372800003</v>
          </cell>
          <cell r="CB115">
            <v>40441500</v>
          </cell>
          <cell r="CC115">
            <v>5168331.26</v>
          </cell>
          <cell r="CD115">
            <v>10.45882155577141</v>
          </cell>
        </row>
        <row r="116">
          <cell r="F116" t="str">
            <v>박정수</v>
          </cell>
          <cell r="G116" t="str">
            <v>대리</v>
          </cell>
          <cell r="H116" t="str">
            <v>중능</v>
          </cell>
          <cell r="I116" t="str">
            <v>중급기능사</v>
          </cell>
          <cell r="J116" t="str">
            <v>하도급(FTE)</v>
          </cell>
          <cell r="K116" t="str">
            <v>NOC 엔지니어</v>
          </cell>
          <cell r="L116" t="str">
            <v>2020_신규</v>
          </cell>
          <cell r="M116"/>
          <cell r="N116" t="str">
            <v>010-6799-2795</v>
          </cell>
          <cell r="O116" t="str">
            <v>jungsooz@cnthoth.com</v>
          </cell>
          <cell r="P116" t="str">
            <v>880803-1</v>
          </cell>
          <cell r="Q116">
            <v>44144</v>
          </cell>
          <cell r="R116">
            <v>44144</v>
          </cell>
          <cell r="S116"/>
          <cell r="T116" t="str">
            <v>동의과학대</v>
          </cell>
          <cell r="U116" t="str">
            <v>관광중국어</v>
          </cell>
          <cell r="V116" t="str">
            <v>전문대중퇴</v>
          </cell>
          <cell r="W116" t="str">
            <v>네트워크관리사2급</v>
          </cell>
          <cell r="X116" t="str">
            <v>CCNA</v>
          </cell>
          <cell r="Y116"/>
          <cell r="Z116">
            <v>2009</v>
          </cell>
          <cell r="AA116">
            <v>2009</v>
          </cell>
          <cell r="AB116"/>
          <cell r="AC116"/>
          <cell r="AD116" t="str">
            <v>판교NOC</v>
          </cell>
          <cell r="AE116" t="str">
            <v>경기도</v>
          </cell>
          <cell r="AF116" t="str">
            <v>2. Network Service</v>
          </cell>
          <cell r="AG116" t="str">
            <v>2. Network Service</v>
          </cell>
          <cell r="AH116" t="str">
            <v>SK AX</v>
          </cell>
          <cell r="AI116" t="str">
            <v>SK이노베이션</v>
          </cell>
          <cell r="AJ116" t="str">
            <v>최재유</v>
          </cell>
          <cell r="AK116">
            <v>13486</v>
          </cell>
          <cell r="AL116" t="str">
            <v>경기도 성남시 분당구 판교로 255번길 46 SK C&amp;C 판교캠퍼스 A동 4층</v>
          </cell>
          <cell r="AM116" t="str">
            <v>13609</v>
          </cell>
          <cell r="AN116" t="str">
            <v>경기도 성남시 분당구 백현로156번길 24-1, 302호 (정자동)</v>
          </cell>
          <cell r="AO116" t="str">
            <v>Network Service팀</v>
          </cell>
          <cell r="AP116" t="str">
            <v>SK공통 NOC 운영</v>
          </cell>
          <cell r="AQ116" t="str">
            <v>N/W 관제, 장애 조치</v>
          </cell>
          <cell r="AS116" t="str">
            <v>고객사 공통 / 2026년_인프라운영_HC14_1분기(4500303329-01)</v>
          </cell>
          <cell r="AT116" t="str">
            <v>스케줄</v>
          </cell>
          <cell r="AU116" t="str">
            <v>정직원</v>
          </cell>
          <cell r="AV116" t="str">
            <v>씨앤토트플러스㈜</v>
          </cell>
          <cell r="AW116">
            <v>4071000</v>
          </cell>
          <cell r="AX116">
            <v>4071000</v>
          </cell>
          <cell r="AY116">
            <v>12</v>
          </cell>
          <cell r="AZ116">
            <v>48852000</v>
          </cell>
          <cell r="BA116"/>
          <cell r="BB116"/>
          <cell r="BC116">
            <v>46023</v>
          </cell>
          <cell r="BD116">
            <v>31202040</v>
          </cell>
          <cell r="BE116">
            <v>33002400</v>
          </cell>
          <cell r="BF116">
            <v>34003200</v>
          </cell>
          <cell r="BG116">
            <v>2833600</v>
          </cell>
          <cell r="BH116">
            <v>2244800</v>
          </cell>
          <cell r="BI116">
            <v>12782.6</v>
          </cell>
          <cell r="BJ116">
            <v>191.26</v>
          </cell>
          <cell r="BK116">
            <v>27.88</v>
          </cell>
          <cell r="BL116">
            <v>32.950000000000003</v>
          </cell>
          <cell r="BM116">
            <v>178200</v>
          </cell>
          <cell r="BN116">
            <v>210600</v>
          </cell>
          <cell r="BO116">
            <v>200000</v>
          </cell>
          <cell r="BP116">
            <v>735379</v>
          </cell>
          <cell r="BQ116" t="str">
            <v>적합</v>
          </cell>
          <cell r="BR116">
            <v>250000</v>
          </cell>
          <cell r="BS116">
            <v>1278260</v>
          </cell>
          <cell r="BT116">
            <v>2940121.6666666665</v>
          </cell>
          <cell r="BU116">
            <v>1501152</v>
          </cell>
          <cell r="BV116">
            <v>1287210.97728</v>
          </cell>
          <cell r="BW116">
            <v>489849.59999999998</v>
          </cell>
          <cell r="BX116">
            <v>208581.12</v>
          </cell>
          <cell r="BY116">
            <v>3542000</v>
          </cell>
          <cell r="BZ116">
            <v>38221581.666666664</v>
          </cell>
          <cell r="CA116">
            <v>3486793.6972800004</v>
          </cell>
          <cell r="CB116">
            <v>42504000</v>
          </cell>
          <cell r="CC116">
            <v>5458191.4100000001</v>
          </cell>
          <cell r="CD116">
            <v>11.172912900188324</v>
          </cell>
        </row>
        <row r="117">
          <cell r="F117" t="str">
            <v>권도완</v>
          </cell>
          <cell r="G117" t="str">
            <v>사원</v>
          </cell>
          <cell r="H117" t="str">
            <v>초급상</v>
          </cell>
          <cell r="I117" t="str">
            <v>초급기술자</v>
          </cell>
          <cell r="J117" t="str">
            <v>하도급(M/M)</v>
          </cell>
          <cell r="K117" t="str">
            <v>IT 인프라 현장대응 엔지니어</v>
          </cell>
          <cell r="L117" t="str">
            <v>천상환 후임</v>
          </cell>
          <cell r="M117" t="str">
            <v>043-280-5802</v>
          </cell>
          <cell r="N117" t="str">
            <v>010-2815-8979</v>
          </cell>
          <cell r="O117" t="str">
            <v>dowan0612@cnthoth.com</v>
          </cell>
          <cell r="P117" t="str">
            <v>930612-1</v>
          </cell>
          <cell r="Q117">
            <v>44179</v>
          </cell>
          <cell r="R117">
            <v>44179</v>
          </cell>
          <cell r="S117"/>
          <cell r="T117" t="str">
            <v>영진전문대학교</v>
          </cell>
          <cell r="U117" t="str">
            <v>컴퓨터정보</v>
          </cell>
          <cell r="V117" t="str">
            <v>전문대졸</v>
          </cell>
          <cell r="W117" t="str">
            <v>CCNA</v>
          </cell>
          <cell r="Z117">
            <v>1974</v>
          </cell>
          <cell r="AA117">
            <v>1974</v>
          </cell>
          <cell r="AB117"/>
          <cell r="AC117"/>
          <cell r="AD117" t="str">
            <v>청주HN_대응</v>
          </cell>
          <cell r="AE117" t="str">
            <v>경기도외</v>
          </cell>
          <cell r="AF117" t="str">
            <v>4. SKB/SK하이닉스 Infra 운영</v>
          </cell>
          <cell r="AG117" t="str">
            <v>4. SKB/SK하이닉스 Infra 운영</v>
          </cell>
          <cell r="AH117" t="str">
            <v>SK AX</v>
          </cell>
          <cell r="AI117" t="str">
            <v>SK하이닉스(청주)</v>
          </cell>
          <cell r="AJ117" t="str">
            <v>곽경석</v>
          </cell>
          <cell r="AK117" t="str">
            <v>28436</v>
          </cell>
          <cell r="AL117" t="str">
            <v>충청북도 청주시 흥덕구 직지대로 337 (향정동) , SKHDC4 (M11 3F)</v>
          </cell>
          <cell r="AM117" t="str">
            <v>41713</v>
          </cell>
          <cell r="AN117" t="str">
            <v>대구광역시 서구 달서천로49안길 35-7, 3층 (비산동)</v>
          </cell>
          <cell r="AO117" t="str">
            <v>Hynix Cloud팀</v>
          </cell>
          <cell r="AP117" t="str">
            <v>인프라 장애 긴급 대응</v>
          </cell>
          <cell r="AQ117" t="str">
            <v>인프라 장비 장애 발생시 현장대응</v>
          </cell>
          <cell r="AS117" t="str">
            <v>에스케이하이닉스(주) / SKHy '26년 ITO_데이타관제_1분기(4500303464-01)</v>
          </cell>
          <cell r="AT117" t="str">
            <v>스케줄</v>
          </cell>
          <cell r="AU117" t="str">
            <v>정직원</v>
          </cell>
          <cell r="AV117" t="str">
            <v>씨앤토트플러스㈜</v>
          </cell>
          <cell r="AW117">
            <v>5151000</v>
          </cell>
          <cell r="AX117">
            <v>5151000</v>
          </cell>
          <cell r="AY117">
            <v>12</v>
          </cell>
          <cell r="AZ117">
            <v>61812000</v>
          </cell>
          <cell r="BC117">
            <v>45839</v>
          </cell>
          <cell r="BD117">
            <v>32065200</v>
          </cell>
          <cell r="BE117">
            <v>33025200</v>
          </cell>
          <cell r="BF117">
            <v>33025200</v>
          </cell>
          <cell r="BG117">
            <v>2752100</v>
          </cell>
          <cell r="BH117">
            <v>1959300</v>
          </cell>
          <cell r="BI117">
            <v>13813.33</v>
          </cell>
          <cell r="BJ117">
            <v>156.32000000000002</v>
          </cell>
          <cell r="BK117">
            <v>36.39</v>
          </cell>
          <cell r="BL117">
            <v>49.43</v>
          </cell>
          <cell r="BM117">
            <v>251400</v>
          </cell>
          <cell r="BN117">
            <v>341400</v>
          </cell>
          <cell r="BO117">
            <v>200000</v>
          </cell>
          <cell r="BP117">
            <v>2600360</v>
          </cell>
          <cell r="BQ117" t="str">
            <v>적합</v>
          </cell>
          <cell r="BR117"/>
          <cell r="BS117">
            <v>1381333</v>
          </cell>
          <cell r="BT117">
            <v>2867211.0833333335</v>
          </cell>
          <cell r="BU117">
            <v>1454697</v>
          </cell>
          <cell r="BV117">
            <v>1247376.6460799999</v>
          </cell>
          <cell r="BW117">
            <v>474690.6</v>
          </cell>
          <cell r="BX117">
            <v>202126.32</v>
          </cell>
          <cell r="BY117">
            <v>3440125</v>
          </cell>
          <cell r="BZ117">
            <v>37273744.083333336</v>
          </cell>
          <cell r="CA117">
            <v>3378890.5660799998</v>
          </cell>
          <cell r="CB117">
            <v>41281500</v>
          </cell>
          <cell r="CC117">
            <v>17384064.399999999</v>
          </cell>
          <cell r="CD117">
            <v>28.124093056364458</v>
          </cell>
        </row>
        <row r="118">
          <cell r="F118" t="str">
            <v>이상우</v>
          </cell>
          <cell r="G118" t="str">
            <v>대리</v>
          </cell>
          <cell r="H118" t="str">
            <v>고능</v>
          </cell>
          <cell r="I118" t="str">
            <v>고급기능사</v>
          </cell>
          <cell r="J118" t="str">
            <v>하도급(M/M)</v>
          </cell>
          <cell r="K118" t="str">
            <v>서비스 관제 엔지니어</v>
          </cell>
          <cell r="L118" t="str">
            <v>김대영 후임</v>
          </cell>
          <cell r="M118" t="str">
            <v>02-6400-5026</v>
          </cell>
          <cell r="N118" t="str">
            <v>010-5960-7758</v>
          </cell>
          <cell r="O118" t="str">
            <v>cdcdy9553@cnthoth.com</v>
          </cell>
          <cell r="P118" t="str">
            <v>930730-1</v>
          </cell>
          <cell r="Q118">
            <v>44728</v>
          </cell>
          <cell r="R118">
            <v>44728</v>
          </cell>
          <cell r="S118"/>
          <cell r="T118" t="str">
            <v>동원대학교</v>
          </cell>
          <cell r="U118" t="str">
            <v>냉동공조설비과</v>
          </cell>
          <cell r="V118" t="str">
            <v>전문대졸</v>
          </cell>
          <cell r="W118" t="str">
            <v>AZ-900</v>
          </cell>
          <cell r="X118" t="str">
            <v>SC-900</v>
          </cell>
          <cell r="Y118" t="str">
            <v>AZ-305</v>
          </cell>
          <cell r="Z118">
            <v>1425</v>
          </cell>
          <cell r="AA118">
            <v>1425</v>
          </cell>
          <cell r="AB118"/>
          <cell r="AC118"/>
          <cell r="AD118" t="str">
            <v>판교DC</v>
          </cell>
          <cell r="AE118" t="str">
            <v>경기도</v>
          </cell>
          <cell r="AF118" t="str">
            <v>1. Infra 운영</v>
          </cell>
          <cell r="AG118" t="str">
            <v>1. Infra 운영</v>
          </cell>
          <cell r="AH118" t="str">
            <v>SK AX</v>
          </cell>
          <cell r="AI118" t="str">
            <v>SK그룹사(공통)</v>
          </cell>
          <cell r="AJ118" t="str">
            <v>김성구</v>
          </cell>
          <cell r="AK118">
            <v>13486</v>
          </cell>
          <cell r="AL118" t="str">
            <v>경기도 성남시 분당구 판교로 255번길 46 SK(주) C&amp;C 판교캠퍼스 A동 1층</v>
          </cell>
          <cell r="AM118" t="str">
            <v>08775</v>
          </cell>
          <cell r="AN118" t="str">
            <v>서울특별시 관악구 신림로53길 15-10, 402호 (신림동, 소원하이빌)</v>
          </cell>
          <cell r="AO118" t="str">
            <v>CloudControlCenter팀</v>
          </cell>
          <cell r="AP118" t="str">
            <v>판교 DC 운영</v>
          </cell>
          <cell r="AQ118" t="str">
            <v>H/W 육안점검, 시스템 모니터링 및 장애 전파</v>
          </cell>
          <cell r="AS118" t="str">
            <v>고객사 공통 / 2026년_VDI_01_1분기(4500302906-01)</v>
          </cell>
          <cell r="AT118" t="str">
            <v>스케줄</v>
          </cell>
          <cell r="AU118" t="str">
            <v>정직원</v>
          </cell>
          <cell r="AV118" t="str">
            <v>씨앤토트플러스㈜</v>
          </cell>
          <cell r="AW118">
            <v>4117000</v>
          </cell>
          <cell r="AX118">
            <v>4117000</v>
          </cell>
          <cell r="AY118">
            <v>12</v>
          </cell>
          <cell r="AZ118">
            <v>49404000</v>
          </cell>
          <cell r="BA118"/>
          <cell r="BB118"/>
          <cell r="BC118">
            <v>45839</v>
          </cell>
          <cell r="BD118">
            <v>30812040</v>
          </cell>
          <cell r="BE118">
            <v>32967600</v>
          </cell>
          <cell r="BF118">
            <v>32967600</v>
          </cell>
          <cell r="BG118">
            <v>2747300</v>
          </cell>
          <cell r="BH118">
            <v>2019700</v>
          </cell>
          <cell r="BI118">
            <v>12063.59</v>
          </cell>
          <cell r="BJ118">
            <v>184</v>
          </cell>
          <cell r="BK118">
            <v>38.020000000000003</v>
          </cell>
          <cell r="BL118">
            <v>49.43</v>
          </cell>
          <cell r="BM118">
            <v>229400</v>
          </cell>
          <cell r="BN118">
            <v>298200</v>
          </cell>
          <cell r="BO118">
            <v>200000</v>
          </cell>
          <cell r="BP118">
            <v>2185018</v>
          </cell>
          <cell r="BQ118" t="str">
            <v>적합</v>
          </cell>
          <cell r="BR118"/>
          <cell r="BS118">
            <v>1206359</v>
          </cell>
          <cell r="BT118">
            <v>2847829.9166666665</v>
          </cell>
          <cell r="BU118">
            <v>1451961</v>
          </cell>
          <cell r="BV118">
            <v>1245030.5750399998</v>
          </cell>
          <cell r="BW118">
            <v>473797.8</v>
          </cell>
          <cell r="BX118">
            <v>201746.16</v>
          </cell>
          <cell r="BY118">
            <v>3434125</v>
          </cell>
          <cell r="BZ118">
            <v>37021788.916666664</v>
          </cell>
          <cell r="CA118">
            <v>3372535.5350399995</v>
          </cell>
          <cell r="CB118">
            <v>41209500</v>
          </cell>
          <cell r="CC118">
            <v>5550628.2200000007</v>
          </cell>
          <cell r="CD118">
            <v>11.235179783013523</v>
          </cell>
        </row>
        <row r="119">
          <cell r="F119" t="str">
            <v>김성욱</v>
          </cell>
          <cell r="G119" t="str">
            <v>사원</v>
          </cell>
          <cell r="H119" t="str">
            <v>초급상</v>
          </cell>
          <cell r="I119" t="str">
            <v>초급기술자</v>
          </cell>
          <cell r="J119" t="str">
            <v>하도급(M/M)</v>
          </cell>
          <cell r="K119" t="str">
            <v>IT 인프라 현장대응 엔지니어</v>
          </cell>
          <cell r="L119" t="str">
            <v>양정완 후임</v>
          </cell>
          <cell r="M119"/>
          <cell r="N119" t="str">
            <v>010-2690-9804</v>
          </cell>
          <cell r="O119" t="str">
            <v>ksw7644@cnthoth.com</v>
          </cell>
          <cell r="P119" t="str">
            <v>900228-1</v>
          </cell>
          <cell r="Q119">
            <v>44368</v>
          </cell>
          <cell r="R119">
            <v>44368</v>
          </cell>
          <cell r="S119"/>
          <cell r="T119" t="str">
            <v>충북보건과학대학교</v>
          </cell>
          <cell r="U119" t="str">
            <v>자동차학과</v>
          </cell>
          <cell r="V119" t="str">
            <v>전문대졸</v>
          </cell>
          <cell r="Z119">
            <v>1785</v>
          </cell>
          <cell r="AA119">
            <v>1785</v>
          </cell>
          <cell r="AB119"/>
          <cell r="AC119"/>
          <cell r="AD119" t="str">
            <v>청주HN_대응</v>
          </cell>
          <cell r="AE119" t="str">
            <v>경기도외</v>
          </cell>
          <cell r="AF119" t="str">
            <v>4. SKB/SK하이닉스 Infra 운영</v>
          </cell>
          <cell r="AG119" t="str">
            <v>4. SKB/SK하이닉스 Infra 운영</v>
          </cell>
          <cell r="AH119" t="str">
            <v>SK AX</v>
          </cell>
          <cell r="AI119" t="str">
            <v>SK하이닉스(청주)</v>
          </cell>
          <cell r="AJ119" t="str">
            <v>곽경석</v>
          </cell>
          <cell r="AK119" t="str">
            <v>28436</v>
          </cell>
          <cell r="AL119" t="str">
            <v>충청북도 청주시 흥덕구 직지대로 337 (향정동) , SKHDC4 (M11 3F)</v>
          </cell>
          <cell r="AM119">
            <v>28750</v>
          </cell>
          <cell r="AN119" t="str">
            <v>충청북도 청주시 상당구 호미로201번길 19, 204호 (용정동, 하늘채빌)</v>
          </cell>
          <cell r="AO119" t="str">
            <v>Hynix Cloud팀</v>
          </cell>
          <cell r="AP119" t="str">
            <v>인프라 장애 긴급 대응</v>
          </cell>
          <cell r="AQ119" t="str">
            <v>인프라 장비 장애 발생시 현장대응</v>
          </cell>
          <cell r="AS119" t="str">
            <v>에스케이하이닉스(주) / SKHy '26년 ITO_데이타관제_1분기(4500303464-01)</v>
          </cell>
          <cell r="AT119" t="str">
            <v>스케줄</v>
          </cell>
          <cell r="AU119" t="str">
            <v>정직원</v>
          </cell>
          <cell r="AV119" t="str">
            <v>씨앤토트플러스㈜</v>
          </cell>
          <cell r="AW119">
            <v>5151000</v>
          </cell>
          <cell r="AX119">
            <v>5151000</v>
          </cell>
          <cell r="AY119">
            <v>12</v>
          </cell>
          <cell r="AZ119">
            <v>61812000</v>
          </cell>
          <cell r="BC119">
            <v>45839</v>
          </cell>
          <cell r="BD119">
            <v>31560600</v>
          </cell>
          <cell r="BE119">
            <v>32760000</v>
          </cell>
          <cell r="BF119">
            <v>32760000</v>
          </cell>
          <cell r="BG119">
            <v>2730000</v>
          </cell>
          <cell r="BH119">
            <v>1941900</v>
          </cell>
          <cell r="BI119">
            <v>13702.02</v>
          </cell>
          <cell r="BJ119">
            <v>156.32000000000002</v>
          </cell>
          <cell r="BK119">
            <v>36.39</v>
          </cell>
          <cell r="BL119">
            <v>49.43</v>
          </cell>
          <cell r="BM119">
            <v>249400</v>
          </cell>
          <cell r="BN119">
            <v>338700</v>
          </cell>
          <cell r="BO119">
            <v>200000</v>
          </cell>
          <cell r="BP119">
            <v>2579406</v>
          </cell>
          <cell r="BQ119" t="str">
            <v>적합</v>
          </cell>
          <cell r="BR119"/>
          <cell r="BS119">
            <v>1370202</v>
          </cell>
          <cell r="BT119">
            <v>2844183.5</v>
          </cell>
          <cell r="BU119">
            <v>1442100</v>
          </cell>
          <cell r="BV119">
            <v>1236574.9439999999</v>
          </cell>
          <cell r="BW119">
            <v>470580</v>
          </cell>
          <cell r="BX119">
            <v>200376</v>
          </cell>
          <cell r="BY119">
            <v>3412500</v>
          </cell>
          <cell r="BZ119">
            <v>36974385.5</v>
          </cell>
          <cell r="CA119">
            <v>3349630.9440000001</v>
          </cell>
          <cell r="CB119">
            <v>40950000</v>
          </cell>
          <cell r="CC119">
            <v>17740918.740000002</v>
          </cell>
          <cell r="CD119">
            <v>28.70141516210445</v>
          </cell>
        </row>
        <row r="120">
          <cell r="F120" t="str">
            <v>조현하</v>
          </cell>
          <cell r="G120" t="str">
            <v>대리</v>
          </cell>
          <cell r="H120" t="str">
            <v>고능</v>
          </cell>
          <cell r="I120" t="str">
            <v>고급기능사</v>
          </cell>
          <cell r="J120" t="str">
            <v>하도급(M/M)</v>
          </cell>
          <cell r="K120" t="str">
            <v>네트워크엔지니어</v>
          </cell>
          <cell r="L120" t="str">
            <v>L3 운영</v>
          </cell>
          <cell r="M120"/>
          <cell r="N120" t="str">
            <v>010-5543-3342</v>
          </cell>
          <cell r="O120" t="str">
            <v>hyunha@cnthoth.com</v>
          </cell>
          <cell r="P120" t="str">
            <v>961021-1</v>
          </cell>
          <cell r="Q120">
            <v>44470</v>
          </cell>
          <cell r="R120">
            <v>44470</v>
          </cell>
          <cell r="S120"/>
          <cell r="T120" t="str">
            <v>부산카톨릭대학</v>
          </cell>
          <cell r="U120" t="str">
            <v>소프트웨어공학</v>
          </cell>
          <cell r="V120" t="str">
            <v>대졸</v>
          </cell>
          <cell r="Z120">
            <v>1683</v>
          </cell>
          <cell r="AA120">
            <v>1683</v>
          </cell>
          <cell r="AB120"/>
          <cell r="AC120"/>
          <cell r="AD120" t="str">
            <v>SKB 7층_동작</v>
          </cell>
          <cell r="AE120" t="str">
            <v>서울특별시</v>
          </cell>
          <cell r="AF120" t="str">
            <v>4. SKB/SK하이닉스 Infra 운영</v>
          </cell>
          <cell r="AG120" t="str">
            <v>4. SKB/SK하이닉스 Infra 운영</v>
          </cell>
          <cell r="AH120" t="str">
            <v>SK AX</v>
          </cell>
          <cell r="AI120" t="str">
            <v>SKB(동작)</v>
          </cell>
          <cell r="AJ120" t="str">
            <v>박규성</v>
          </cell>
          <cell r="AK120" t="str">
            <v>07063</v>
          </cell>
          <cell r="AL120" t="str">
            <v>서울시 동작구 여의대방로 74 (신대방동) SK브로드밴드 7층</v>
          </cell>
          <cell r="AM120" t="str">
            <v>16046</v>
          </cell>
          <cell r="AN120" t="str">
            <v>경기도 의왕시 어내들로 5, 107동 2403호 (오전동, 의왕 더샵 캐슬)</v>
          </cell>
          <cell r="AO120" t="str">
            <v>ICT Cloud팀</v>
          </cell>
          <cell r="AP120" t="str">
            <v>SKB N/W 운영</v>
          </cell>
          <cell r="AQ120" t="str">
            <v>N/W 구축 및 유지보수</v>
          </cell>
          <cell r="AS120" t="str">
            <v>에스케이브로드밴드(주) / SKB 26년 IT장비 및 소프트웨어 유지보수_1분기(4500302989-01)</v>
          </cell>
          <cell r="AT120" t="str">
            <v>통상</v>
          </cell>
          <cell r="AU120" t="str">
            <v>정직원</v>
          </cell>
          <cell r="AV120" t="str">
            <v>씨앤토트플러스㈜</v>
          </cell>
          <cell r="AW120">
            <v>4013000</v>
          </cell>
          <cell r="AX120">
            <v>4300000</v>
          </cell>
          <cell r="AY120">
            <v>12</v>
          </cell>
          <cell r="AZ120">
            <v>51600000</v>
          </cell>
          <cell r="BC120">
            <v>45839</v>
          </cell>
          <cell r="BD120">
            <v>29460240</v>
          </cell>
          <cell r="BE120">
            <v>32100000</v>
          </cell>
          <cell r="BF120">
            <v>32100000</v>
          </cell>
          <cell r="BG120">
            <v>2675000</v>
          </cell>
          <cell r="BH120">
            <v>2215000</v>
          </cell>
          <cell r="BI120">
            <v>11555.02</v>
          </cell>
          <cell r="BJ120">
            <v>209</v>
          </cell>
          <cell r="BK120">
            <v>15</v>
          </cell>
          <cell r="BL120">
            <v>0</v>
          </cell>
          <cell r="BM120">
            <v>260000</v>
          </cell>
          <cell r="BN120">
            <v>0</v>
          </cell>
          <cell r="BO120">
            <v>200000</v>
          </cell>
          <cell r="BP120">
            <v>0</v>
          </cell>
          <cell r="BQ120" t="str">
            <v>적합</v>
          </cell>
          <cell r="BR120"/>
          <cell r="BS120">
            <v>462200.80000000005</v>
          </cell>
          <cell r="BT120">
            <v>2713516.7333333334</v>
          </cell>
          <cell r="BU120">
            <v>1410750</v>
          </cell>
          <cell r="BV120">
            <v>1209692.8799999999</v>
          </cell>
          <cell r="BW120">
            <v>460350</v>
          </cell>
          <cell r="BX120">
            <v>196020</v>
          </cell>
          <cell r="BY120">
            <v>3343750</v>
          </cell>
          <cell r="BZ120">
            <v>35275717.533333331</v>
          </cell>
          <cell r="CA120">
            <v>3276812.88</v>
          </cell>
          <cell r="CB120">
            <v>40125000</v>
          </cell>
          <cell r="CC120">
            <v>11475000</v>
          </cell>
          <cell r="CD120">
            <v>22.238372093023255</v>
          </cell>
        </row>
        <row r="121">
          <cell r="F121" t="str">
            <v>이인준</v>
          </cell>
          <cell r="G121" t="str">
            <v>대리</v>
          </cell>
          <cell r="H121" t="str">
            <v>초급상</v>
          </cell>
          <cell r="I121" t="str">
            <v>초급기술자</v>
          </cell>
          <cell r="J121" t="str">
            <v>하도급(M/M)</v>
          </cell>
          <cell r="K121" t="str">
            <v>네트워크엔지니어</v>
          </cell>
          <cell r="L121" t="str">
            <v>권오철 후임</v>
          </cell>
          <cell r="M121"/>
          <cell r="N121" t="str">
            <v>010-4447-1620</v>
          </cell>
          <cell r="O121" t="str">
            <v>sineria@cnthoth.com</v>
          </cell>
          <cell r="P121" t="str">
            <v>870430-1</v>
          </cell>
          <cell r="Q121">
            <v>43344</v>
          </cell>
          <cell r="R121">
            <v>44578</v>
          </cell>
          <cell r="S121"/>
          <cell r="T121" t="str">
            <v>광운대학교</v>
          </cell>
          <cell r="U121" t="str">
            <v>컴퓨터공학</v>
          </cell>
          <cell r="V121" t="str">
            <v>대졸</v>
          </cell>
          <cell r="W121" t="str">
            <v>정보처리기사</v>
          </cell>
          <cell r="X121" t="str">
            <v>CCNA</v>
          </cell>
          <cell r="Y121" t="str">
            <v>네트워크관리사2급</v>
          </cell>
          <cell r="Z121">
            <v>2809</v>
          </cell>
          <cell r="AA121">
            <v>1575</v>
          </cell>
          <cell r="AB121"/>
          <cell r="AC121"/>
          <cell r="AD121" t="str">
            <v>판교NOC</v>
          </cell>
          <cell r="AE121" t="str">
            <v>경기도</v>
          </cell>
          <cell r="AF121" t="str">
            <v>2. Network Service</v>
          </cell>
          <cell r="AG121" t="str">
            <v>2. Network Service</v>
          </cell>
          <cell r="AH121" t="str">
            <v>SK AX</v>
          </cell>
          <cell r="AI121" t="str">
            <v>SK그룹사(공통)</v>
          </cell>
          <cell r="AJ121" t="str">
            <v>최재유</v>
          </cell>
          <cell r="AK121">
            <v>13486</v>
          </cell>
          <cell r="AL121" t="str">
            <v>경기도 성남시 분당구 판교로 255번길 46 SK C&amp;C 판교캠퍼스 A동 4층</v>
          </cell>
          <cell r="AM121" t="str">
            <v>16930</v>
          </cell>
          <cell r="AN121" t="str">
            <v>경기도 용인시 수지구 만현로 107, 709동 1404호 (상현동, 만현마을쌍용1차아파트)</v>
          </cell>
          <cell r="AO121" t="str">
            <v>Network Service팀</v>
          </cell>
          <cell r="AP121" t="str">
            <v>SKC, SKE&amp;S, SKI 고객지원</v>
          </cell>
          <cell r="AQ121" t="str">
            <v>N/W 고객요청 처리</v>
          </cell>
          <cell r="AS121" t="str">
            <v>고객사 공통 / 2026년_인프라운영_HC11_1분기(4500303149-01)</v>
          </cell>
          <cell r="AT121" t="str">
            <v>통상</v>
          </cell>
          <cell r="AU121" t="str">
            <v>정직원</v>
          </cell>
          <cell r="AV121" t="str">
            <v>씨앤토트플러스㈜</v>
          </cell>
          <cell r="AW121">
            <v>4264000</v>
          </cell>
          <cell r="AX121">
            <v>4264000</v>
          </cell>
          <cell r="AY121">
            <v>12</v>
          </cell>
          <cell r="AZ121">
            <v>51168000</v>
          </cell>
          <cell r="BA121"/>
          <cell r="BB121"/>
          <cell r="BC121">
            <v>45839</v>
          </cell>
          <cell r="BD121">
            <v>40200000</v>
          </cell>
          <cell r="BE121">
            <v>41760000</v>
          </cell>
          <cell r="BF121">
            <v>41760000</v>
          </cell>
          <cell r="BG121">
            <v>3480000</v>
          </cell>
          <cell r="BH121">
            <v>2941700</v>
          </cell>
          <cell r="BI121">
            <v>15032.06</v>
          </cell>
          <cell r="BJ121">
            <v>209</v>
          </cell>
          <cell r="BK121">
            <v>15</v>
          </cell>
          <cell r="BL121">
            <v>0</v>
          </cell>
          <cell r="BM121">
            <v>338300</v>
          </cell>
          <cell r="BN121">
            <v>0</v>
          </cell>
          <cell r="BO121">
            <v>200000</v>
          </cell>
          <cell r="BP121">
            <v>0</v>
          </cell>
          <cell r="BQ121" t="str">
            <v>적합</v>
          </cell>
          <cell r="BR121"/>
          <cell r="BS121">
            <v>601282.4</v>
          </cell>
          <cell r="BT121">
            <v>3530106.8666666667</v>
          </cell>
          <cell r="BU121">
            <v>1869600</v>
          </cell>
          <cell r="BV121">
            <v>1603148.544</v>
          </cell>
          <cell r="BW121">
            <v>610080</v>
          </cell>
          <cell r="BX121">
            <v>259776</v>
          </cell>
          <cell r="BY121">
            <v>4350000</v>
          </cell>
          <cell r="BZ121">
            <v>45891389.266666666</v>
          </cell>
          <cell r="CA121">
            <v>4342604.5439999998</v>
          </cell>
          <cell r="CB121">
            <v>52200000</v>
          </cell>
          <cell r="CC121">
            <v>-1032000</v>
          </cell>
          <cell r="CD121">
            <v>-2.0168855534709191</v>
          </cell>
        </row>
        <row r="122">
          <cell r="F122" t="str">
            <v>이광호</v>
          </cell>
          <cell r="G122" t="str">
            <v>대리</v>
          </cell>
          <cell r="H122" t="str">
            <v>초급하</v>
          </cell>
          <cell r="I122" t="str">
            <v>초급기술자</v>
          </cell>
          <cell r="J122" t="str">
            <v>하도급(M/M)</v>
          </cell>
          <cell r="K122" t="str">
            <v>서버엔지니어</v>
          </cell>
          <cell r="L122" t="str">
            <v>2026_추가</v>
          </cell>
          <cell r="M122"/>
          <cell r="N122" t="str">
            <v>010-7696-1211</v>
          </cell>
          <cell r="O122" t="str">
            <v>LKH803@cnthoth.com</v>
          </cell>
          <cell r="P122" t="str">
            <v>940107-1</v>
          </cell>
          <cell r="Q122">
            <v>44599</v>
          </cell>
          <cell r="R122">
            <v>44599</v>
          </cell>
          <cell r="S122"/>
          <cell r="T122" t="str">
            <v>영남대학교</v>
          </cell>
          <cell r="U122" t="str">
            <v>신소재공학</v>
          </cell>
          <cell r="V122" t="str">
            <v>대졸</v>
          </cell>
          <cell r="Z122">
            <v>1554</v>
          </cell>
          <cell r="AA122">
            <v>1554</v>
          </cell>
          <cell r="AB122"/>
          <cell r="AC122"/>
          <cell r="AD122" t="str">
            <v>SK하이닉스_청주</v>
          </cell>
          <cell r="AE122" t="str">
            <v>경기도외</v>
          </cell>
          <cell r="AF122" t="str">
            <v>4. SKB/SK하이닉스 Infra 운영</v>
          </cell>
          <cell r="AG122" t="str">
            <v>4. SKB/SK하이닉스 Infra 운영</v>
          </cell>
          <cell r="AH122" t="str">
            <v>SK AX</v>
          </cell>
          <cell r="AI122" t="str">
            <v>SK하이닉스(청주)</v>
          </cell>
          <cell r="AJ122" t="str">
            <v>곽경석</v>
          </cell>
          <cell r="AK122" t="str">
            <v>28436</v>
          </cell>
          <cell r="AL122" t="str">
            <v>충청북도 청주시 흥덕구 직지대로 337 (향정동) , SKHDC4 (M11 3F)</v>
          </cell>
          <cell r="AM122">
            <v>28595</v>
          </cell>
          <cell r="AN122" t="str">
            <v>충청북도 청주시 흥덕구 내수동로42번길 21, 304호 (복대동, 은혜빌)</v>
          </cell>
          <cell r="AO122" t="str">
            <v>Hynix Cloud팀</v>
          </cell>
          <cell r="AP122" t="str">
            <v>청주 DC 서버 운영</v>
          </cell>
          <cell r="AQ122" t="str">
            <v>H/W 육안점검, 시스템 모니터링 및 장애 전파</v>
          </cell>
          <cell r="AS122" t="str">
            <v>에스케이하이닉스(주) / SKHy '26년 ITO_데이타관제_1분기(4500303464-01)</v>
          </cell>
          <cell r="AT122" t="str">
            <v>통상</v>
          </cell>
          <cell r="AU122" t="str">
            <v>정직원</v>
          </cell>
          <cell r="AV122" t="str">
            <v>씨앤토트플러스㈜</v>
          </cell>
          <cell r="AW122">
            <v>4179000</v>
          </cell>
          <cell r="AX122">
            <v>5100000</v>
          </cell>
          <cell r="AY122">
            <v>12</v>
          </cell>
          <cell r="AZ122">
            <v>61200000</v>
          </cell>
          <cell r="BC122">
            <v>46113</v>
          </cell>
          <cell r="BD122">
            <v>29496720</v>
          </cell>
          <cell r="BE122">
            <v>30577200</v>
          </cell>
          <cell r="BF122">
            <v>35000400</v>
          </cell>
          <cell r="BG122">
            <v>2916700</v>
          </cell>
          <cell r="BH122">
            <v>2433200</v>
          </cell>
          <cell r="BI122">
            <v>12599.04</v>
          </cell>
          <cell r="BJ122">
            <v>209</v>
          </cell>
          <cell r="BK122">
            <v>15</v>
          </cell>
          <cell r="BL122">
            <v>0</v>
          </cell>
          <cell r="BM122">
            <v>283500</v>
          </cell>
          <cell r="BN122">
            <v>0</v>
          </cell>
          <cell r="BO122">
            <v>200000</v>
          </cell>
          <cell r="BP122">
            <v>0</v>
          </cell>
          <cell r="BQ122" t="str">
            <v>적합</v>
          </cell>
          <cell r="BR122"/>
          <cell r="BS122">
            <v>503961.60000000003</v>
          </cell>
          <cell r="BT122">
            <v>2958696.8</v>
          </cell>
          <cell r="BU122">
            <v>1548519</v>
          </cell>
          <cell r="BV122">
            <v>1327827.3321599998</v>
          </cell>
          <cell r="BW122">
            <v>505306.2</v>
          </cell>
          <cell r="BX122">
            <v>215162.63999999998</v>
          </cell>
          <cell r="BY122">
            <v>3645875</v>
          </cell>
          <cell r="BZ122">
            <v>38463058.399999999</v>
          </cell>
          <cell r="CA122">
            <v>3596815.1721600001</v>
          </cell>
          <cell r="CB122">
            <v>43750500</v>
          </cell>
          <cell r="CC122">
            <v>17449500</v>
          </cell>
          <cell r="CD122">
            <v>28.51225490196078</v>
          </cell>
        </row>
        <row r="123">
          <cell r="F123" t="str">
            <v>최의헌</v>
          </cell>
          <cell r="G123" t="str">
            <v>사원</v>
          </cell>
          <cell r="H123" t="str">
            <v>초급상</v>
          </cell>
          <cell r="I123" t="str">
            <v>초급기술자</v>
          </cell>
          <cell r="J123" t="str">
            <v>하도급(FTE)</v>
          </cell>
          <cell r="K123" t="str">
            <v>NOC 엔지니어</v>
          </cell>
          <cell r="L123" t="str">
            <v>류제호 후임</v>
          </cell>
          <cell r="M123"/>
          <cell r="N123" t="str">
            <v>010-2724-7123</v>
          </cell>
          <cell r="O123" t="str">
            <v>cuh0309@cnthoth.com</v>
          </cell>
          <cell r="P123" t="str">
            <v>960916-1</v>
          </cell>
          <cell r="Q123">
            <v>44606</v>
          </cell>
          <cell r="R123">
            <v>44606</v>
          </cell>
          <cell r="S123"/>
          <cell r="T123" t="str">
            <v>청강문화산업대학교</v>
          </cell>
          <cell r="U123" t="str">
            <v>모바일보안학</v>
          </cell>
          <cell r="V123" t="str">
            <v>전문대졸</v>
          </cell>
          <cell r="W123" t="str">
            <v>CCNA</v>
          </cell>
          <cell r="X123" t="str">
            <v>컴퓨터활용능력1급</v>
          </cell>
          <cell r="Y123"/>
          <cell r="Z123">
            <v>1547</v>
          </cell>
          <cell r="AA123">
            <v>1547</v>
          </cell>
          <cell r="AB123"/>
          <cell r="AC123"/>
          <cell r="AD123" t="str">
            <v>판교NOC</v>
          </cell>
          <cell r="AE123" t="str">
            <v>경기도</v>
          </cell>
          <cell r="AF123" t="str">
            <v>2. Network Service</v>
          </cell>
          <cell r="AG123" t="str">
            <v>2. Network Service</v>
          </cell>
          <cell r="AH123" t="str">
            <v>SK AX</v>
          </cell>
          <cell r="AI123" t="str">
            <v>SK그룹사(공통)</v>
          </cell>
          <cell r="AJ123" t="str">
            <v>최재유</v>
          </cell>
          <cell r="AK123">
            <v>13486</v>
          </cell>
          <cell r="AL123" t="str">
            <v>경기도 성남시 분당구 판교로 255번길 46 SK C&amp;C 판교캠퍼스 A동 4층</v>
          </cell>
          <cell r="AM123" t="str">
            <v>17013</v>
          </cell>
          <cell r="AN123" t="str">
            <v>경기도 용인시 기흥구 동백중앙로 41, 5301동 601호 (중동, 초당마을주공아파트)</v>
          </cell>
          <cell r="AO123" t="str">
            <v>Network Service팀</v>
          </cell>
          <cell r="AP123" t="str">
            <v>SK공통 NOC 운영</v>
          </cell>
          <cell r="AQ123" t="str">
            <v>N/W 관제, 장애 조치</v>
          </cell>
          <cell r="AS123" t="str">
            <v>고객사 공통 / 2026년_인프라운영_HC11_1분기(4500303149-01)</v>
          </cell>
          <cell r="AT123" t="str">
            <v>스케줄</v>
          </cell>
          <cell r="AU123" t="str">
            <v>정직원</v>
          </cell>
          <cell r="AV123" t="str">
            <v>씨앤토트플러스㈜</v>
          </cell>
          <cell r="AW123">
            <v>4432000</v>
          </cell>
          <cell r="AX123">
            <v>4432000</v>
          </cell>
          <cell r="AY123">
            <v>12</v>
          </cell>
          <cell r="AZ123">
            <v>53184000</v>
          </cell>
          <cell r="BA123"/>
          <cell r="BB123"/>
          <cell r="BC123">
            <v>46023</v>
          </cell>
          <cell r="BD123">
            <v>29040720</v>
          </cell>
          <cell r="BE123">
            <v>30002400</v>
          </cell>
          <cell r="BF123">
            <v>32503200</v>
          </cell>
          <cell r="BG123">
            <v>2708600</v>
          </cell>
          <cell r="BH123">
            <v>2136900</v>
          </cell>
          <cell r="BI123">
            <v>12218.45</v>
          </cell>
          <cell r="BJ123">
            <v>191.26</v>
          </cell>
          <cell r="BK123">
            <v>27.88</v>
          </cell>
          <cell r="BL123">
            <v>32.950000000000003</v>
          </cell>
          <cell r="BM123">
            <v>170400</v>
          </cell>
          <cell r="BN123">
            <v>201300</v>
          </cell>
          <cell r="BO123">
            <v>200000</v>
          </cell>
          <cell r="BP123">
            <v>702923</v>
          </cell>
          <cell r="BQ123" t="str">
            <v>적합</v>
          </cell>
          <cell r="BR123">
            <v>250000</v>
          </cell>
          <cell r="BS123">
            <v>1221845</v>
          </cell>
          <cell r="BT123">
            <v>2810420.4166666665</v>
          </cell>
          <cell r="BU123">
            <v>1429902</v>
          </cell>
          <cell r="BV123">
            <v>1226115.3772799999</v>
          </cell>
          <cell r="BW123">
            <v>466599.6</v>
          </cell>
          <cell r="BX123">
            <v>198681.12</v>
          </cell>
          <cell r="BY123">
            <v>3385750</v>
          </cell>
          <cell r="BZ123">
            <v>36535465.416666664</v>
          </cell>
          <cell r="CA123">
            <v>3321298.0972799999</v>
          </cell>
          <cell r="CB123">
            <v>40629000</v>
          </cell>
          <cell r="CC123">
            <v>11704463.17</v>
          </cell>
          <cell r="CD123">
            <v>22.007489414109507</v>
          </cell>
        </row>
        <row r="124">
          <cell r="F124" t="str">
            <v>김강산</v>
          </cell>
          <cell r="G124" t="str">
            <v>사원</v>
          </cell>
          <cell r="H124" t="str">
            <v>초급하</v>
          </cell>
          <cell r="I124" t="str">
            <v>초급기술자</v>
          </cell>
          <cell r="J124" t="str">
            <v>하도급(M/M)</v>
          </cell>
          <cell r="K124" t="str">
            <v>네트워크보안엔지니어</v>
          </cell>
          <cell r="L124" t="str">
            <v>신지헌 후임</v>
          </cell>
          <cell r="M124"/>
          <cell r="N124" t="str">
            <v>010-8579-4038</v>
          </cell>
          <cell r="O124" t="str">
            <v>kk2218@cnthoth.com</v>
          </cell>
          <cell r="P124" t="str">
            <v>951117-1</v>
          </cell>
          <cell r="Q124">
            <v>44621</v>
          </cell>
          <cell r="R124">
            <v>44621</v>
          </cell>
          <cell r="S124"/>
          <cell r="T124" t="str">
            <v>국가평생교육진흥원</v>
          </cell>
          <cell r="U124" t="str">
            <v>건축공학</v>
          </cell>
          <cell r="V124" t="str">
            <v>대졸</v>
          </cell>
          <cell r="W124"/>
          <cell r="X124"/>
          <cell r="Y124"/>
          <cell r="Z124">
            <v>1532</v>
          </cell>
          <cell r="AA124">
            <v>1532</v>
          </cell>
          <cell r="AB124"/>
          <cell r="AC124"/>
          <cell r="AD124" t="str">
            <v>SK AX A동 1F_판교</v>
          </cell>
          <cell r="AE124" t="str">
            <v>경기도</v>
          </cell>
          <cell r="AF124" t="str">
            <v>2. Network Service</v>
          </cell>
          <cell r="AG124" t="str">
            <v>2. Network Service</v>
          </cell>
          <cell r="AH124" t="str">
            <v>SK AX</v>
          </cell>
          <cell r="AI124" t="str">
            <v>SK그룹사(공통)</v>
          </cell>
          <cell r="AJ124" t="str">
            <v>최재유</v>
          </cell>
          <cell r="AK124">
            <v>13486</v>
          </cell>
          <cell r="AL124" t="str">
            <v>경기도 성남시 분당구 판교로 255번길 46 SK C&amp;C 판교캠퍼스 A동 4층</v>
          </cell>
          <cell r="AM124" t="str">
            <v>12797</v>
          </cell>
          <cell r="AN124" t="str">
            <v>경기도 광주시 오포읍 양촌안길 35-17, 105동 504호 (오포읍, 양벌리세양청마루아파트)</v>
          </cell>
          <cell r="AO124" t="str">
            <v>Network Service팀</v>
          </cell>
          <cell r="AP124" t="str">
            <v>SK공통 N/W 보안 운영</v>
          </cell>
          <cell r="AQ124" t="str">
            <v>방화벽 운영</v>
          </cell>
          <cell r="AS124" t="str">
            <v>고객사 공통 / 2026년_인프라운영_HC11_1분기(4500303149-01)</v>
          </cell>
          <cell r="AT124" t="str">
            <v>통상</v>
          </cell>
          <cell r="AU124" t="str">
            <v>정직원</v>
          </cell>
          <cell r="AV124" t="str">
            <v>씨앤토트플러스㈜</v>
          </cell>
          <cell r="AW124">
            <v>5359000</v>
          </cell>
          <cell r="AX124">
            <v>5359000</v>
          </cell>
          <cell r="AY124">
            <v>12</v>
          </cell>
          <cell r="AZ124">
            <v>64308000</v>
          </cell>
          <cell r="BA124"/>
          <cell r="BB124"/>
          <cell r="BC124">
            <v>46023</v>
          </cell>
          <cell r="BD124">
            <v>29856000</v>
          </cell>
          <cell r="BE124">
            <v>31152000</v>
          </cell>
          <cell r="BF124">
            <v>33152400</v>
          </cell>
          <cell r="BG124">
            <v>2762700</v>
          </cell>
          <cell r="BH124">
            <v>2294100</v>
          </cell>
          <cell r="BI124">
            <v>11933.49</v>
          </cell>
          <cell r="BJ124">
            <v>209</v>
          </cell>
          <cell r="BK124">
            <v>15</v>
          </cell>
          <cell r="BL124">
            <v>0</v>
          </cell>
          <cell r="BM124">
            <v>268600</v>
          </cell>
          <cell r="BN124">
            <v>0</v>
          </cell>
          <cell r="BO124">
            <v>200000</v>
          </cell>
          <cell r="BP124">
            <v>0</v>
          </cell>
          <cell r="BQ124" t="str">
            <v>적합</v>
          </cell>
          <cell r="BR124"/>
          <cell r="BS124">
            <v>477339.6</v>
          </cell>
          <cell r="BT124">
            <v>2802478.3</v>
          </cell>
          <cell r="BU124">
            <v>1460739</v>
          </cell>
          <cell r="BV124">
            <v>1252557.55296</v>
          </cell>
          <cell r="BW124">
            <v>476662.2</v>
          </cell>
          <cell r="BX124">
            <v>202965.84</v>
          </cell>
          <cell r="BY124">
            <v>3453375</v>
          </cell>
          <cell r="BZ124">
            <v>36432217.899999999</v>
          </cell>
          <cell r="CA124">
            <v>3392924.59296</v>
          </cell>
          <cell r="CB124">
            <v>41440500</v>
          </cell>
          <cell r="CC124">
            <v>22867500</v>
          </cell>
          <cell r="CD124">
            <v>35.559339428997951</v>
          </cell>
        </row>
        <row r="125">
          <cell r="F125" t="str">
            <v>김진선</v>
          </cell>
          <cell r="G125" t="str">
            <v>대리</v>
          </cell>
          <cell r="H125" t="str">
            <v>초급상</v>
          </cell>
          <cell r="I125" t="str">
            <v>초급기술자</v>
          </cell>
          <cell r="J125" t="str">
            <v>하도급(M/M)</v>
          </cell>
          <cell r="K125" t="str">
            <v>IT 인프라 현장대응 엔지니어</v>
          </cell>
          <cell r="L125" t="str">
            <v>권용상 후임</v>
          </cell>
          <cell r="M125"/>
          <cell r="N125" t="str">
            <v>010-3002-7464</v>
          </cell>
          <cell r="O125" t="str">
            <v>keyanai@cnthoth.com</v>
          </cell>
          <cell r="P125" t="str">
            <v>861118-1</v>
          </cell>
          <cell r="Q125">
            <v>42614</v>
          </cell>
          <cell r="R125">
            <v>44627</v>
          </cell>
          <cell r="S125"/>
          <cell r="T125" t="str">
            <v>장호원고등학교</v>
          </cell>
          <cell r="U125"/>
          <cell r="V125" t="str">
            <v>고졸</v>
          </cell>
          <cell r="W125" t="str">
            <v>네트워크관리사2급</v>
          </cell>
          <cell r="X125"/>
          <cell r="Y125"/>
          <cell r="Z125">
            <v>3539</v>
          </cell>
          <cell r="AA125">
            <v>1526</v>
          </cell>
          <cell r="AB125"/>
          <cell r="AC125"/>
          <cell r="AD125" t="str">
            <v>이천HN_대응</v>
          </cell>
          <cell r="AE125" t="str">
            <v>경기도</v>
          </cell>
          <cell r="AF125" t="str">
            <v>4. SKB/SK하이닉스 Infra 운영</v>
          </cell>
          <cell r="AG125" t="str">
            <v>4. SKB/SK하이닉스 Infra 운영</v>
          </cell>
          <cell r="AH125" t="str">
            <v>SK AX</v>
          </cell>
          <cell r="AI125" t="str">
            <v>SK하이닉스(이천)</v>
          </cell>
          <cell r="AJ125" t="str">
            <v>임봉영</v>
          </cell>
          <cell r="AK125" t="str">
            <v>17336</v>
          </cell>
          <cell r="AL125" t="str">
            <v xml:space="preserve">경기도 이천시 부발읍 경충대로 2091, SK하이닉스 기술지원센터 2층 SKHDC2 </v>
          </cell>
          <cell r="AM125" t="str">
            <v>17394</v>
          </cell>
          <cell r="AN125" t="str">
            <v>경기도 이천시 호법면 이섭대천로537번길 34-13, 1동 112호 (호법면)</v>
          </cell>
          <cell r="AO125" t="str">
            <v>Hynix Cloud팀</v>
          </cell>
          <cell r="AP125" t="str">
            <v>인프라 장애 긴급 대응</v>
          </cell>
          <cell r="AQ125" t="str">
            <v>인프라 장비 장애 발생시 현장대응</v>
          </cell>
          <cell r="AR125"/>
          <cell r="AS125" t="str">
            <v>에스케이하이닉스(주) / SKHy '26년 ITO_데이타관제_1분기(4500303464-01)</v>
          </cell>
          <cell r="AT125" t="str">
            <v>스케줄</v>
          </cell>
          <cell r="AU125" t="str">
            <v>정직원</v>
          </cell>
          <cell r="AV125" t="str">
            <v>씨앤토트플러스㈜</v>
          </cell>
          <cell r="AW125">
            <v>5151000</v>
          </cell>
          <cell r="AX125">
            <v>5151000</v>
          </cell>
          <cell r="AY125">
            <v>12</v>
          </cell>
          <cell r="AZ125">
            <v>61812000</v>
          </cell>
          <cell r="BA125"/>
          <cell r="BB125"/>
          <cell r="BC125">
            <v>45839</v>
          </cell>
          <cell r="BD125">
            <v>32305080</v>
          </cell>
          <cell r="BE125">
            <v>33505200</v>
          </cell>
          <cell r="BF125">
            <v>33505200</v>
          </cell>
          <cell r="BG125">
            <v>2792100</v>
          </cell>
          <cell r="BH125">
            <v>1990700</v>
          </cell>
          <cell r="BI125">
            <v>14014.2</v>
          </cell>
          <cell r="BJ125">
            <v>156.32000000000002</v>
          </cell>
          <cell r="BK125">
            <v>36.39</v>
          </cell>
          <cell r="BL125">
            <v>49.43</v>
          </cell>
          <cell r="BM125">
            <v>255000</v>
          </cell>
          <cell r="BN125">
            <v>346400</v>
          </cell>
          <cell r="BO125">
            <v>200000</v>
          </cell>
          <cell r="BP125">
            <v>2638174</v>
          </cell>
          <cell r="BQ125" t="str">
            <v>적합</v>
          </cell>
          <cell r="BR125"/>
          <cell r="BS125">
            <v>1401420</v>
          </cell>
          <cell r="BT125">
            <v>2908885</v>
          </cell>
          <cell r="BU125">
            <v>1477497</v>
          </cell>
          <cell r="BV125">
            <v>1266927.23808</v>
          </cell>
          <cell r="BW125">
            <v>482130.6</v>
          </cell>
          <cell r="BX125">
            <v>205294.32</v>
          </cell>
          <cell r="BY125">
            <v>3490125</v>
          </cell>
          <cell r="BZ125">
            <v>37815505</v>
          </cell>
          <cell r="CA125">
            <v>3431849.15808</v>
          </cell>
          <cell r="CB125">
            <v>41881500</v>
          </cell>
          <cell r="CC125">
            <v>16738309.460000001</v>
          </cell>
          <cell r="CD125">
            <v>27.079385006147678</v>
          </cell>
        </row>
        <row r="126">
          <cell r="F126" t="str">
            <v>김남영</v>
          </cell>
          <cell r="G126" t="str">
            <v>사원</v>
          </cell>
          <cell r="H126" t="str">
            <v>초급하</v>
          </cell>
          <cell r="I126" t="str">
            <v>초급기술자</v>
          </cell>
          <cell r="J126" t="str">
            <v>하도급(FTE)</v>
          </cell>
          <cell r="K126" t="str">
            <v>네트워크엔지니어</v>
          </cell>
          <cell r="L126" t="str">
            <v>2022_신규</v>
          </cell>
          <cell r="M126"/>
          <cell r="N126" t="str">
            <v>010-2915-3028</v>
          </cell>
          <cell r="O126" t="str">
            <v>mysteryzero@cnthoth.com</v>
          </cell>
          <cell r="P126" t="str">
            <v>971117-1</v>
          </cell>
          <cell r="Q126">
            <v>44630</v>
          </cell>
          <cell r="R126">
            <v>44630</v>
          </cell>
          <cell r="S126"/>
          <cell r="T126" t="str">
            <v>덕계고등학교</v>
          </cell>
          <cell r="U126"/>
          <cell r="V126" t="str">
            <v>고졸</v>
          </cell>
          <cell r="W126"/>
          <cell r="X126"/>
          <cell r="Y126"/>
          <cell r="Z126">
            <v>1523</v>
          </cell>
          <cell r="AA126">
            <v>1523</v>
          </cell>
          <cell r="AB126"/>
          <cell r="AC126"/>
          <cell r="AD126" t="str">
            <v>SKT_보라매 7F</v>
          </cell>
          <cell r="AE126" t="str">
            <v>서울특별시</v>
          </cell>
          <cell r="AF126" t="str">
            <v>2. Network Service</v>
          </cell>
          <cell r="AG126" t="str">
            <v>2. Network Service</v>
          </cell>
          <cell r="AH126" t="str">
            <v>SK AX</v>
          </cell>
          <cell r="AI126" t="str">
            <v>SKT(보라매)</v>
          </cell>
          <cell r="AJ126" t="str">
            <v>임영준</v>
          </cell>
          <cell r="AK126" t="str">
            <v>08708</v>
          </cell>
          <cell r="AL126" t="str">
            <v>서울시 관악구 보라매로5길 1  SK텔레콤빌딩 7F (봉천동)</v>
          </cell>
          <cell r="AM126" t="str">
            <v>08706</v>
          </cell>
          <cell r="AN126" t="str">
            <v>서울특별시 관악구 관천로18길 31, 1동 202호 (신림동, 신영빌라)</v>
          </cell>
          <cell r="AO126" t="str">
            <v>Network Service팀</v>
          </cell>
          <cell r="AP126" t="str">
            <v>SK공통 NOC 운영</v>
          </cell>
          <cell r="AQ126" t="str">
            <v>N/W 모니터링 및 장애처리</v>
          </cell>
          <cell r="AR126"/>
          <cell r="AS126" t="str">
            <v>고객사 공통 / 2026년_인프라운영_HC11_1분기(4500303149-01)</v>
          </cell>
          <cell r="AT126" t="str">
            <v>통상</v>
          </cell>
          <cell r="AU126" t="str">
            <v>정직원</v>
          </cell>
          <cell r="AV126" t="str">
            <v>씨앤토트플러스㈜</v>
          </cell>
          <cell r="AW126">
            <v>3875000</v>
          </cell>
          <cell r="AX126">
            <v>3875000</v>
          </cell>
          <cell r="AY126">
            <v>12</v>
          </cell>
          <cell r="AZ126">
            <v>46500000</v>
          </cell>
          <cell r="BA126"/>
          <cell r="BB126"/>
          <cell r="BC126">
            <v>45839</v>
          </cell>
          <cell r="BD126">
            <v>29041080</v>
          </cell>
          <cell r="BE126">
            <v>30001200</v>
          </cell>
          <cell r="BF126">
            <v>30001200</v>
          </cell>
          <cell r="BG126">
            <v>2500100</v>
          </cell>
          <cell r="BH126">
            <v>2057100</v>
          </cell>
          <cell r="BI126">
            <v>10799.52</v>
          </cell>
          <cell r="BJ126">
            <v>209</v>
          </cell>
          <cell r="BK126">
            <v>15</v>
          </cell>
          <cell r="BL126">
            <v>0</v>
          </cell>
          <cell r="BM126">
            <v>243000</v>
          </cell>
          <cell r="BN126">
            <v>0</v>
          </cell>
          <cell r="BO126">
            <v>200000</v>
          </cell>
          <cell r="BP126">
            <v>0</v>
          </cell>
          <cell r="BQ126" t="str">
            <v>적합</v>
          </cell>
          <cell r="BR126">
            <v>250000</v>
          </cell>
          <cell r="BS126">
            <v>431980.80000000005</v>
          </cell>
          <cell r="BT126">
            <v>2536098.4</v>
          </cell>
          <cell r="BU126">
            <v>1311057</v>
          </cell>
          <cell r="BV126">
            <v>1124207.9164799999</v>
          </cell>
          <cell r="BW126">
            <v>427818.6</v>
          </cell>
          <cell r="BX126">
            <v>182167.92</v>
          </cell>
          <cell r="BY126">
            <v>3125125</v>
          </cell>
          <cell r="BZ126">
            <v>32969279.199999999</v>
          </cell>
          <cell r="CA126">
            <v>3045251.4364800001</v>
          </cell>
          <cell r="CB126">
            <v>37501500</v>
          </cell>
          <cell r="CC126">
            <v>8998500</v>
          </cell>
          <cell r="CD126">
            <v>19.351612903225806</v>
          </cell>
        </row>
        <row r="127">
          <cell r="F127" t="str">
            <v>조석희</v>
          </cell>
          <cell r="G127" t="str">
            <v>과장</v>
          </cell>
          <cell r="H127" t="str">
            <v>초급하</v>
          </cell>
          <cell r="I127" t="str">
            <v>초급기술자</v>
          </cell>
          <cell r="J127" t="str">
            <v>하도급(FTE)</v>
          </cell>
          <cell r="K127" t="str">
            <v>VDI 엔지니어</v>
          </cell>
          <cell r="L127" t="str">
            <v>이영재 후임</v>
          </cell>
          <cell r="M127"/>
          <cell r="N127" t="str">
            <v>010-4820-5233</v>
          </cell>
          <cell r="O127" t="str">
            <v>iridescent@cnthoth.com</v>
          </cell>
          <cell r="P127" t="str">
            <v>900323-1</v>
          </cell>
          <cell r="Q127">
            <v>43191</v>
          </cell>
          <cell r="R127">
            <v>44697</v>
          </cell>
          <cell r="S127"/>
          <cell r="T127" t="str">
            <v>학점은행제</v>
          </cell>
          <cell r="U127" t="str">
            <v>컴퓨터공학</v>
          </cell>
          <cell r="V127" t="str">
            <v>대졸</v>
          </cell>
          <cell r="W127" t="str">
            <v>네트워크관리사2급</v>
          </cell>
          <cell r="X127"/>
          <cell r="Y127"/>
          <cell r="Z127">
            <v>2962</v>
          </cell>
          <cell r="AA127">
            <v>1456</v>
          </cell>
          <cell r="AB127"/>
          <cell r="AC127"/>
          <cell r="AD127" t="str">
            <v>SK㈜ U타워_정자</v>
          </cell>
          <cell r="AE127" t="str">
            <v>경기도</v>
          </cell>
          <cell r="AF127" t="str">
            <v>1. Infra 운영</v>
          </cell>
          <cell r="AG127" t="str">
            <v>1. Infra 운영</v>
          </cell>
          <cell r="AH127" t="str">
            <v>SK AX</v>
          </cell>
          <cell r="AI127" t="str">
            <v>SK그룹사(공통)</v>
          </cell>
          <cell r="AJ127" t="str">
            <v>최종범</v>
          </cell>
          <cell r="AK127">
            <v>13558</v>
          </cell>
          <cell r="AL127" t="str">
            <v>경기도 성남시 분당구 성남대로 343번길 9 SK U 타워 19층 VDI 센터</v>
          </cell>
          <cell r="AM127" t="str">
            <v>13590</v>
          </cell>
          <cell r="AN127" t="str">
            <v>경기도 성남시 분당구 서현로 170, C동 802호 (서현동, 풍림아이원플러스)</v>
          </cell>
          <cell r="AO127" t="str">
            <v>Cloud VDI팀</v>
          </cell>
          <cell r="AP127" t="str">
            <v>SKT/SKI VDI 운영</v>
          </cell>
          <cell r="AQ127" t="str">
            <v>VDI 구축 및 운영</v>
          </cell>
          <cell r="AR127" t="str">
            <v>SK플래닛, SOC 담당</v>
          </cell>
          <cell r="AS127" t="str">
            <v>고객사 공통 / 2026년_VDI_01_1분기 (4500303359-01)</v>
          </cell>
          <cell r="AT127" t="str">
            <v>통상</v>
          </cell>
          <cell r="AU127" t="str">
            <v>정직원</v>
          </cell>
          <cell r="AV127" t="str">
            <v>씨앤토트플러스㈜</v>
          </cell>
          <cell r="AW127">
            <v>4414000</v>
          </cell>
          <cell r="AX127">
            <v>4414000</v>
          </cell>
          <cell r="AY127">
            <v>12</v>
          </cell>
          <cell r="AZ127">
            <v>52968000</v>
          </cell>
          <cell r="BC127">
            <v>46023</v>
          </cell>
          <cell r="BD127">
            <v>34164000</v>
          </cell>
          <cell r="BE127">
            <v>35964000</v>
          </cell>
          <cell r="BF127">
            <v>37964400</v>
          </cell>
          <cell r="BG127">
            <v>3163700</v>
          </cell>
          <cell r="BH127">
            <v>2656200</v>
          </cell>
          <cell r="BI127">
            <v>13666.03</v>
          </cell>
          <cell r="BJ127">
            <v>209</v>
          </cell>
          <cell r="BK127">
            <v>15</v>
          </cell>
          <cell r="BL127">
            <v>0</v>
          </cell>
          <cell r="BM127">
            <v>307500</v>
          </cell>
          <cell r="BN127">
            <v>0</v>
          </cell>
          <cell r="BO127">
            <v>200000</v>
          </cell>
          <cell r="BP127">
            <v>0</v>
          </cell>
          <cell r="BQ127" t="str">
            <v>적합</v>
          </cell>
          <cell r="BR127"/>
          <cell r="BS127">
            <v>546641.20000000007</v>
          </cell>
          <cell r="BT127">
            <v>3209253.4333333331</v>
          </cell>
          <cell r="BU127">
            <v>1689309</v>
          </cell>
          <cell r="BV127">
            <v>1448552.2377599999</v>
          </cell>
          <cell r="BW127">
            <v>551248.19999999995</v>
          </cell>
          <cell r="BX127">
            <v>234725.04</v>
          </cell>
          <cell r="BY127">
            <v>3954625</v>
          </cell>
          <cell r="BZ127">
            <v>41720294.633333333</v>
          </cell>
          <cell r="CA127">
            <v>3923834.4777600002</v>
          </cell>
          <cell r="CB127">
            <v>47455500</v>
          </cell>
          <cell r="CC127">
            <v>5512500</v>
          </cell>
          <cell r="CD127">
            <v>10.407227004984142</v>
          </cell>
        </row>
        <row r="128">
          <cell r="F128" t="str">
            <v>김영준</v>
          </cell>
          <cell r="G128" t="str">
            <v>과장</v>
          </cell>
          <cell r="H128" t="str">
            <v>초급상</v>
          </cell>
          <cell r="I128" t="str">
            <v>초급기술자</v>
          </cell>
          <cell r="J128" t="str">
            <v>하도급(M/M)</v>
          </cell>
          <cell r="K128" t="str">
            <v>네트워크엔지니어</v>
          </cell>
          <cell r="L128" t="str">
            <v>L3 운영, L2구축 겸임</v>
          </cell>
          <cell r="M128"/>
          <cell r="N128" t="str">
            <v>010-8893-7943</v>
          </cell>
          <cell r="O128" t="str">
            <v>jwe6208@cnthoth.com</v>
          </cell>
          <cell r="P128" t="str">
            <v>880726-1</v>
          </cell>
          <cell r="Q128">
            <v>43160</v>
          </cell>
          <cell r="R128">
            <v>44697</v>
          </cell>
          <cell r="S128"/>
          <cell r="T128" t="str">
            <v>세명대학교</v>
          </cell>
          <cell r="U128" t="str">
            <v>컴퓨터학과</v>
          </cell>
          <cell r="V128" t="str">
            <v>대졸</v>
          </cell>
          <cell r="Z128">
            <v>2993</v>
          </cell>
          <cell r="AA128">
            <v>1456</v>
          </cell>
          <cell r="AB128"/>
          <cell r="AC128"/>
          <cell r="AD128" t="str">
            <v>SKB 7층_동작</v>
          </cell>
          <cell r="AE128" t="str">
            <v>서울특별시</v>
          </cell>
          <cell r="AF128" t="str">
            <v>4. SKB/SK하이닉스 Infra 운영</v>
          </cell>
          <cell r="AG128" t="str">
            <v>4. SKB/SK하이닉스 Infra 운영</v>
          </cell>
          <cell r="AH128" t="str">
            <v>SK AX</v>
          </cell>
          <cell r="AI128" t="str">
            <v>SKB홈앤서비스(동작)</v>
          </cell>
          <cell r="AJ128" t="str">
            <v>박규성</v>
          </cell>
          <cell r="AK128" t="str">
            <v>07063</v>
          </cell>
          <cell r="AL128" t="str">
            <v>서울시 동작구 여의대방로 74 (신대방동) SK브로드밴드 7층</v>
          </cell>
          <cell r="AM128">
            <v>14536</v>
          </cell>
          <cell r="AN128" t="str">
            <v>경기도 부천시 원미구 도약로 146, 206동1806호 (중동, 덕유마을주공4단지아파트)</v>
          </cell>
          <cell r="AO128" t="str">
            <v>ICT Cloud팀</v>
          </cell>
          <cell r="AP128" t="str">
            <v>SKB N/W 운영</v>
          </cell>
          <cell r="AQ128" t="str">
            <v>L3, L4 IP 할당 담당</v>
          </cell>
          <cell r="AR128" t="str">
            <v>/ 방화벽, VPN 운영</v>
          </cell>
          <cell r="AS128" t="str">
            <v>홈앤서비스 주식회사 / 홈앤서비스 26년 시스템 유지보수_Infra_1분기(4500303398-01)</v>
          </cell>
          <cell r="AT128" t="str">
            <v>통상</v>
          </cell>
          <cell r="AU128" t="str">
            <v>정직원</v>
          </cell>
          <cell r="AV128" t="str">
            <v>씨앤토트플러스㈜</v>
          </cell>
          <cell r="AW128">
            <v>4809000</v>
          </cell>
          <cell r="AX128">
            <v>5500000</v>
          </cell>
          <cell r="AY128">
            <v>12</v>
          </cell>
          <cell r="AZ128">
            <v>66000000</v>
          </cell>
          <cell r="BB128"/>
          <cell r="BC128">
            <v>46023</v>
          </cell>
          <cell r="BD128">
            <v>36360000</v>
          </cell>
          <cell r="BE128">
            <v>38520000</v>
          </cell>
          <cell r="BF128">
            <v>43520400</v>
          </cell>
          <cell r="BG128">
            <v>3626700</v>
          </cell>
          <cell r="BH128">
            <v>3074200</v>
          </cell>
          <cell r="BI128">
            <v>15666.03</v>
          </cell>
          <cell r="BJ128">
            <v>209</v>
          </cell>
          <cell r="BK128">
            <v>15</v>
          </cell>
          <cell r="BL128">
            <v>0</v>
          </cell>
          <cell r="BM128">
            <v>352500</v>
          </cell>
          <cell r="BN128">
            <v>0</v>
          </cell>
          <cell r="BO128">
            <v>200000</v>
          </cell>
          <cell r="BP128">
            <v>0</v>
          </cell>
          <cell r="BQ128" t="str">
            <v>적합</v>
          </cell>
          <cell r="BR128"/>
          <cell r="BS128">
            <v>626641.20000000007</v>
          </cell>
          <cell r="BT128">
            <v>3678920.1</v>
          </cell>
          <cell r="BU128">
            <v>1953219</v>
          </cell>
          <cell r="BV128">
            <v>1674850.3401599999</v>
          </cell>
          <cell r="BW128">
            <v>637366.19999999995</v>
          </cell>
          <cell r="BX128">
            <v>271394.64</v>
          </cell>
          <cell r="BY128">
            <v>4533375</v>
          </cell>
          <cell r="BZ128">
            <v>47825961.300000004</v>
          </cell>
          <cell r="CA128">
            <v>4536830.18016</v>
          </cell>
          <cell r="CB128">
            <v>54400500</v>
          </cell>
          <cell r="CC128">
            <v>11599500</v>
          </cell>
          <cell r="CD128">
            <v>17.574999999999999</v>
          </cell>
        </row>
        <row r="129">
          <cell r="F129" t="str">
            <v>박현서</v>
          </cell>
          <cell r="G129" t="str">
            <v>대리</v>
          </cell>
          <cell r="H129" t="str">
            <v>초급하</v>
          </cell>
          <cell r="I129" t="str">
            <v>초급기술자</v>
          </cell>
          <cell r="J129" t="str">
            <v>하도급(M/M)</v>
          </cell>
          <cell r="K129" t="str">
            <v>Azure Iaas 엔지니어</v>
          </cell>
          <cell r="L129" t="str">
            <v>2022_신규</v>
          </cell>
          <cell r="M129"/>
          <cell r="N129" t="str">
            <v>010-9479-1841</v>
          </cell>
          <cell r="O129" t="str">
            <v>canopus@cnthoth.com</v>
          </cell>
          <cell r="P129" t="str">
            <v>881002-1</v>
          </cell>
          <cell r="Q129">
            <v>44728</v>
          </cell>
          <cell r="R129">
            <v>44728</v>
          </cell>
          <cell r="S129"/>
          <cell r="T129" t="str">
            <v>충남대학교</v>
          </cell>
          <cell r="U129" t="str">
            <v>전자과</v>
          </cell>
          <cell r="V129" t="str">
            <v>대학교중퇴</v>
          </cell>
          <cell r="W129"/>
          <cell r="X129"/>
          <cell r="Y129"/>
          <cell r="Z129">
            <v>1425</v>
          </cell>
          <cell r="AA129">
            <v>1425</v>
          </cell>
          <cell r="AB129">
            <v>46203</v>
          </cell>
          <cell r="AC129" t="str">
            <v>계약 종료 예정(6개월 연장)</v>
          </cell>
          <cell r="AD129" t="str">
            <v>배재빌딩 6F(AIA생명)_서소문로</v>
          </cell>
          <cell r="AE129" t="str">
            <v>서울특별시</v>
          </cell>
          <cell r="AF129" t="str">
            <v>3. 콜센터 &amp; 금융 &amp; 기타</v>
          </cell>
          <cell r="AG129" t="str">
            <v>3. 콜센터 &amp; 금융 &amp; 기타</v>
          </cell>
          <cell r="AH129" t="str">
            <v>SK AX</v>
          </cell>
          <cell r="AI129" t="str">
            <v>AIA생명</v>
          </cell>
          <cell r="AJ129" t="str">
            <v>본사 관리</v>
          </cell>
          <cell r="AK129" t="str">
            <v>04516</v>
          </cell>
          <cell r="AL129" t="str">
            <v>서울시 중구 서소문로 103 배재빌딩 613호</v>
          </cell>
          <cell r="AM129" t="str">
            <v>03691</v>
          </cell>
          <cell r="AN129" t="str">
            <v>서울특별시 서대문구 거북골로18길 6-3 (북가좌동)</v>
          </cell>
          <cell r="AO129" t="str">
            <v>Cloud서비스 2팀</v>
          </cell>
          <cell r="AP129" t="str">
            <v>AIA생명 클라우드인프라운영</v>
          </cell>
          <cell r="AQ129" t="str">
            <v>MS Azure IaaS 운영</v>
          </cell>
          <cell r="AS129" t="str">
            <v>에이아이에이생명보험 주식회사 / AIA생명 26년 CMS(Cloud Managed Service) 운영사업(4500304280-01)</v>
          </cell>
          <cell r="AT129" t="str">
            <v>통상</v>
          </cell>
          <cell r="AU129" t="str">
            <v>정직원</v>
          </cell>
          <cell r="AV129" t="str">
            <v>씨앤토트플러스㈜</v>
          </cell>
          <cell r="AW129">
            <v>6100000</v>
          </cell>
          <cell r="AX129">
            <v>6000000</v>
          </cell>
          <cell r="AY129">
            <v>12</v>
          </cell>
          <cell r="AZ129">
            <v>72000000</v>
          </cell>
          <cell r="BA129"/>
          <cell r="BB129"/>
          <cell r="BC129">
            <v>46023</v>
          </cell>
          <cell r="BD129">
            <v>40200000</v>
          </cell>
          <cell r="BE129">
            <v>40200000</v>
          </cell>
          <cell r="BF129">
            <v>43202400</v>
          </cell>
          <cell r="BG129">
            <v>3600200</v>
          </cell>
          <cell r="BH129">
            <v>3050200</v>
          </cell>
          <cell r="BI129">
            <v>15551.2</v>
          </cell>
          <cell r="BJ129">
            <v>209</v>
          </cell>
          <cell r="BK129">
            <v>15</v>
          </cell>
          <cell r="BL129">
            <v>0</v>
          </cell>
          <cell r="BM129">
            <v>350000</v>
          </cell>
          <cell r="BN129">
            <v>0</v>
          </cell>
          <cell r="BO129">
            <v>200000</v>
          </cell>
          <cell r="BP129">
            <v>0</v>
          </cell>
          <cell r="BQ129" t="str">
            <v>적합</v>
          </cell>
          <cell r="BR129"/>
          <cell r="BS129">
            <v>622048</v>
          </cell>
          <cell r="BT129">
            <v>3652037.3333333335</v>
          </cell>
          <cell r="BU129">
            <v>1938114</v>
          </cell>
          <cell r="BV129">
            <v>1661898.0729599998</v>
          </cell>
          <cell r="BW129">
            <v>632437.19999999995</v>
          </cell>
          <cell r="BX129">
            <v>269295.84000000003</v>
          </cell>
          <cell r="BY129">
            <v>4500250</v>
          </cell>
          <cell r="BZ129">
            <v>47476485.333333336</v>
          </cell>
          <cell r="CA129">
            <v>4501745.1129599996</v>
          </cell>
          <cell r="CB129">
            <v>54003000</v>
          </cell>
          <cell r="CC129">
            <v>17997000</v>
          </cell>
          <cell r="CD129">
            <v>24.995833333333334</v>
          </cell>
        </row>
        <row r="130">
          <cell r="F130" t="str">
            <v>전재철</v>
          </cell>
          <cell r="G130" t="str">
            <v>사원</v>
          </cell>
          <cell r="H130" t="str">
            <v>초급하</v>
          </cell>
          <cell r="I130" t="str">
            <v>초급기술자</v>
          </cell>
          <cell r="J130" t="str">
            <v>하도급(M/M)</v>
          </cell>
          <cell r="K130" t="str">
            <v>안전관리원</v>
          </cell>
          <cell r="L130" t="str">
            <v>조재용 후임</v>
          </cell>
          <cell r="M130"/>
          <cell r="N130" t="str">
            <v>010-2887-9175</v>
          </cell>
          <cell r="O130" t="str">
            <v>jaecheol@cnthoth.com</v>
          </cell>
          <cell r="P130" t="str">
            <v>990325-1</v>
          </cell>
          <cell r="Q130">
            <v>44790</v>
          </cell>
          <cell r="R130">
            <v>44790</v>
          </cell>
          <cell r="S130"/>
          <cell r="T130" t="str">
            <v>청강문화산업대학교</v>
          </cell>
          <cell r="U130" t="str">
            <v>스마트미디어학</v>
          </cell>
          <cell r="V130" t="str">
            <v>전문대졸</v>
          </cell>
          <cell r="W130" t="str">
            <v>전자기기기능사</v>
          </cell>
          <cell r="Z130">
            <v>1363</v>
          </cell>
          <cell r="AA130">
            <v>1363</v>
          </cell>
          <cell r="AB130"/>
          <cell r="AC130"/>
          <cell r="AD130" t="str">
            <v>이천HN_OP_주간</v>
          </cell>
          <cell r="AE130" t="str">
            <v>경기도</v>
          </cell>
          <cell r="AF130" t="str">
            <v>4. SKB/SK하이닉스 Infra 운영</v>
          </cell>
          <cell r="AG130" t="str">
            <v>4. SKB/SK하이닉스 Infra 운영</v>
          </cell>
          <cell r="AH130" t="str">
            <v>SK AX</v>
          </cell>
          <cell r="AI130" t="str">
            <v>SK하이닉스(이천)</v>
          </cell>
          <cell r="AJ130" t="str">
            <v>임봉영</v>
          </cell>
          <cell r="AK130" t="str">
            <v>17336</v>
          </cell>
          <cell r="AL130" t="str">
            <v xml:space="preserve">경기도 이천시 부발읍 경충대로 2091, SK하이닉스 기술지원센터 2층 SKHDC2 </v>
          </cell>
          <cell r="AM130">
            <v>17332</v>
          </cell>
          <cell r="AN130" t="str">
            <v>경기도 이천시 부발읍 신아로92번길 74-25, 703동 1603호 (부발읍, 아미리7차현대아파트)</v>
          </cell>
          <cell r="AO130" t="str">
            <v>Hynix Cloud팀</v>
          </cell>
          <cell r="AP130" t="str">
            <v>이천 DC 운영</v>
          </cell>
          <cell r="AQ130" t="str">
            <v>일반 안전관리</v>
          </cell>
          <cell r="AR130" t="str">
            <v>/ 장비 반입반출 안전관리</v>
          </cell>
          <cell r="AS130" t="str">
            <v>에스케이하이닉스(주) / SKHy '26년 ITO_데이타관제_1분기(4500303464-01)</v>
          </cell>
          <cell r="AT130" t="str">
            <v>통상</v>
          </cell>
          <cell r="AU130" t="str">
            <v>정직원</v>
          </cell>
          <cell r="AV130" t="str">
            <v>씨앤토트플러스㈜</v>
          </cell>
          <cell r="AW130">
            <v>5514000</v>
          </cell>
          <cell r="AX130">
            <v>5514000</v>
          </cell>
          <cell r="AY130">
            <v>12</v>
          </cell>
          <cell r="AZ130">
            <v>66168000</v>
          </cell>
          <cell r="BA130"/>
          <cell r="BB130"/>
          <cell r="BC130">
            <v>45839</v>
          </cell>
          <cell r="BD130">
            <v>30504000</v>
          </cell>
          <cell r="BE130">
            <v>33384000</v>
          </cell>
          <cell r="BF130">
            <v>33384000</v>
          </cell>
          <cell r="BG130">
            <v>2782000</v>
          </cell>
          <cell r="BH130">
            <v>2311600</v>
          </cell>
          <cell r="BI130">
            <v>12017.22</v>
          </cell>
          <cell r="BJ130">
            <v>209</v>
          </cell>
          <cell r="BK130">
            <v>15</v>
          </cell>
          <cell r="BL130">
            <v>0</v>
          </cell>
          <cell r="BM130">
            <v>270400</v>
          </cell>
          <cell r="BN130">
            <v>0</v>
          </cell>
          <cell r="BO130">
            <v>200000</v>
          </cell>
          <cell r="BP130">
            <v>0</v>
          </cell>
          <cell r="BQ130" t="str">
            <v>적합</v>
          </cell>
          <cell r="BR130"/>
          <cell r="BS130">
            <v>480688.8</v>
          </cell>
          <cell r="BT130">
            <v>2822057.4</v>
          </cell>
          <cell r="BU130">
            <v>1471740</v>
          </cell>
          <cell r="BV130">
            <v>1261990.7135999999</v>
          </cell>
          <cell r="BW130">
            <v>480252</v>
          </cell>
          <cell r="BX130">
            <v>204494.4</v>
          </cell>
          <cell r="BY130">
            <v>3477500</v>
          </cell>
          <cell r="BZ130">
            <v>36686746.199999996</v>
          </cell>
          <cell r="CA130">
            <v>3418477.1135999998</v>
          </cell>
          <cell r="CB130">
            <v>41730000</v>
          </cell>
          <cell r="CC130">
            <v>24438000</v>
          </cell>
          <cell r="CD130">
            <v>36.933260790714542</v>
          </cell>
        </row>
        <row r="131">
          <cell r="F131" t="str">
            <v>김학성</v>
          </cell>
          <cell r="G131" t="str">
            <v>사원</v>
          </cell>
          <cell r="H131" t="str">
            <v>중능</v>
          </cell>
          <cell r="I131" t="str">
            <v>중급기능사</v>
          </cell>
          <cell r="J131" t="str">
            <v>하도급(FTE)</v>
          </cell>
          <cell r="K131" t="str">
            <v>NOC 엔지니어</v>
          </cell>
          <cell r="L131" t="str">
            <v>2022_신규</v>
          </cell>
          <cell r="M131"/>
          <cell r="N131" t="str">
            <v>010-2084-7354</v>
          </cell>
          <cell r="O131" t="str">
            <v>haksung99@cnthoth.com</v>
          </cell>
          <cell r="P131" t="str">
            <v>931126-1</v>
          </cell>
          <cell r="Q131">
            <v>44823</v>
          </cell>
          <cell r="R131">
            <v>44823</v>
          </cell>
          <cell r="S131"/>
          <cell r="T131" t="str">
            <v>명지대학교</v>
          </cell>
          <cell r="U131" t="str">
            <v>정보통신공학</v>
          </cell>
          <cell r="V131" t="str">
            <v>대졸</v>
          </cell>
          <cell r="W131" t="str">
            <v>정보처리기사</v>
          </cell>
          <cell r="X131"/>
          <cell r="Y131"/>
          <cell r="Z131">
            <v>1330</v>
          </cell>
          <cell r="AA131">
            <v>1330</v>
          </cell>
          <cell r="AB131"/>
          <cell r="AC131"/>
          <cell r="AD131" t="str">
            <v>판교NOC</v>
          </cell>
          <cell r="AE131" t="str">
            <v>경기도</v>
          </cell>
          <cell r="AF131" t="str">
            <v>2. Network Service</v>
          </cell>
          <cell r="AG131" t="str">
            <v>2. Network Service</v>
          </cell>
          <cell r="AH131" t="str">
            <v>SK AX</v>
          </cell>
          <cell r="AI131" t="str">
            <v>SK그룹사(공통)</v>
          </cell>
          <cell r="AJ131" t="str">
            <v>최재유</v>
          </cell>
          <cell r="AK131">
            <v>13486</v>
          </cell>
          <cell r="AL131" t="str">
            <v>경기도 성남시 분당구 판교로 255번길 46 SK C&amp;C 판교캠퍼스 A동 4층</v>
          </cell>
          <cell r="AM131" t="str">
            <v>15596</v>
          </cell>
          <cell r="AN131" t="str">
            <v>경기도 안산시 상록구 해양4로 31, 112동 2603호 (사동, 그랑시티자이)</v>
          </cell>
          <cell r="AO131" t="str">
            <v>Network Service팀</v>
          </cell>
          <cell r="AP131" t="str">
            <v>SK공통 NOC 운영</v>
          </cell>
          <cell r="AQ131" t="str">
            <v>N/W 관제, 장애 조치</v>
          </cell>
          <cell r="AS131" t="str">
            <v>고객사 공통 / 2026년_인프라운영_HC14_1분기(4500303329-01)</v>
          </cell>
          <cell r="AT131" t="str">
            <v>스케줄</v>
          </cell>
          <cell r="AU131" t="str">
            <v>정직원</v>
          </cell>
          <cell r="AV131" t="str">
            <v>씨앤토트플러스㈜</v>
          </cell>
          <cell r="AW131">
            <v>3993000</v>
          </cell>
          <cell r="AX131">
            <v>3993000</v>
          </cell>
          <cell r="AY131">
            <v>12</v>
          </cell>
          <cell r="AZ131">
            <v>47916000</v>
          </cell>
          <cell r="BA131" t="str">
            <v xml:space="preserve"> </v>
          </cell>
          <cell r="BB131"/>
          <cell r="BC131">
            <v>46023</v>
          </cell>
          <cell r="BD131">
            <v>29040720</v>
          </cell>
          <cell r="BE131">
            <v>30121200</v>
          </cell>
          <cell r="BF131">
            <v>31622400</v>
          </cell>
          <cell r="BG131">
            <v>2635200</v>
          </cell>
          <cell r="BH131">
            <v>2073500</v>
          </cell>
          <cell r="BI131">
            <v>11886.96</v>
          </cell>
          <cell r="BJ131">
            <v>191.26</v>
          </cell>
          <cell r="BK131">
            <v>27.88</v>
          </cell>
          <cell r="BL131">
            <v>32.950000000000003</v>
          </cell>
          <cell r="BM131">
            <v>165800</v>
          </cell>
          <cell r="BN131">
            <v>195900</v>
          </cell>
          <cell r="BO131">
            <v>200000</v>
          </cell>
          <cell r="BP131">
            <v>683853</v>
          </cell>
          <cell r="BQ131" t="str">
            <v>적합</v>
          </cell>
          <cell r="BR131">
            <v>250000</v>
          </cell>
          <cell r="BS131">
            <v>1188696</v>
          </cell>
          <cell r="BT131">
            <v>2734258</v>
          </cell>
          <cell r="BU131">
            <v>1388064</v>
          </cell>
          <cell r="BV131">
            <v>1190240.0409599999</v>
          </cell>
          <cell r="BW131">
            <v>452947.20000000001</v>
          </cell>
          <cell r="BX131">
            <v>192867.84</v>
          </cell>
          <cell r="BY131">
            <v>3294000</v>
          </cell>
          <cell r="BZ131">
            <v>35545354</v>
          </cell>
          <cell r="CA131">
            <v>3224119.0809599999</v>
          </cell>
          <cell r="CB131">
            <v>39528000</v>
          </cell>
          <cell r="CC131">
            <v>7560537.8700000001</v>
          </cell>
          <cell r="CD131">
            <v>15.778733345855247</v>
          </cell>
        </row>
        <row r="132">
          <cell r="F132" t="str">
            <v>김진우</v>
          </cell>
          <cell r="G132" t="str">
            <v>차장</v>
          </cell>
          <cell r="H132" t="str">
            <v>중급하</v>
          </cell>
          <cell r="I132" t="str">
            <v>중급기술자</v>
          </cell>
          <cell r="J132" t="str">
            <v>하도급(FTE)</v>
          </cell>
          <cell r="K132" t="str">
            <v>시스템엔지니어</v>
          </cell>
          <cell r="L132" t="str">
            <v>홍성표 후임</v>
          </cell>
          <cell r="M132"/>
          <cell r="N132" t="str">
            <v>010-5322-8181</v>
          </cell>
          <cell r="O132" t="str">
            <v>ssonagi@cnthoth.com</v>
          </cell>
          <cell r="P132" t="str">
            <v>840918-1</v>
          </cell>
          <cell r="Q132">
            <v>41000</v>
          </cell>
          <cell r="R132">
            <v>44879</v>
          </cell>
          <cell r="S132"/>
          <cell r="T132" t="str">
            <v>경동대학교</v>
          </cell>
          <cell r="U132" t="str">
            <v>토목공학과</v>
          </cell>
          <cell r="V132" t="str">
            <v>대졸</v>
          </cell>
          <cell r="W132"/>
          <cell r="X132"/>
          <cell r="Y132"/>
          <cell r="Z132">
            <v>5153</v>
          </cell>
          <cell r="AA132">
            <v>1274</v>
          </cell>
          <cell r="AB132"/>
          <cell r="AC132"/>
          <cell r="AD132" t="str">
            <v>분당지웰푸르지오_수내</v>
          </cell>
          <cell r="AE132" t="str">
            <v>경기도</v>
          </cell>
          <cell r="AF132" t="str">
            <v>1. Infra 운영</v>
          </cell>
          <cell r="AG132" t="str">
            <v>1. Infra 운영</v>
          </cell>
          <cell r="AH132" t="str">
            <v>SK AX</v>
          </cell>
          <cell r="AI132" t="str">
            <v>SK그룹사(공통)</v>
          </cell>
          <cell r="AJ132" t="str">
            <v>김홍범</v>
          </cell>
          <cell r="AK132">
            <v>13594</v>
          </cell>
          <cell r="AL132" t="str">
            <v>경기도 성남시 분당구 수내로 39 분당지웰푸르지오아파트 오피스 6층</v>
          </cell>
          <cell r="AM132" t="str">
            <v>13275</v>
          </cell>
          <cell r="AN132" t="str">
            <v>경기도 성남시 수정구 시민로258번길 5 (태평동)</v>
          </cell>
          <cell r="AO132" t="str">
            <v>CloudControlCenter팀</v>
          </cell>
          <cell r="AP132" t="str">
            <v>긴급 장애대응</v>
          </cell>
          <cell r="AQ132" t="str">
            <v>인프라 장애조치</v>
          </cell>
          <cell r="AS132" t="str">
            <v>고객사 공통 / 2026년_인프라운영_HC10_21_1분기(4500303124-01)</v>
          </cell>
          <cell r="AT132" t="str">
            <v>통상</v>
          </cell>
          <cell r="AU132" t="str">
            <v>정직원</v>
          </cell>
          <cell r="AV132" t="str">
            <v>씨앤토트플러스㈜</v>
          </cell>
          <cell r="AW132">
            <v>5412000</v>
          </cell>
          <cell r="AX132">
            <v>5412000</v>
          </cell>
          <cell r="AY132">
            <v>12</v>
          </cell>
          <cell r="AZ132">
            <v>64944000</v>
          </cell>
          <cell r="BA132"/>
          <cell r="BB132"/>
          <cell r="BC132">
            <v>45839</v>
          </cell>
          <cell r="BD132">
            <v>39804000</v>
          </cell>
          <cell r="BE132">
            <v>41040000</v>
          </cell>
          <cell r="BF132">
            <v>41040000</v>
          </cell>
          <cell r="BG132">
            <v>3420000</v>
          </cell>
          <cell r="BH132">
            <v>2887600</v>
          </cell>
          <cell r="BI132">
            <v>14773.21</v>
          </cell>
          <cell r="BJ132">
            <v>209</v>
          </cell>
          <cell r="BK132">
            <v>15</v>
          </cell>
          <cell r="BL132">
            <v>0</v>
          </cell>
          <cell r="BM132">
            <v>332400</v>
          </cell>
          <cell r="BN132">
            <v>0</v>
          </cell>
          <cell r="BO132">
            <v>200000</v>
          </cell>
          <cell r="BP132">
            <v>0</v>
          </cell>
          <cell r="BQ132" t="str">
            <v>적합</v>
          </cell>
          <cell r="BR132"/>
          <cell r="BS132">
            <v>590928.39999999991</v>
          </cell>
          <cell r="BT132">
            <v>3469244.0333333332</v>
          </cell>
          <cell r="BU132">
            <v>1835400</v>
          </cell>
          <cell r="BV132">
            <v>1573822.656</v>
          </cell>
          <cell r="BW132">
            <v>598920</v>
          </cell>
          <cell r="BX132">
            <v>255024</v>
          </cell>
          <cell r="BY132">
            <v>4275000</v>
          </cell>
          <cell r="BZ132">
            <v>45100172.43333333</v>
          </cell>
          <cell r="CA132">
            <v>4263166.6559999995</v>
          </cell>
          <cell r="CB132">
            <v>51300000</v>
          </cell>
          <cell r="CC132">
            <v>13644000</v>
          </cell>
          <cell r="CD132">
            <v>21.008869179600886</v>
          </cell>
        </row>
        <row r="133">
          <cell r="F133" t="str">
            <v>변호윤</v>
          </cell>
          <cell r="G133" t="str">
            <v>사원</v>
          </cell>
          <cell r="H133" t="str">
            <v>초급하</v>
          </cell>
          <cell r="I133" t="str">
            <v>초급기술자</v>
          </cell>
          <cell r="J133" t="str">
            <v>하도급(M/M)</v>
          </cell>
          <cell r="K133" t="str">
            <v>서비스 관제 엔지니어</v>
          </cell>
          <cell r="L133" t="str">
            <v>이수용 후임</v>
          </cell>
          <cell r="M133"/>
          <cell r="N133" t="str">
            <v>010-4194-7267</v>
          </cell>
          <cell r="O133" t="str">
            <v>hybyun@cnthoth.com</v>
          </cell>
          <cell r="P133" t="str">
            <v>990222-1</v>
          </cell>
          <cell r="Q133">
            <v>44879</v>
          </cell>
          <cell r="R133">
            <v>44879</v>
          </cell>
          <cell r="S133"/>
          <cell r="T133" t="str">
            <v>강동대학교</v>
          </cell>
          <cell r="U133" t="str">
            <v>사회복지학과</v>
          </cell>
          <cell r="V133" t="str">
            <v>전문대졸</v>
          </cell>
          <cell r="Z133">
            <v>1274</v>
          </cell>
          <cell r="AA133">
            <v>1274</v>
          </cell>
          <cell r="AB133"/>
          <cell r="AC133"/>
          <cell r="AD133" t="str">
            <v>이천HN_OP</v>
          </cell>
          <cell r="AE133" t="str">
            <v>경기도</v>
          </cell>
          <cell r="AF133" t="str">
            <v>4. SKB/SK하이닉스 Infra 운영</v>
          </cell>
          <cell r="AG133" t="str">
            <v>4. SKB/SK하이닉스 Infra 운영</v>
          </cell>
          <cell r="AH133" t="str">
            <v>SK AX</v>
          </cell>
          <cell r="AI133" t="str">
            <v>SK하이닉스(이천)</v>
          </cell>
          <cell r="AJ133" t="str">
            <v>임봉영</v>
          </cell>
          <cell r="AK133" t="str">
            <v>17336</v>
          </cell>
          <cell r="AL133" t="str">
            <v xml:space="preserve">경기도 이천시 부발읍 경충대로 2091, SK하이닉스 기술지원센터 2층 SKHDC2 </v>
          </cell>
          <cell r="AM133" t="str">
            <v>12797</v>
          </cell>
          <cell r="AN133" t="str">
            <v>경기도 광주시 마루들길 276, 105동 907호 (양벌동, 대주파크빌1차A블럭)</v>
          </cell>
          <cell r="AO133" t="str">
            <v>Hynix Cloud팀</v>
          </cell>
          <cell r="AP133" t="str">
            <v>이천 DC 운영</v>
          </cell>
          <cell r="AQ133" t="str">
            <v>H/W 육안점검, 시스템 모니터링 및 장애 전파</v>
          </cell>
          <cell r="AS133" t="str">
            <v>에스케이하이닉스(주) / SKHy '26년 ITO_데이타관제_1분기(4500303464-01)</v>
          </cell>
          <cell r="AT133" t="str">
            <v>스케줄</v>
          </cell>
          <cell r="AU133" t="str">
            <v>정직원</v>
          </cell>
          <cell r="AV133" t="str">
            <v>씨앤토트플러스㈜</v>
          </cell>
          <cell r="AW133">
            <v>4138000</v>
          </cell>
          <cell r="AX133">
            <v>4138000</v>
          </cell>
          <cell r="AY133">
            <v>12</v>
          </cell>
          <cell r="AZ133">
            <v>49656000</v>
          </cell>
          <cell r="BA133"/>
          <cell r="BB133"/>
          <cell r="BC133">
            <v>45839</v>
          </cell>
          <cell r="BD133">
            <v>29041080</v>
          </cell>
          <cell r="BE133">
            <v>29821200</v>
          </cell>
          <cell r="BF133">
            <v>29821200</v>
          </cell>
          <cell r="BG133">
            <v>2485100</v>
          </cell>
          <cell r="BH133">
            <v>1824800</v>
          </cell>
          <cell r="BI133">
            <v>11004.35</v>
          </cell>
          <cell r="BJ133">
            <v>184</v>
          </cell>
          <cell r="BK133">
            <v>38.020000000000003</v>
          </cell>
          <cell r="BL133">
            <v>45.63</v>
          </cell>
          <cell r="BM133">
            <v>209200</v>
          </cell>
          <cell r="BN133">
            <v>251100</v>
          </cell>
          <cell r="BO133">
            <v>200000</v>
          </cell>
          <cell r="BP133">
            <v>1993163</v>
          </cell>
          <cell r="BQ133" t="str">
            <v>적합</v>
          </cell>
          <cell r="BR133"/>
          <cell r="BS133">
            <v>1100435</v>
          </cell>
          <cell r="BT133">
            <v>2576802.9166666665</v>
          </cell>
          <cell r="BU133">
            <v>1302507</v>
          </cell>
          <cell r="BV133">
            <v>1116876.4444799998</v>
          </cell>
          <cell r="BW133">
            <v>425028.6</v>
          </cell>
          <cell r="BX133">
            <v>180979.92</v>
          </cell>
          <cell r="BY133">
            <v>3106375</v>
          </cell>
          <cell r="BZ133">
            <v>33498437.916666668</v>
          </cell>
          <cell r="CA133">
            <v>3025391.9644800001</v>
          </cell>
          <cell r="CB133">
            <v>37276500</v>
          </cell>
          <cell r="CC133">
            <v>9967772.7699999996</v>
          </cell>
          <cell r="CD133">
            <v>20.073652267601094</v>
          </cell>
        </row>
        <row r="134">
          <cell r="F134" t="str">
            <v>한진범</v>
          </cell>
          <cell r="G134" t="str">
            <v>대리</v>
          </cell>
          <cell r="H134" t="str">
            <v>초급상</v>
          </cell>
          <cell r="I134" t="str">
            <v>초급기술자</v>
          </cell>
          <cell r="J134" t="str">
            <v>하도급(FTE)</v>
          </cell>
          <cell r="K134" t="str">
            <v>VDI 엔지니어</v>
          </cell>
          <cell r="L134" t="str">
            <v>박열 후임</v>
          </cell>
          <cell r="M134"/>
          <cell r="N134" t="str">
            <v>010-8299-5499</v>
          </cell>
          <cell r="O134" t="str">
            <v>jb0602@cnthoth.com</v>
          </cell>
          <cell r="P134" t="str">
            <v>951007-1</v>
          </cell>
          <cell r="Q134">
            <v>43497</v>
          </cell>
          <cell r="R134">
            <v>44935</v>
          </cell>
          <cell r="S134"/>
          <cell r="T134" t="str">
            <v>고려사이버대학교</v>
          </cell>
          <cell r="U134" t="str">
            <v>전기전자공학</v>
          </cell>
          <cell r="V134" t="str">
            <v>대졸</v>
          </cell>
          <cell r="W134"/>
          <cell r="X134"/>
          <cell r="Y134"/>
          <cell r="Z134">
            <v>2656</v>
          </cell>
          <cell r="AA134">
            <v>1218</v>
          </cell>
          <cell r="AB134"/>
          <cell r="AC134"/>
          <cell r="AD134" t="str">
            <v>SK C타워_충무로</v>
          </cell>
          <cell r="AE134" t="str">
            <v>서울특별시</v>
          </cell>
          <cell r="AF134" t="str">
            <v>1. Infra 운영</v>
          </cell>
          <cell r="AG134" t="str">
            <v>1. Infra 운영</v>
          </cell>
          <cell r="AH134" t="str">
            <v>SK AX</v>
          </cell>
          <cell r="AI134" t="str">
            <v>SK그룹사(공통)</v>
          </cell>
          <cell r="AJ134" t="str">
            <v>최종범</v>
          </cell>
          <cell r="AK134" t="str">
            <v>04554</v>
          </cell>
          <cell r="AL134" t="str">
            <v>서울 중구 충무로 3가 43 (SK C 타워)</v>
          </cell>
          <cell r="AM134" t="str">
            <v>11469</v>
          </cell>
          <cell r="AN134" t="str">
            <v>경기도 양주시 옥정서로5길 60, 108동 1203호 (옥정동, 양주옥정 린파밀리에)</v>
          </cell>
          <cell r="AO134" t="str">
            <v>Cloud VDI팀</v>
          </cell>
          <cell r="AP134" t="str">
            <v>SKT/SKI VDI 운영</v>
          </cell>
          <cell r="AQ134" t="str">
            <v>VDI 구축 및 운영</v>
          </cell>
          <cell r="AR134" t="str">
            <v>SKI담당</v>
          </cell>
          <cell r="AS134" t="str">
            <v>고객사 공통 / 2026년_VDI_03_1분기(4500304009-01)</v>
          </cell>
          <cell r="AT134" t="str">
            <v>통상</v>
          </cell>
          <cell r="AU134" t="str">
            <v>정직원</v>
          </cell>
          <cell r="AV134" t="str">
            <v>씨앤토트플러스㈜</v>
          </cell>
          <cell r="AW134">
            <v>4498000</v>
          </cell>
          <cell r="AX134">
            <v>4498000</v>
          </cell>
          <cell r="AY134">
            <v>12</v>
          </cell>
          <cell r="AZ134">
            <v>53976000</v>
          </cell>
          <cell r="BC134">
            <v>45839</v>
          </cell>
          <cell r="BD134">
            <v>34608000</v>
          </cell>
          <cell r="BE134">
            <v>35808000</v>
          </cell>
          <cell r="BF134">
            <v>35808000</v>
          </cell>
          <cell r="BG134">
            <v>2984000</v>
          </cell>
          <cell r="BH134">
            <v>2493900</v>
          </cell>
          <cell r="BI134">
            <v>12889.47</v>
          </cell>
          <cell r="BJ134">
            <v>209</v>
          </cell>
          <cell r="BK134">
            <v>15</v>
          </cell>
          <cell r="BL134">
            <v>0</v>
          </cell>
          <cell r="BM134">
            <v>290100</v>
          </cell>
          <cell r="BN134">
            <v>0</v>
          </cell>
          <cell r="BO134">
            <v>200000</v>
          </cell>
          <cell r="BP134">
            <v>0</v>
          </cell>
          <cell r="BQ134" t="str">
            <v>적합</v>
          </cell>
          <cell r="BR134"/>
          <cell r="BS134">
            <v>515578.8</v>
          </cell>
          <cell r="BT134">
            <v>3026964.9</v>
          </cell>
          <cell r="BU134">
            <v>1586880</v>
          </cell>
          <cell r="BV134">
            <v>1360721.2031999999</v>
          </cell>
          <cell r="BW134">
            <v>517824</v>
          </cell>
          <cell r="BX134">
            <v>220492.79999999999</v>
          </cell>
          <cell r="BY134">
            <v>3730000</v>
          </cell>
          <cell r="BZ134">
            <v>39350543.699999996</v>
          </cell>
          <cell r="CA134">
            <v>3685918.0031999997</v>
          </cell>
          <cell r="CB134">
            <v>44760000</v>
          </cell>
          <cell r="CC134">
            <v>9216000</v>
          </cell>
          <cell r="CD134">
            <v>17.074255224544242</v>
          </cell>
        </row>
        <row r="135">
          <cell r="F135" t="str">
            <v>이준범</v>
          </cell>
          <cell r="G135" t="str">
            <v>사원</v>
          </cell>
          <cell r="H135" t="str">
            <v>초급상</v>
          </cell>
          <cell r="I135" t="str">
            <v>초급기술자</v>
          </cell>
          <cell r="J135" t="str">
            <v>하도급(FTE)</v>
          </cell>
          <cell r="K135" t="str">
            <v>NOC 엔지니어</v>
          </cell>
          <cell r="L135" t="str">
            <v>허영86 후임</v>
          </cell>
          <cell r="M135"/>
          <cell r="N135" t="str">
            <v>010-9105-1639</v>
          </cell>
          <cell r="O135" t="str">
            <v>gx2045@cnthoth.com</v>
          </cell>
          <cell r="P135" t="str">
            <v>941110-1</v>
          </cell>
          <cell r="Q135">
            <v>44951</v>
          </cell>
          <cell r="R135">
            <v>44951</v>
          </cell>
          <cell r="S135"/>
          <cell r="T135" t="str">
            <v>성일정보고등학교</v>
          </cell>
          <cell r="U135"/>
          <cell r="V135" t="str">
            <v>고졸</v>
          </cell>
          <cell r="W135" t="str">
            <v>네트워크관리사2급</v>
          </cell>
          <cell r="X135" t="str">
            <v>리눅스마스터2급</v>
          </cell>
          <cell r="Y135"/>
          <cell r="Z135">
            <v>1202</v>
          </cell>
          <cell r="AA135">
            <v>1202</v>
          </cell>
          <cell r="AB135"/>
          <cell r="AC135"/>
          <cell r="AD135" t="str">
            <v>판교NOC</v>
          </cell>
          <cell r="AE135" t="str">
            <v>경기도</v>
          </cell>
          <cell r="AF135" t="str">
            <v>2. Network Service</v>
          </cell>
          <cell r="AG135" t="str">
            <v>2. Network Service</v>
          </cell>
          <cell r="AH135" t="str">
            <v>SK AX</v>
          </cell>
          <cell r="AI135" t="str">
            <v>SK그룹사(공통)</v>
          </cell>
          <cell r="AJ135" t="str">
            <v>최재유</v>
          </cell>
          <cell r="AK135">
            <v>13486</v>
          </cell>
          <cell r="AL135" t="str">
            <v>경기도 성남시 분당구 판교로 255번길 46 SK C&amp;C 판교캠퍼스 A동 4층</v>
          </cell>
          <cell r="AM135" t="str">
            <v>13285</v>
          </cell>
          <cell r="AN135" t="str">
            <v>경기도 성남시 수정구 남문로107번길 28, 2층 (태평동)</v>
          </cell>
          <cell r="AO135" t="str">
            <v>Network Service팀</v>
          </cell>
          <cell r="AP135" t="str">
            <v>SK공통 NOC 운영</v>
          </cell>
          <cell r="AQ135" t="str">
            <v>N/W 관제, 장애 조치</v>
          </cell>
          <cell r="AR135"/>
          <cell r="AS135" t="str">
            <v>고객사 공통 / 2026년_인프라운영_HC11_1분기(4500303149-01)</v>
          </cell>
          <cell r="AT135" t="str">
            <v>스케줄</v>
          </cell>
          <cell r="AU135" t="str">
            <v>정직원</v>
          </cell>
          <cell r="AV135" t="str">
            <v>씨앤토트플러스㈜</v>
          </cell>
          <cell r="AW135">
            <v>4335000</v>
          </cell>
          <cell r="AX135">
            <v>4335000</v>
          </cell>
          <cell r="AY135">
            <v>12</v>
          </cell>
          <cell r="AZ135">
            <v>52020000</v>
          </cell>
          <cell r="BA135"/>
          <cell r="BB135"/>
          <cell r="BC135">
            <v>45839</v>
          </cell>
          <cell r="BD135">
            <v>29040720</v>
          </cell>
          <cell r="BE135">
            <v>30121200</v>
          </cell>
          <cell r="BF135">
            <v>30121200</v>
          </cell>
          <cell r="BG135">
            <v>2510100</v>
          </cell>
          <cell r="BH135">
            <v>1965600</v>
          </cell>
          <cell r="BI135">
            <v>11322.81</v>
          </cell>
          <cell r="BJ135">
            <v>191.26</v>
          </cell>
          <cell r="BK135">
            <v>27.88</v>
          </cell>
          <cell r="BL135">
            <v>32.950000000000003</v>
          </cell>
          <cell r="BM135">
            <v>157900</v>
          </cell>
          <cell r="BN135">
            <v>186600</v>
          </cell>
          <cell r="BO135">
            <v>200000</v>
          </cell>
          <cell r="BP135">
            <v>651398</v>
          </cell>
          <cell r="BQ135" t="str">
            <v>적합</v>
          </cell>
          <cell r="BR135">
            <v>250000</v>
          </cell>
          <cell r="BS135">
            <v>1132281</v>
          </cell>
          <cell r="BT135">
            <v>2604456.75</v>
          </cell>
          <cell r="BU135">
            <v>1316757</v>
          </cell>
          <cell r="BV135">
            <v>1129095.5644799999</v>
          </cell>
          <cell r="BW135">
            <v>429678.6</v>
          </cell>
          <cell r="BX135">
            <v>182959.92</v>
          </cell>
          <cell r="BY135">
            <v>3137625</v>
          </cell>
          <cell r="BZ135">
            <v>33857937.75</v>
          </cell>
          <cell r="CA135">
            <v>3058491.0844800002</v>
          </cell>
          <cell r="CB135">
            <v>37651500</v>
          </cell>
          <cell r="CC135">
            <v>13580308.42</v>
          </cell>
          <cell r="CD135">
            <v>26.105936985774704</v>
          </cell>
        </row>
        <row r="136">
          <cell r="F136" t="str">
            <v>송선호</v>
          </cell>
          <cell r="G136" t="str">
            <v>사원</v>
          </cell>
          <cell r="H136" t="str">
            <v>초급상</v>
          </cell>
          <cell r="I136" t="str">
            <v>초급기술자</v>
          </cell>
          <cell r="J136" t="str">
            <v>하도급(M/M)</v>
          </cell>
          <cell r="K136" t="str">
            <v>네트워크엔지니어</v>
          </cell>
          <cell r="L136" t="str">
            <v>오현도 후임</v>
          </cell>
          <cell r="N136" t="str">
            <v>010-2426-6545</v>
          </cell>
          <cell r="O136" t="str">
            <v>songsun0107@cnthoth.com</v>
          </cell>
          <cell r="P136" t="str">
            <v>990107-1</v>
          </cell>
          <cell r="Q136">
            <v>44963</v>
          </cell>
          <cell r="R136">
            <v>44963</v>
          </cell>
          <cell r="T136" t="str">
            <v>학점은행제</v>
          </cell>
          <cell r="U136" t="str">
            <v>정보통신공학과</v>
          </cell>
          <cell r="V136" t="str">
            <v>대졸</v>
          </cell>
          <cell r="W136" t="str">
            <v>네트워크관리사2급</v>
          </cell>
          <cell r="Z136">
            <v>1190</v>
          </cell>
          <cell r="AA136">
            <v>1190</v>
          </cell>
          <cell r="AB136"/>
          <cell r="AC136"/>
          <cell r="AD136" t="str">
            <v>삼일빌딩 26F_종로</v>
          </cell>
          <cell r="AE136" t="str">
            <v>서울특별시</v>
          </cell>
          <cell r="AF136" t="str">
            <v>2. Network Service</v>
          </cell>
          <cell r="AG136" t="str">
            <v>2. Network Service</v>
          </cell>
          <cell r="AH136" t="str">
            <v>SK AX</v>
          </cell>
          <cell r="AI136" t="str">
            <v>SK그룹사(공통)</v>
          </cell>
          <cell r="AJ136" t="str">
            <v>최재유</v>
          </cell>
          <cell r="AK136" t="str">
            <v>03190</v>
          </cell>
          <cell r="AL136" t="str">
            <v>서울시 종로구 청계천로 85 삼일빌딩 26층</v>
          </cell>
          <cell r="AM136" t="str">
            <v>10956</v>
          </cell>
          <cell r="AN136" t="str">
            <v>경기도 파주시 심학산로 234, 812동 1602호 (동패동, 초롱꽃마을8단지)</v>
          </cell>
          <cell r="AO136" t="str">
            <v>Network Service팀</v>
          </cell>
          <cell r="AP136" t="str">
            <v>SK랜터카, SK매직 고객지원</v>
          </cell>
          <cell r="AQ136" t="str">
            <v>방화벽 요청 처리</v>
          </cell>
          <cell r="AS136" t="str">
            <v>고객사 공통 / SKIX 26년 온프렘(HW,SW) 운영_1분기 (4500303678-01)</v>
          </cell>
          <cell r="AT136" t="str">
            <v>통상</v>
          </cell>
          <cell r="AU136" t="str">
            <v>정직원</v>
          </cell>
          <cell r="AV136" t="str">
            <v>씨앤토트플러스㈜</v>
          </cell>
          <cell r="AW136">
            <v>5000000</v>
          </cell>
          <cell r="AX136">
            <v>5000000</v>
          </cell>
          <cell r="AY136">
            <v>12</v>
          </cell>
          <cell r="AZ136">
            <v>60000000</v>
          </cell>
          <cell r="BC136">
            <v>45839</v>
          </cell>
          <cell r="BD136">
            <v>35004000</v>
          </cell>
          <cell r="BE136">
            <v>35005200</v>
          </cell>
          <cell r="BF136">
            <v>35005200</v>
          </cell>
          <cell r="BG136">
            <v>2917100</v>
          </cell>
          <cell r="BH136">
            <v>2433500</v>
          </cell>
          <cell r="BI136">
            <v>12600.48</v>
          </cell>
          <cell r="BJ136">
            <v>209</v>
          </cell>
          <cell r="BK136">
            <v>15</v>
          </cell>
          <cell r="BL136">
            <v>0</v>
          </cell>
          <cell r="BM136">
            <v>283600</v>
          </cell>
          <cell r="BN136">
            <v>0</v>
          </cell>
          <cell r="BO136">
            <v>200000</v>
          </cell>
          <cell r="BP136">
            <v>0</v>
          </cell>
          <cell r="BQ136" t="str">
            <v>적합</v>
          </cell>
          <cell r="BS136">
            <v>504019.19999999995</v>
          </cell>
          <cell r="BT136">
            <v>2959101.6</v>
          </cell>
          <cell r="BU136">
            <v>1548747</v>
          </cell>
          <cell r="BV136">
            <v>1328022.8380799999</v>
          </cell>
          <cell r="BW136">
            <v>505380.6</v>
          </cell>
          <cell r="BX136">
            <v>215194.32</v>
          </cell>
          <cell r="BY136">
            <v>3646375</v>
          </cell>
          <cell r="BZ136">
            <v>38468320.800000004</v>
          </cell>
          <cell r="CA136">
            <v>3597344.7580800001</v>
          </cell>
          <cell r="CB136">
            <v>43756500</v>
          </cell>
          <cell r="CC136">
            <v>16243500</v>
          </cell>
          <cell r="CD136">
            <v>27.072499999999998</v>
          </cell>
        </row>
        <row r="137">
          <cell r="F137" t="str">
            <v>김영서</v>
          </cell>
          <cell r="G137" t="str">
            <v>사원</v>
          </cell>
          <cell r="H137" t="str">
            <v>고능</v>
          </cell>
          <cell r="I137" t="str">
            <v>고급기능사</v>
          </cell>
          <cell r="J137" t="str">
            <v>하도급(M/M)</v>
          </cell>
          <cell r="K137" t="str">
            <v>서비스 관제 엔지니어</v>
          </cell>
          <cell r="L137" t="str">
            <v>이휘중 후임</v>
          </cell>
          <cell r="M137" t="str">
            <v>02-6400-5026</v>
          </cell>
          <cell r="N137" t="str">
            <v>010-5732-4219</v>
          </cell>
          <cell r="O137" t="str">
            <v>kimys9374219@cnthoth.com</v>
          </cell>
          <cell r="P137" t="str">
            <v>000329-3</v>
          </cell>
          <cell r="Q137">
            <v>45035</v>
          </cell>
          <cell r="R137">
            <v>45035</v>
          </cell>
          <cell r="S137"/>
          <cell r="T137" t="str">
            <v>인천재능대학교</v>
          </cell>
          <cell r="U137" t="str">
            <v>AI컴퓨터정보과</v>
          </cell>
          <cell r="V137" t="str">
            <v>전문대졸</v>
          </cell>
          <cell r="W137"/>
          <cell r="X137"/>
          <cell r="Y137"/>
          <cell r="Z137">
            <v>1118</v>
          </cell>
          <cell r="AA137">
            <v>1118</v>
          </cell>
          <cell r="AB137"/>
          <cell r="AC137"/>
          <cell r="AD137" t="str">
            <v>판교DC</v>
          </cell>
          <cell r="AE137" t="str">
            <v>경기도</v>
          </cell>
          <cell r="AF137" t="str">
            <v>1. Infra 운영</v>
          </cell>
          <cell r="AG137" t="str">
            <v>1. Infra 운영</v>
          </cell>
          <cell r="AH137" t="str">
            <v>SK AX</v>
          </cell>
          <cell r="AI137" t="str">
            <v>SK그룹사(공통)</v>
          </cell>
          <cell r="AJ137" t="str">
            <v>김성구</v>
          </cell>
          <cell r="AK137">
            <v>13486</v>
          </cell>
          <cell r="AL137" t="str">
            <v>경기도 성남시 분당구 판교로 255번길 46 SK(주) C&amp;C 판교캠퍼스 A동 1층</v>
          </cell>
          <cell r="AM137" t="str">
            <v>14548</v>
          </cell>
          <cell r="AN137" t="str">
            <v>경기도 부천시 길주로 246, 1014호 (중동, 부천중동리슈빌엔클래스)</v>
          </cell>
          <cell r="AO137" t="str">
            <v>CloudControlCenter팀</v>
          </cell>
          <cell r="AP137" t="str">
            <v>판교 DC 운영</v>
          </cell>
          <cell r="AQ137" t="str">
            <v>H/W 육안점검, 시스템 모니터링 및 장애 전파</v>
          </cell>
          <cell r="AS137" t="str">
            <v>고객사 공통 / 2026년_VDI_01_1분기(4500302906-01)</v>
          </cell>
          <cell r="AT137" t="str">
            <v>스케줄</v>
          </cell>
          <cell r="AU137" t="str">
            <v>정직원</v>
          </cell>
          <cell r="AV137" t="str">
            <v>씨앤토트플러스㈜</v>
          </cell>
          <cell r="AW137">
            <v>4243000</v>
          </cell>
          <cell r="AX137">
            <v>4243000</v>
          </cell>
          <cell r="AY137">
            <v>12</v>
          </cell>
          <cell r="AZ137">
            <v>50916000</v>
          </cell>
          <cell r="BA137"/>
          <cell r="BB137"/>
          <cell r="BC137">
            <v>45839</v>
          </cell>
          <cell r="BD137">
            <v>29041560</v>
          </cell>
          <cell r="BE137">
            <v>29917200</v>
          </cell>
          <cell r="BF137">
            <v>29917200</v>
          </cell>
          <cell r="BG137">
            <v>2493100</v>
          </cell>
          <cell r="BH137">
            <v>1814300</v>
          </cell>
          <cell r="BI137">
            <v>10947.28</v>
          </cell>
          <cell r="BJ137">
            <v>184</v>
          </cell>
          <cell r="BK137">
            <v>38.020000000000003</v>
          </cell>
          <cell r="BL137">
            <v>49.43</v>
          </cell>
          <cell r="BM137">
            <v>208200</v>
          </cell>
          <cell r="BN137">
            <v>270600</v>
          </cell>
          <cell r="BO137">
            <v>200000</v>
          </cell>
          <cell r="BP137">
            <v>1982827</v>
          </cell>
          <cell r="BQ137" t="str">
            <v>적합</v>
          </cell>
          <cell r="BR137"/>
          <cell r="BS137">
            <v>1094728</v>
          </cell>
          <cell r="BT137">
            <v>2584327.3333333335</v>
          </cell>
          <cell r="BU137">
            <v>1307067</v>
          </cell>
          <cell r="BV137">
            <v>1120786.5628799999</v>
          </cell>
          <cell r="BW137">
            <v>426516.6</v>
          </cell>
          <cell r="BX137">
            <v>181613.52</v>
          </cell>
          <cell r="BY137">
            <v>3116375</v>
          </cell>
          <cell r="BZ137">
            <v>33596255.333333336</v>
          </cell>
          <cell r="CA137">
            <v>3035983.6828800002</v>
          </cell>
          <cell r="CB137">
            <v>37396500</v>
          </cell>
          <cell r="CC137">
            <v>11120279.33</v>
          </cell>
          <cell r="CD137">
            <v>21.840441766831646</v>
          </cell>
        </row>
        <row r="138">
          <cell r="F138" t="str">
            <v>박재환</v>
          </cell>
          <cell r="G138" t="str">
            <v>사원</v>
          </cell>
          <cell r="H138" t="str">
            <v>고능</v>
          </cell>
          <cell r="I138" t="str">
            <v>고급기능사</v>
          </cell>
          <cell r="J138" t="str">
            <v>하도급(M/M)</v>
          </cell>
          <cell r="K138" t="str">
            <v>서비스 관제 엔지니어</v>
          </cell>
          <cell r="L138" t="str">
            <v>이진영 후임</v>
          </cell>
          <cell r="M138" t="str">
            <v>02-6400-5026</v>
          </cell>
          <cell r="N138" t="str">
            <v>010-2966-1712</v>
          </cell>
          <cell r="O138" t="str">
            <v>jaehwan@cnthoth.com</v>
          </cell>
          <cell r="P138" t="str">
            <v>020717-3</v>
          </cell>
          <cell r="Q138">
            <v>45554</v>
          </cell>
          <cell r="R138">
            <v>45554</v>
          </cell>
          <cell r="S138"/>
          <cell r="T138" t="str">
            <v>보평고등학교</v>
          </cell>
          <cell r="U138"/>
          <cell r="V138" t="str">
            <v>고졸</v>
          </cell>
          <cell r="W138"/>
          <cell r="X138"/>
          <cell r="Y138"/>
          <cell r="Z138">
            <v>599</v>
          </cell>
          <cell r="AA138">
            <v>599</v>
          </cell>
          <cell r="AB138"/>
          <cell r="AC138"/>
          <cell r="AD138" t="str">
            <v>판교DC</v>
          </cell>
          <cell r="AE138" t="str">
            <v>경기도</v>
          </cell>
          <cell r="AF138" t="str">
            <v>1. Infra 운영</v>
          </cell>
          <cell r="AG138" t="str">
            <v>1. Infra 운영</v>
          </cell>
          <cell r="AH138" t="str">
            <v>SK AX</v>
          </cell>
          <cell r="AI138" t="str">
            <v>SK그룹사(공통)</v>
          </cell>
          <cell r="AJ138" t="str">
            <v>김성구</v>
          </cell>
          <cell r="AK138">
            <v>13486</v>
          </cell>
          <cell r="AL138" t="str">
            <v>경기도 성남시 분당구 판교로 255번길 46 SK(주) C&amp;C 판교캠퍼스 A동 1층</v>
          </cell>
          <cell r="AM138" t="str">
            <v>13523</v>
          </cell>
          <cell r="AN138" t="str">
            <v>경기도 성남시 분당구 판교로 430, 109동 1703호 (이매동, 아름마을건영한성태영아파트)</v>
          </cell>
          <cell r="AO138" t="str">
            <v>CloudControlCenter팀</v>
          </cell>
          <cell r="AP138" t="str">
            <v>판교 DC 운영</v>
          </cell>
          <cell r="AQ138" t="str">
            <v>H/W 육안점검, 시스템 모니터링 및 장애 전파</v>
          </cell>
          <cell r="AR138"/>
          <cell r="AS138" t="str">
            <v>고객사 공통 / 2026년_VDI_01_1분기(4500302906-01)</v>
          </cell>
          <cell r="AT138" t="str">
            <v>스케줄</v>
          </cell>
          <cell r="AU138" t="str">
            <v>정직원</v>
          </cell>
          <cell r="AV138" t="str">
            <v>씨앤토트플러스㈜</v>
          </cell>
          <cell r="AW138">
            <v>4159000</v>
          </cell>
          <cell r="AX138">
            <v>4159000</v>
          </cell>
          <cell r="AY138">
            <v>12</v>
          </cell>
          <cell r="AZ138">
            <v>49908000</v>
          </cell>
          <cell r="BA138"/>
          <cell r="BB138"/>
          <cell r="BC138">
            <v>46023</v>
          </cell>
          <cell r="BD138">
            <v>27500040</v>
          </cell>
          <cell r="BE138">
            <v>28099200</v>
          </cell>
          <cell r="BF138">
            <v>28202400</v>
          </cell>
          <cell r="BG138">
            <v>2350200</v>
          </cell>
          <cell r="BH138">
            <v>1698900</v>
          </cell>
          <cell r="BI138">
            <v>10320.11</v>
          </cell>
          <cell r="BJ138">
            <v>184</v>
          </cell>
          <cell r="BK138">
            <v>38.020000000000003</v>
          </cell>
          <cell r="BL138">
            <v>49.43</v>
          </cell>
          <cell r="BM138">
            <v>196200</v>
          </cell>
          <cell r="BN138">
            <v>255100</v>
          </cell>
          <cell r="BO138">
            <v>200000</v>
          </cell>
          <cell r="BP138">
            <v>1869230</v>
          </cell>
          <cell r="BQ138" t="str">
            <v>적합</v>
          </cell>
          <cell r="BR138"/>
          <cell r="BS138">
            <v>1032011</v>
          </cell>
          <cell r="BT138">
            <v>2436200.9166666665</v>
          </cell>
          <cell r="BU138">
            <v>1225614</v>
          </cell>
          <cell r="BV138">
            <v>1050942.0729599998</v>
          </cell>
          <cell r="BW138">
            <v>399937.2</v>
          </cell>
          <cell r="BX138">
            <v>170295.84</v>
          </cell>
          <cell r="BY138">
            <v>2937750</v>
          </cell>
          <cell r="BZ138">
            <v>31670611.916666668</v>
          </cell>
          <cell r="CA138">
            <v>2846789.1129599996</v>
          </cell>
          <cell r="CB138">
            <v>35253000</v>
          </cell>
          <cell r="CC138">
            <v>12393231.699999999</v>
          </cell>
          <cell r="CD138">
            <v>24.832154564398493</v>
          </cell>
        </row>
        <row r="139">
          <cell r="F139" t="str">
            <v>박준하</v>
          </cell>
          <cell r="G139" t="str">
            <v>사원</v>
          </cell>
          <cell r="H139" t="str">
            <v>고능</v>
          </cell>
          <cell r="I139" t="str">
            <v>고급기능사</v>
          </cell>
          <cell r="J139" t="str">
            <v>하도급(M/M)</v>
          </cell>
          <cell r="K139" t="str">
            <v>서비스 관제 엔지니어</v>
          </cell>
          <cell r="L139" t="str">
            <v>임대현 후임</v>
          </cell>
          <cell r="M139" t="str">
            <v>02-6400-5026</v>
          </cell>
          <cell r="N139" t="str">
            <v>010-7581-7079</v>
          </cell>
          <cell r="O139" t="str">
            <v>junha7079@cnthoth.com</v>
          </cell>
          <cell r="P139" t="str">
            <v>960327-1</v>
          </cell>
          <cell r="Q139">
            <v>45600</v>
          </cell>
          <cell r="R139">
            <v>45600</v>
          </cell>
          <cell r="S139"/>
          <cell r="T139" t="str">
            <v>경북대학교</v>
          </cell>
          <cell r="U139" t="str">
            <v>항공위성시스템공학과</v>
          </cell>
          <cell r="V139" t="str">
            <v>대학교중퇴</v>
          </cell>
          <cell r="W139" t="str">
            <v>AZ-900</v>
          </cell>
          <cell r="X139"/>
          <cell r="Y139"/>
          <cell r="Z139">
            <v>553</v>
          </cell>
          <cell r="AA139">
            <v>553</v>
          </cell>
          <cell r="AB139"/>
          <cell r="AC139"/>
          <cell r="AD139" t="str">
            <v>판교DC</v>
          </cell>
          <cell r="AE139" t="str">
            <v>경기도</v>
          </cell>
          <cell r="AF139" t="str">
            <v>1. Infra 운영</v>
          </cell>
          <cell r="AG139" t="str">
            <v>1. Infra 운영</v>
          </cell>
          <cell r="AH139" t="str">
            <v>SK AX</v>
          </cell>
          <cell r="AI139" t="str">
            <v>SK그룹사(공통)</v>
          </cell>
          <cell r="AJ139" t="str">
            <v>김성구</v>
          </cell>
          <cell r="AK139">
            <v>13486</v>
          </cell>
          <cell r="AL139" t="str">
            <v>경기도 성남시 분당구 판교로 255번길 46 SK(주) C&amp;C 판교캠퍼스 A동 1층</v>
          </cell>
          <cell r="AM139" t="str">
            <v>16522</v>
          </cell>
          <cell r="AN139" t="str">
            <v>경기도 수원시 영통구 삼성로268번길 25, 아트빌 705호 (원천동)</v>
          </cell>
          <cell r="AO139" t="str">
            <v>CloudControlCenter팀</v>
          </cell>
          <cell r="AP139" t="str">
            <v>판교 DC 운영</v>
          </cell>
          <cell r="AQ139" t="str">
            <v>H/W 육안점검, 시스템 모니터링 및 장애 전파</v>
          </cell>
          <cell r="AS139" t="str">
            <v>고객사 공통 / 2026년_VDI_01_1분기(4500302906-01)</v>
          </cell>
          <cell r="AT139" t="str">
            <v>스케줄</v>
          </cell>
          <cell r="AU139" t="str">
            <v>정직원</v>
          </cell>
          <cell r="AV139" t="str">
            <v>씨앤토트플러스㈜</v>
          </cell>
          <cell r="AW139">
            <v>4159000</v>
          </cell>
          <cell r="AX139">
            <v>4159000</v>
          </cell>
          <cell r="AY139">
            <v>12</v>
          </cell>
          <cell r="AZ139">
            <v>49908000</v>
          </cell>
          <cell r="BA139"/>
          <cell r="BB139"/>
          <cell r="BC139">
            <v>46023</v>
          </cell>
          <cell r="BD139">
            <v>27500040</v>
          </cell>
          <cell r="BE139">
            <v>28099200</v>
          </cell>
          <cell r="BF139">
            <v>28202400</v>
          </cell>
          <cell r="BG139">
            <v>2350200</v>
          </cell>
          <cell r="BH139">
            <v>1698900</v>
          </cell>
          <cell r="BI139">
            <v>10320.11</v>
          </cell>
          <cell r="BJ139">
            <v>184</v>
          </cell>
          <cell r="BK139">
            <v>38.020000000000003</v>
          </cell>
          <cell r="BL139">
            <v>49.43</v>
          </cell>
          <cell r="BM139">
            <v>196200</v>
          </cell>
          <cell r="BN139">
            <v>255100</v>
          </cell>
          <cell r="BO139">
            <v>200000</v>
          </cell>
          <cell r="BP139">
            <v>1869230</v>
          </cell>
          <cell r="BQ139" t="str">
            <v>적합</v>
          </cell>
          <cell r="BR139"/>
          <cell r="BS139">
            <v>1032011</v>
          </cell>
          <cell r="BT139">
            <v>2436200.9166666665</v>
          </cell>
          <cell r="BU139">
            <v>1225614</v>
          </cell>
          <cell r="BV139">
            <v>1050942.0729599998</v>
          </cell>
          <cell r="BW139">
            <v>399937.2</v>
          </cell>
          <cell r="BX139">
            <v>170295.84</v>
          </cell>
          <cell r="BY139">
            <v>2937750</v>
          </cell>
          <cell r="BZ139">
            <v>31670611.916666668</v>
          </cell>
          <cell r="CA139">
            <v>2846789.1129599996</v>
          </cell>
          <cell r="CB139">
            <v>35253000</v>
          </cell>
          <cell r="CC139">
            <v>12393231.699999999</v>
          </cell>
          <cell r="CD139">
            <v>24.832154564398493</v>
          </cell>
        </row>
        <row r="140">
          <cell r="F140" t="str">
            <v>김현규</v>
          </cell>
          <cell r="G140" t="str">
            <v>사원</v>
          </cell>
          <cell r="H140" t="str">
            <v>초급하</v>
          </cell>
          <cell r="I140" t="str">
            <v>초급기술자</v>
          </cell>
          <cell r="J140" t="str">
            <v>하도급(M/M)</v>
          </cell>
          <cell r="K140" t="str">
            <v>서버엔지니어</v>
          </cell>
          <cell r="L140" t="str">
            <v>2025_신규</v>
          </cell>
          <cell r="M140"/>
          <cell r="N140" t="str">
            <v>010-2911-2058</v>
          </cell>
          <cell r="O140" t="str">
            <v>hkkim@cnthoth.com</v>
          </cell>
          <cell r="P140" t="str">
            <v>921031-1</v>
          </cell>
          <cell r="Q140">
            <v>45054</v>
          </cell>
          <cell r="R140">
            <v>45054</v>
          </cell>
          <cell r="S140"/>
          <cell r="T140" t="str">
            <v>명지대학교</v>
          </cell>
          <cell r="U140" t="str">
            <v>행정학과</v>
          </cell>
          <cell r="V140" t="str">
            <v>대학교중퇴</v>
          </cell>
          <cell r="W140" t="str">
            <v>네트워크관리사2급</v>
          </cell>
          <cell r="Z140">
            <v>1099</v>
          </cell>
          <cell r="AA140">
            <v>1099</v>
          </cell>
          <cell r="AB140"/>
          <cell r="AC140"/>
          <cell r="AD140" t="str">
            <v>SK하이닉스_이천</v>
          </cell>
          <cell r="AE140" t="str">
            <v>경기도</v>
          </cell>
          <cell r="AF140" t="str">
            <v>4. SKB/SK하이닉스 Infra 운영</v>
          </cell>
          <cell r="AG140" t="str">
            <v>4. SKB/SK하이닉스 Infra 운영</v>
          </cell>
          <cell r="AH140" t="str">
            <v>SK AX</v>
          </cell>
          <cell r="AI140" t="str">
            <v>SK하이닉스(이천)</v>
          </cell>
          <cell r="AJ140" t="str">
            <v>임봉영</v>
          </cell>
          <cell r="AK140" t="str">
            <v>17336</v>
          </cell>
          <cell r="AL140" t="str">
            <v xml:space="preserve">경기도 이천시 부발읍 경충대로 2091, SK하이닉스 기술지원센터 2층 SKHDC2 </v>
          </cell>
          <cell r="AM140" t="str">
            <v>17338</v>
          </cell>
          <cell r="AN140" t="str">
            <v>경기도 이천시 대월면 사동로159번길 9-6, 305호 (대월면, 다행빌리지)</v>
          </cell>
          <cell r="AO140" t="str">
            <v>Hynix Cloud팀</v>
          </cell>
          <cell r="AP140" t="str">
            <v>이천 DC 운영</v>
          </cell>
          <cell r="AQ140" t="str">
            <v>Linux 서버 운영</v>
          </cell>
          <cell r="AS140" t="str">
            <v>에스케이하이닉스(주) / SKHy '26년 ITO_인프라_1분기(4500303686-01)</v>
          </cell>
          <cell r="AT140" t="str">
            <v>통상</v>
          </cell>
          <cell r="AU140" t="str">
            <v>정직원</v>
          </cell>
          <cell r="AV140" t="str">
            <v>씨앤토트플러스㈜</v>
          </cell>
          <cell r="AW140">
            <v>5200000</v>
          </cell>
          <cell r="AX140">
            <v>5200000</v>
          </cell>
          <cell r="AY140">
            <v>12</v>
          </cell>
          <cell r="AZ140">
            <v>62400000</v>
          </cell>
          <cell r="BA140"/>
          <cell r="BB140"/>
          <cell r="BC140">
            <v>45839</v>
          </cell>
          <cell r="BD140">
            <v>32200080</v>
          </cell>
          <cell r="BE140">
            <v>35079600</v>
          </cell>
          <cell r="BF140">
            <v>35079600</v>
          </cell>
          <cell r="BG140">
            <v>2923300</v>
          </cell>
          <cell r="BH140">
            <v>2439100</v>
          </cell>
          <cell r="BI140">
            <v>12627.27</v>
          </cell>
          <cell r="BJ140">
            <v>209</v>
          </cell>
          <cell r="BK140">
            <v>15</v>
          </cell>
          <cell r="BL140">
            <v>0</v>
          </cell>
          <cell r="BM140">
            <v>284200</v>
          </cell>
          <cell r="BN140">
            <v>0</v>
          </cell>
          <cell r="BO140">
            <v>200000</v>
          </cell>
          <cell r="BP140">
            <v>0</v>
          </cell>
          <cell r="BQ140" t="str">
            <v>적합</v>
          </cell>
          <cell r="BR140"/>
          <cell r="BS140">
            <v>505090.80000000005</v>
          </cell>
          <cell r="BT140">
            <v>2965390.9</v>
          </cell>
          <cell r="BU140">
            <v>1552281</v>
          </cell>
          <cell r="BV140">
            <v>1331053.1798399999</v>
          </cell>
          <cell r="BW140">
            <v>506533.8</v>
          </cell>
          <cell r="BX140">
            <v>215685.36</v>
          </cell>
          <cell r="BY140">
            <v>3654125</v>
          </cell>
          <cell r="BZ140">
            <v>38550081.699999996</v>
          </cell>
          <cell r="CA140">
            <v>3605553.3398399996</v>
          </cell>
          <cell r="CB140">
            <v>43849500</v>
          </cell>
          <cell r="CC140">
            <v>18550500</v>
          </cell>
          <cell r="CD140">
            <v>29.728365384615387</v>
          </cell>
        </row>
        <row r="141">
          <cell r="F141" t="str">
            <v>정명인</v>
          </cell>
          <cell r="G141" t="str">
            <v>대리</v>
          </cell>
          <cell r="H141" t="str">
            <v>초급상</v>
          </cell>
          <cell r="I141" t="str">
            <v>초급기술자</v>
          </cell>
          <cell r="J141" t="str">
            <v>하도급(FTE)</v>
          </cell>
          <cell r="K141" t="str">
            <v>VDI 엔지니어</v>
          </cell>
          <cell r="L141" t="str">
            <v>2023_신규</v>
          </cell>
          <cell r="N141" t="str">
            <v>010-5955-0669</v>
          </cell>
          <cell r="O141" t="str">
            <v>ssill00@cnthoth.com</v>
          </cell>
          <cell r="P141" t="str">
            <v>940819-1</v>
          </cell>
          <cell r="Q141">
            <v>43586</v>
          </cell>
          <cell r="R141">
            <v>45054</v>
          </cell>
          <cell r="T141" t="str">
            <v>성남방송고등학교</v>
          </cell>
          <cell r="V141" t="str">
            <v>고졸</v>
          </cell>
          <cell r="Z141">
            <v>2567</v>
          </cell>
          <cell r="AA141">
            <v>1099</v>
          </cell>
          <cell r="AD141" t="str">
            <v>SK㈜ U타워_정자</v>
          </cell>
          <cell r="AE141" t="str">
            <v>경기도</v>
          </cell>
          <cell r="AF141" t="str">
            <v>1. Infra 운영</v>
          </cell>
          <cell r="AG141" t="str">
            <v>1. Infra 운영</v>
          </cell>
          <cell r="AH141" t="str">
            <v>SK AX</v>
          </cell>
          <cell r="AI141" t="str">
            <v>SK그룹사(공통)</v>
          </cell>
          <cell r="AJ141" t="str">
            <v>최종범</v>
          </cell>
          <cell r="AK141">
            <v>13558</v>
          </cell>
          <cell r="AL141" t="str">
            <v>경기도 성남시 분당구 성남대로 343번길 9 SK U 타워 19층 VDI 센터</v>
          </cell>
          <cell r="AM141" t="str">
            <v>12793</v>
          </cell>
          <cell r="AN141" t="str">
            <v>경기도 광주시 마루들길 253-46, 402호 (양벌동, 해오름)</v>
          </cell>
          <cell r="AO141" t="str">
            <v>Cloud VDI팀</v>
          </cell>
          <cell r="AP141" t="str">
            <v>SKT/SKI VDI 운영</v>
          </cell>
          <cell r="AQ141" t="str">
            <v>VDI 구축 및 운영</v>
          </cell>
          <cell r="AR141" t="str">
            <v>SK렌터카</v>
          </cell>
          <cell r="AS141" t="str">
            <v>고객사 공통 / 2026년_VDI_01_1분기 (4500303359-01)</v>
          </cell>
          <cell r="AT141" t="str">
            <v>통상</v>
          </cell>
          <cell r="AU141" t="str">
            <v>정직원</v>
          </cell>
          <cell r="AV141" t="str">
            <v>씨앤토트플러스㈜</v>
          </cell>
          <cell r="AW141">
            <v>4590000</v>
          </cell>
          <cell r="AX141">
            <v>4590000</v>
          </cell>
          <cell r="AY141">
            <v>12</v>
          </cell>
          <cell r="AZ141">
            <v>55080000</v>
          </cell>
          <cell r="BC141">
            <v>45839</v>
          </cell>
          <cell r="BD141">
            <v>30600000</v>
          </cell>
          <cell r="BE141">
            <v>31800000</v>
          </cell>
          <cell r="BF141">
            <v>31800000</v>
          </cell>
          <cell r="BG141">
            <v>2650000</v>
          </cell>
          <cell r="BH141">
            <v>2192400</v>
          </cell>
          <cell r="BI141">
            <v>11446.89</v>
          </cell>
          <cell r="BJ141">
            <v>209</v>
          </cell>
          <cell r="BK141">
            <v>15</v>
          </cell>
          <cell r="BL141">
            <v>0</v>
          </cell>
          <cell r="BM141">
            <v>257600</v>
          </cell>
          <cell r="BN141">
            <v>0</v>
          </cell>
          <cell r="BO141">
            <v>200000</v>
          </cell>
          <cell r="BP141">
            <v>0</v>
          </cell>
          <cell r="BQ141" t="str">
            <v>적합</v>
          </cell>
          <cell r="BR141"/>
          <cell r="BS141">
            <v>457875.6</v>
          </cell>
          <cell r="BT141">
            <v>2688156.3</v>
          </cell>
          <cell r="BU141">
            <v>1396500</v>
          </cell>
          <cell r="BV141">
            <v>1197473.76</v>
          </cell>
          <cell r="BW141">
            <v>455700</v>
          </cell>
          <cell r="BX141">
            <v>194040</v>
          </cell>
          <cell r="BY141">
            <v>3312500</v>
          </cell>
          <cell r="BZ141">
            <v>34946031.899999999</v>
          </cell>
          <cell r="CA141">
            <v>3243713.76</v>
          </cell>
          <cell r="CB141">
            <v>39750000</v>
          </cell>
          <cell r="CC141">
            <v>15330000</v>
          </cell>
          <cell r="CD141">
            <v>27.832244008714596</v>
          </cell>
        </row>
        <row r="142">
          <cell r="F142" t="str">
            <v>이상곤</v>
          </cell>
          <cell r="G142" t="str">
            <v>대리</v>
          </cell>
          <cell r="H142" t="str">
            <v>초급상</v>
          </cell>
          <cell r="I142" t="str">
            <v>초급기술자</v>
          </cell>
          <cell r="J142" t="str">
            <v>하도급(FTE)</v>
          </cell>
          <cell r="K142" t="str">
            <v>VDI 엔지니어</v>
          </cell>
          <cell r="L142" t="str">
            <v>장재홍 후임</v>
          </cell>
          <cell r="M142"/>
          <cell r="N142" t="str">
            <v>010-8869-4063</v>
          </cell>
          <cell r="O142" t="str">
            <v>lsk778@cnthoth.com</v>
          </cell>
          <cell r="P142" t="str">
            <v>930508-1</v>
          </cell>
          <cell r="Q142">
            <v>42095</v>
          </cell>
          <cell r="R142">
            <v>45117</v>
          </cell>
          <cell r="S142"/>
          <cell r="T142" t="str">
            <v>경기기계공업고등학교</v>
          </cell>
          <cell r="U142" t="str">
            <v>로봇과</v>
          </cell>
          <cell r="V142" t="str">
            <v>고졸</v>
          </cell>
          <cell r="W142" t="str">
            <v>PC정비사2급</v>
          </cell>
          <cell r="X142"/>
          <cell r="Y142"/>
          <cell r="Z142">
            <v>4058</v>
          </cell>
          <cell r="AA142">
            <v>1036</v>
          </cell>
          <cell r="AB142"/>
          <cell r="AC142"/>
          <cell r="AD142" t="str">
            <v>SK C타워_충무로</v>
          </cell>
          <cell r="AE142" t="str">
            <v>서울특별시</v>
          </cell>
          <cell r="AF142" t="str">
            <v>1. Infra 운영</v>
          </cell>
          <cell r="AG142" t="str">
            <v>1. Infra 운영</v>
          </cell>
          <cell r="AH142" t="str">
            <v>SK AX</v>
          </cell>
          <cell r="AI142" t="str">
            <v>SK그룹사(공통)</v>
          </cell>
          <cell r="AJ142" t="str">
            <v>최종범</v>
          </cell>
          <cell r="AK142" t="str">
            <v>04554</v>
          </cell>
          <cell r="AL142" t="str">
            <v>서울 중구 충무로 3가 43 (SK C 타워)</v>
          </cell>
          <cell r="AM142" t="str">
            <v>01460</v>
          </cell>
          <cell r="AN142" t="str">
            <v>서울특별시 도봉구 도봉로104번길 61-23, 나동 6층 601호 (창동)</v>
          </cell>
          <cell r="AO142" t="str">
            <v>Cloud VDI팀</v>
          </cell>
          <cell r="AP142" t="str">
            <v>SKT/SKI VDI 운영</v>
          </cell>
          <cell r="AQ142" t="str">
            <v>VDI 구축 및 운영</v>
          </cell>
          <cell r="AR142" t="str">
            <v>SKI담당</v>
          </cell>
          <cell r="AS142" t="str">
            <v>고객사 공통 / 2026년_VDI_03_1분기(4500304009-01)</v>
          </cell>
          <cell r="AT142" t="str">
            <v>통상</v>
          </cell>
          <cell r="AU142" t="str">
            <v>정직원</v>
          </cell>
          <cell r="AV142" t="str">
            <v>씨앤토트플러스㈜</v>
          </cell>
          <cell r="AW142">
            <v>4590000</v>
          </cell>
          <cell r="AX142">
            <v>4590000</v>
          </cell>
          <cell r="AY142">
            <v>12</v>
          </cell>
          <cell r="AZ142">
            <v>55080000</v>
          </cell>
          <cell r="BC142">
            <v>45839</v>
          </cell>
          <cell r="BD142">
            <v>35604000</v>
          </cell>
          <cell r="BE142">
            <v>36804000</v>
          </cell>
          <cell r="BF142">
            <v>36804000</v>
          </cell>
          <cell r="BG142">
            <v>3067000</v>
          </cell>
          <cell r="BH142">
            <v>2568900</v>
          </cell>
          <cell r="BI142">
            <v>13248.33</v>
          </cell>
          <cell r="BJ142">
            <v>209</v>
          </cell>
          <cell r="BK142">
            <v>15</v>
          </cell>
          <cell r="BL142">
            <v>0</v>
          </cell>
          <cell r="BM142">
            <v>298100</v>
          </cell>
          <cell r="BN142">
            <v>0</v>
          </cell>
          <cell r="BO142">
            <v>200000</v>
          </cell>
          <cell r="BP142">
            <v>0</v>
          </cell>
          <cell r="BQ142" t="str">
            <v>적합</v>
          </cell>
          <cell r="BR142"/>
          <cell r="BS142">
            <v>529933.19999999995</v>
          </cell>
          <cell r="BT142">
            <v>3111161.1</v>
          </cell>
          <cell r="BU142">
            <v>1634190</v>
          </cell>
          <cell r="BV142">
            <v>1401288.6816</v>
          </cell>
          <cell r="BW142">
            <v>533262</v>
          </cell>
          <cell r="BX142">
            <v>227066.4</v>
          </cell>
          <cell r="BY142">
            <v>3833750</v>
          </cell>
          <cell r="BZ142">
            <v>40445094.300000004</v>
          </cell>
          <cell r="CA142">
            <v>3795807.0815999997</v>
          </cell>
          <cell r="CB142">
            <v>46005000</v>
          </cell>
          <cell r="CC142">
            <v>9075000</v>
          </cell>
          <cell r="CD142">
            <v>16.476034858387798</v>
          </cell>
        </row>
        <row r="143">
          <cell r="F143" t="str">
            <v>채정균</v>
          </cell>
          <cell r="G143" t="str">
            <v>대리</v>
          </cell>
          <cell r="H143" t="str">
            <v>초급하</v>
          </cell>
          <cell r="I143" t="str">
            <v>초급기술자</v>
          </cell>
          <cell r="J143" t="str">
            <v>하도급(M/M)</v>
          </cell>
          <cell r="K143" t="str">
            <v>서버엔지니어</v>
          </cell>
          <cell r="L143" t="str">
            <v>김영환 후임</v>
          </cell>
          <cell r="M143"/>
          <cell r="N143" t="str">
            <v>010-8535-6580</v>
          </cell>
          <cell r="O143" t="str">
            <v>jungkyun@cnthoth.com</v>
          </cell>
          <cell r="P143" t="str">
            <v>891201-1</v>
          </cell>
          <cell r="Q143">
            <v>43617</v>
          </cell>
          <cell r="R143">
            <v>45124</v>
          </cell>
          <cell r="S143"/>
          <cell r="T143" t="str">
            <v>대구한의대학교</v>
          </cell>
          <cell r="U143" t="str">
            <v>한약재약리</v>
          </cell>
          <cell r="V143" t="str">
            <v>대졸</v>
          </cell>
          <cell r="W143" t="str">
            <v>네트워크관리사2급</v>
          </cell>
          <cell r="X143" t="str">
            <v>리눅스마스터2급</v>
          </cell>
          <cell r="Z143">
            <v>2536</v>
          </cell>
          <cell r="AA143">
            <v>1029</v>
          </cell>
          <cell r="AB143"/>
          <cell r="AC143"/>
          <cell r="AD143" t="str">
            <v>SK하이닉스_이천</v>
          </cell>
          <cell r="AE143" t="str">
            <v>경기도</v>
          </cell>
          <cell r="AF143" t="str">
            <v>4. SKB/SK하이닉스 Infra 운영</v>
          </cell>
          <cell r="AG143" t="str">
            <v>4. SKB/SK하이닉스 Infra 운영</v>
          </cell>
          <cell r="AH143" t="str">
            <v>SK AX</v>
          </cell>
          <cell r="AI143" t="str">
            <v>SK하이닉스(이천)</v>
          </cell>
          <cell r="AJ143" t="str">
            <v>이은서</v>
          </cell>
          <cell r="AK143" t="str">
            <v>17336</v>
          </cell>
          <cell r="AL143" t="str">
            <v xml:space="preserve">경기도 이천시 부발읍 경충대로 2091, SK하이닉스 기술지원센터 2층 SKHDC2 </v>
          </cell>
          <cell r="AM143" t="str">
            <v>12764</v>
          </cell>
          <cell r="AN143" t="str">
            <v>경기도 광주시 광주역8로 14, 201동 1904호 (역동, 경기광주역 행복주택)</v>
          </cell>
          <cell r="AO143" t="str">
            <v>Hynix Cloud팀</v>
          </cell>
          <cell r="AP143" t="str">
            <v>이천 DC 운영</v>
          </cell>
          <cell r="AQ143" t="str">
            <v>Linux 서버 운영</v>
          </cell>
          <cell r="AS143" t="str">
            <v>에스케이하이닉스(주) / SKHy '26년 ITO_인프라_1분기(4500303686-01)</v>
          </cell>
          <cell r="AT143" t="str">
            <v>통상</v>
          </cell>
          <cell r="AU143" t="str">
            <v>정직원</v>
          </cell>
          <cell r="AV143" t="str">
            <v>씨앤토트플러스㈜</v>
          </cell>
          <cell r="AW143">
            <v>5100000</v>
          </cell>
          <cell r="AX143">
            <v>5100000</v>
          </cell>
          <cell r="AY143">
            <v>12</v>
          </cell>
          <cell r="AZ143">
            <v>61200000</v>
          </cell>
          <cell r="BA143"/>
          <cell r="BB143"/>
          <cell r="BC143">
            <v>45839</v>
          </cell>
          <cell r="BD143">
            <v>41004000</v>
          </cell>
          <cell r="BE143">
            <v>41604000</v>
          </cell>
          <cell r="BF143">
            <v>41604000</v>
          </cell>
          <cell r="BG143">
            <v>3467000</v>
          </cell>
          <cell r="BH143">
            <v>2930000</v>
          </cell>
          <cell r="BI143">
            <v>14976.08</v>
          </cell>
          <cell r="BJ143">
            <v>209</v>
          </cell>
          <cell r="BK143">
            <v>15</v>
          </cell>
          <cell r="BL143">
            <v>0</v>
          </cell>
          <cell r="BM143">
            <v>337000</v>
          </cell>
          <cell r="BN143">
            <v>0</v>
          </cell>
          <cell r="BO143">
            <v>200000</v>
          </cell>
          <cell r="BP143">
            <v>0</v>
          </cell>
          <cell r="BQ143" t="str">
            <v>적합</v>
          </cell>
          <cell r="BR143"/>
          <cell r="BS143">
            <v>599043.19999999995</v>
          </cell>
          <cell r="BT143">
            <v>3516920.2666666666</v>
          </cell>
          <cell r="BU143">
            <v>1862190</v>
          </cell>
          <cell r="BV143">
            <v>1596794.6015999999</v>
          </cell>
          <cell r="BW143">
            <v>607662</v>
          </cell>
          <cell r="BX143">
            <v>258746.4</v>
          </cell>
          <cell r="BY143">
            <v>4333750</v>
          </cell>
          <cell r="BZ143">
            <v>45719963.466666669</v>
          </cell>
          <cell r="CA143">
            <v>4325393.0016000001</v>
          </cell>
          <cell r="CB143">
            <v>52005000</v>
          </cell>
          <cell r="CC143">
            <v>9195000</v>
          </cell>
          <cell r="CD143">
            <v>15.024509803921568</v>
          </cell>
        </row>
        <row r="144">
          <cell r="F144" t="str">
            <v>황도훈</v>
          </cell>
          <cell r="G144" t="str">
            <v>사원</v>
          </cell>
          <cell r="H144" t="str">
            <v>고능</v>
          </cell>
          <cell r="I144" t="str">
            <v>고급기능사</v>
          </cell>
          <cell r="J144" t="str">
            <v>하도급(FTE)</v>
          </cell>
          <cell r="K144" t="str">
            <v>서비스 관제 엔지니어</v>
          </cell>
          <cell r="L144" t="str">
            <v>이영현 후임</v>
          </cell>
          <cell r="M144" t="str">
            <v>02-6343-8282</v>
          </cell>
          <cell r="N144" t="str">
            <v>010-9024-5059</v>
          </cell>
          <cell r="O144" t="str">
            <v>doh135@cnthoth.com</v>
          </cell>
          <cell r="P144" t="str">
            <v>000223-3</v>
          </cell>
          <cell r="Q144">
            <v>45167</v>
          </cell>
          <cell r="R144">
            <v>45167</v>
          </cell>
          <cell r="S144"/>
          <cell r="T144" t="str">
            <v>한국폴리텍대학</v>
          </cell>
          <cell r="U144" t="str">
            <v>스마트정보통신과</v>
          </cell>
          <cell r="V144" t="str">
            <v>전문대졸</v>
          </cell>
          <cell r="W144" t="str">
            <v>리눅스마스터2급</v>
          </cell>
          <cell r="X144" t="str">
            <v>네트워크관리사2급</v>
          </cell>
          <cell r="Z144">
            <v>986</v>
          </cell>
          <cell r="AA144">
            <v>986</v>
          </cell>
          <cell r="AB144"/>
          <cell r="AC144"/>
          <cell r="AD144" t="str">
            <v>SKT장안국사</v>
          </cell>
          <cell r="AE144" t="str">
            <v>서울특별시</v>
          </cell>
          <cell r="AF144" t="str">
            <v>3. 콜센터 &amp; 금융 &amp; 기타</v>
          </cell>
          <cell r="AG144" t="str">
            <v>3. 콜센터 &amp; 금융 &amp; 기타</v>
          </cell>
          <cell r="AH144" t="str">
            <v>SK AX</v>
          </cell>
          <cell r="AI144" t="str">
            <v>SKT(장안콜센터)</v>
          </cell>
          <cell r="AJ144" t="str">
            <v>이기홍</v>
          </cell>
          <cell r="AK144" t="str">
            <v>02635</v>
          </cell>
          <cell r="AL144" t="str">
            <v>서울시 동대문구 장한로3길 34 SKT 장안고객센터 구관 2층 시스템 운영실</v>
          </cell>
          <cell r="AM144" t="str">
            <v>04903</v>
          </cell>
          <cell r="AN144" t="str">
            <v>서울특별시 광진구 답십리로86길 15, 101호 (중곡동)</v>
          </cell>
          <cell r="AO144" t="str">
            <v>T Biz. Cloud팀</v>
          </cell>
          <cell r="AP144" t="str">
            <v>SKT_장안 콜센터 운영</v>
          </cell>
          <cell r="AQ144" t="str">
            <v>H/W 육안점검, 시스템 모니터링 및 장애 전파</v>
          </cell>
          <cell r="AS144" t="str">
            <v>고객사 공통 / 2026년_ICT운영171_1분기(4500303362-01)</v>
          </cell>
          <cell r="AT144" t="str">
            <v>스케줄</v>
          </cell>
          <cell r="AU144" t="str">
            <v>정직원</v>
          </cell>
          <cell r="AV144" t="str">
            <v>씨앤토트플러스㈜</v>
          </cell>
          <cell r="AW144">
            <v>4078000</v>
          </cell>
          <cell r="AX144">
            <v>4078000</v>
          </cell>
          <cell r="AY144">
            <v>12</v>
          </cell>
          <cell r="AZ144">
            <v>48936000</v>
          </cell>
          <cell r="BC144">
            <v>45839</v>
          </cell>
          <cell r="BD144">
            <v>29041320</v>
          </cell>
          <cell r="BE144">
            <v>29809200</v>
          </cell>
          <cell r="BF144">
            <v>29809200</v>
          </cell>
          <cell r="BG144">
            <v>2484100</v>
          </cell>
          <cell r="BH144">
            <v>1693000</v>
          </cell>
          <cell r="BI144">
            <v>12000.76</v>
          </cell>
          <cell r="BJ144">
            <v>157.74</v>
          </cell>
          <cell r="BK144">
            <v>32.590000000000003</v>
          </cell>
          <cell r="BL144">
            <v>65.900000000000006</v>
          </cell>
          <cell r="BM144">
            <v>195600</v>
          </cell>
          <cell r="BN144">
            <v>395500</v>
          </cell>
          <cell r="BO144">
            <v>200000</v>
          </cell>
          <cell r="BP144">
            <v>2898184</v>
          </cell>
          <cell r="BQ144" t="str">
            <v>적합</v>
          </cell>
          <cell r="BR144"/>
          <cell r="BS144">
            <v>1200076</v>
          </cell>
          <cell r="BT144">
            <v>2584106.3333333335</v>
          </cell>
          <cell r="BU144">
            <v>1301937</v>
          </cell>
          <cell r="BV144">
            <v>1116387.6796800001</v>
          </cell>
          <cell r="BW144">
            <v>424842.6</v>
          </cell>
          <cell r="BX144">
            <v>180900.72</v>
          </cell>
          <cell r="BY144">
            <v>3105125</v>
          </cell>
          <cell r="BZ144">
            <v>33593382.333333336</v>
          </cell>
          <cell r="CA144">
            <v>3024067.9996800004</v>
          </cell>
          <cell r="CB144">
            <v>37261500</v>
          </cell>
          <cell r="CC144">
            <v>8167697.3600000003</v>
          </cell>
          <cell r="CD144">
            <v>16.690570050678438</v>
          </cell>
        </row>
        <row r="145">
          <cell r="F145" t="str">
            <v>우현욱</v>
          </cell>
          <cell r="G145" t="str">
            <v>사원</v>
          </cell>
          <cell r="H145" t="str">
            <v>초급하</v>
          </cell>
          <cell r="I145" t="str">
            <v>초급기술자</v>
          </cell>
          <cell r="J145" t="str">
            <v>하도급(M/M)</v>
          </cell>
          <cell r="K145" t="str">
            <v>서비스 관제 엔지니어</v>
          </cell>
          <cell r="L145" t="str">
            <v>이영문 후임</v>
          </cell>
          <cell r="N145" t="str">
            <v>010-7452-2905</v>
          </cell>
          <cell r="O145" t="str">
            <v>woo2905@cnthoth.com</v>
          </cell>
          <cell r="P145" t="str">
            <v>981203-1</v>
          </cell>
          <cell r="Q145">
            <v>45187</v>
          </cell>
          <cell r="R145">
            <v>45187</v>
          </cell>
          <cell r="T145" t="str">
            <v>인제대학교</v>
          </cell>
          <cell r="U145" t="str">
            <v>정보통신학과</v>
          </cell>
          <cell r="V145" t="str">
            <v>대졸</v>
          </cell>
          <cell r="Z145">
            <v>673</v>
          </cell>
          <cell r="AA145">
            <v>966</v>
          </cell>
          <cell r="AB145">
            <v>46173</v>
          </cell>
          <cell r="AC145" t="str">
            <v>이직</v>
          </cell>
          <cell r="AD145" t="str">
            <v>이천HN_OP</v>
          </cell>
          <cell r="AE145" t="str">
            <v>경기도</v>
          </cell>
          <cell r="AF145" t="str">
            <v>4. SKB/SK하이닉스 Infra 운영</v>
          </cell>
          <cell r="AG145" t="str">
            <v>4. SKB/SK하이닉스 Infra 운영</v>
          </cell>
          <cell r="AH145" t="str">
            <v>SK AX</v>
          </cell>
          <cell r="AI145" t="str">
            <v>SK하이닉스(이천)</v>
          </cell>
          <cell r="AJ145" t="str">
            <v>임봉영</v>
          </cell>
          <cell r="AK145" t="str">
            <v>17336</v>
          </cell>
          <cell r="AL145" t="str">
            <v xml:space="preserve">경기도 이천시 부발읍 경충대로 2091, SK하이닉스 기술지원센터 2층 SKHDC2 </v>
          </cell>
          <cell r="AM145" t="str">
            <v>17332</v>
          </cell>
          <cell r="AN145" t="str">
            <v>경기도 이천시 부발읍 경충대로 2096-44, 1동 914호 (부발읍)</v>
          </cell>
          <cell r="AO145" t="str">
            <v>Hynix Cloud팀</v>
          </cell>
          <cell r="AP145" t="str">
            <v>이천 DC 운영</v>
          </cell>
          <cell r="AQ145" t="str">
            <v>H/W 육안점검, 시스템 모니터링 및 장애 전파</v>
          </cell>
          <cell r="AS145" t="str">
            <v>에스케이하이닉스(주) / SKHy '26년 ITO_데이타관제_1분기(4500303464-01)</v>
          </cell>
          <cell r="AT145" t="str">
            <v>스케줄</v>
          </cell>
          <cell r="AU145" t="str">
            <v>정직원</v>
          </cell>
          <cell r="AV145" t="str">
            <v>씨앤토트플러스㈜</v>
          </cell>
          <cell r="AW145">
            <v>4138000</v>
          </cell>
          <cell r="AX145">
            <v>4138000</v>
          </cell>
          <cell r="AY145">
            <v>12</v>
          </cell>
          <cell r="AZ145">
            <v>49656000</v>
          </cell>
          <cell r="BC145">
            <v>45839</v>
          </cell>
          <cell r="BD145">
            <v>29041080</v>
          </cell>
          <cell r="BE145">
            <v>29820000</v>
          </cell>
          <cell r="BF145">
            <v>29820000</v>
          </cell>
          <cell r="BG145">
            <v>2485000</v>
          </cell>
          <cell r="BH145">
            <v>1824700</v>
          </cell>
          <cell r="BI145">
            <v>11003.8</v>
          </cell>
          <cell r="BJ145">
            <v>184</v>
          </cell>
          <cell r="BK145">
            <v>38.020000000000003</v>
          </cell>
          <cell r="BL145">
            <v>45.63</v>
          </cell>
          <cell r="BM145">
            <v>209200</v>
          </cell>
          <cell r="BN145">
            <v>251100</v>
          </cell>
          <cell r="BO145">
            <v>200000</v>
          </cell>
          <cell r="BP145">
            <v>1993064</v>
          </cell>
          <cell r="BQ145" t="str">
            <v>적합</v>
          </cell>
          <cell r="BR145"/>
          <cell r="BS145">
            <v>1100380</v>
          </cell>
          <cell r="BT145">
            <v>2576698.3333333335</v>
          </cell>
          <cell r="BU145">
            <v>1302450</v>
          </cell>
          <cell r="BV145">
            <v>1116827.568</v>
          </cell>
          <cell r="BW145">
            <v>425010</v>
          </cell>
          <cell r="BX145">
            <v>180972</v>
          </cell>
          <cell r="BY145">
            <v>3106250</v>
          </cell>
          <cell r="BZ145">
            <v>33497078.333333332</v>
          </cell>
          <cell r="CA145">
            <v>3025259.568</v>
          </cell>
          <cell r="CB145">
            <v>37275000</v>
          </cell>
          <cell r="CC145">
            <v>9969392.5600000005</v>
          </cell>
          <cell r="CD145">
            <v>20.076914290317387</v>
          </cell>
        </row>
        <row r="146">
          <cell r="F146" t="str">
            <v>이상혁</v>
          </cell>
          <cell r="G146" t="str">
            <v>과장</v>
          </cell>
          <cell r="H146" t="str">
            <v>초급상</v>
          </cell>
          <cell r="I146" t="str">
            <v>초급기술자</v>
          </cell>
          <cell r="J146" t="str">
            <v>하도급(FTE)</v>
          </cell>
          <cell r="K146" t="str">
            <v>VDI 엔지니어</v>
          </cell>
          <cell r="L146" t="str">
            <v>홍순빈 후임</v>
          </cell>
          <cell r="M146"/>
          <cell r="N146" t="str">
            <v>010-2480-4263</v>
          </cell>
          <cell r="O146" t="str">
            <v>sanghk2@cnthoth.com</v>
          </cell>
          <cell r="P146" t="str">
            <v>941107-1</v>
          </cell>
          <cell r="Q146">
            <v>41365</v>
          </cell>
          <cell r="R146">
            <v>45194</v>
          </cell>
          <cell r="S146"/>
          <cell r="T146" t="str">
            <v>양영디지털고등학교</v>
          </cell>
          <cell r="U146" t="str">
            <v>네트워크과</v>
          </cell>
          <cell r="V146" t="str">
            <v>고졸</v>
          </cell>
          <cell r="W146" t="str">
            <v>네트워크관리사2급</v>
          </cell>
          <cell r="X146"/>
          <cell r="Y146"/>
          <cell r="Z146">
            <v>4788</v>
          </cell>
          <cell r="AA146">
            <v>959</v>
          </cell>
          <cell r="AB146"/>
          <cell r="AC146"/>
          <cell r="AD146" t="str">
            <v>SK㈜ U타워_정자</v>
          </cell>
          <cell r="AE146" t="str">
            <v>경기도</v>
          </cell>
          <cell r="AF146" t="str">
            <v>1. Infra 운영</v>
          </cell>
          <cell r="AG146" t="str">
            <v>1. Infra 운영</v>
          </cell>
          <cell r="AH146" t="str">
            <v>SK AX</v>
          </cell>
          <cell r="AI146" t="str">
            <v>SK그룹사(공통)</v>
          </cell>
          <cell r="AJ146" t="str">
            <v>최종범</v>
          </cell>
          <cell r="AK146">
            <v>13558</v>
          </cell>
          <cell r="AL146" t="str">
            <v>경기도 성남시 분당구 성남대로 343번길 9 SK U 타워 19층 VDI 센터</v>
          </cell>
          <cell r="AM146" t="str">
            <v>17035</v>
          </cell>
          <cell r="AN146" t="str">
            <v>경기도 용인시 처인구 모현읍 왕산로 14, 211동 5층 502호 (모현읍, 힐스테이트 몬테로이 2단지)</v>
          </cell>
          <cell r="AO146" t="str">
            <v>Cloud VDI팀</v>
          </cell>
          <cell r="AP146" t="str">
            <v>SKT/SKI VDI 운영</v>
          </cell>
          <cell r="AQ146" t="str">
            <v>VDI 구축 및 운영</v>
          </cell>
          <cell r="AR146" t="str">
            <v>SKT담당</v>
          </cell>
          <cell r="AS146" t="str">
            <v>고객사 공통 / 2026년_VDI_01_1분기 (4500303359-01)</v>
          </cell>
          <cell r="AT146" t="str">
            <v>통상</v>
          </cell>
          <cell r="AU146" t="str">
            <v>정직원</v>
          </cell>
          <cell r="AV146" t="str">
            <v>씨앤토트플러스㈜</v>
          </cell>
          <cell r="AW146">
            <v>4882000</v>
          </cell>
          <cell r="AX146">
            <v>4882000</v>
          </cell>
          <cell r="AY146">
            <v>12</v>
          </cell>
          <cell r="AZ146">
            <v>58584000</v>
          </cell>
          <cell r="BC146">
            <v>46023</v>
          </cell>
          <cell r="BD146">
            <v>35604000</v>
          </cell>
          <cell r="BE146">
            <v>37044000</v>
          </cell>
          <cell r="BF146">
            <v>38044800</v>
          </cell>
          <cell r="BG146">
            <v>3170400</v>
          </cell>
          <cell r="BH146">
            <v>2662200</v>
          </cell>
          <cell r="BI146">
            <v>13694.74</v>
          </cell>
          <cell r="BJ146">
            <v>209</v>
          </cell>
          <cell r="BK146">
            <v>15</v>
          </cell>
          <cell r="BL146">
            <v>0</v>
          </cell>
          <cell r="BM146">
            <v>308200</v>
          </cell>
          <cell r="BN146">
            <v>0</v>
          </cell>
          <cell r="BO146">
            <v>200000</v>
          </cell>
          <cell r="BP146">
            <v>0</v>
          </cell>
          <cell r="BQ146" t="str">
            <v>적합</v>
          </cell>
          <cell r="BR146"/>
          <cell r="BS146">
            <v>547789.6</v>
          </cell>
          <cell r="BT146">
            <v>3216049.1333333333</v>
          </cell>
          <cell r="BU146">
            <v>1693128</v>
          </cell>
          <cell r="BV146">
            <v>1451826.9619199997</v>
          </cell>
          <cell r="BW146">
            <v>552494.4</v>
          </cell>
          <cell r="BX146">
            <v>235255.67999999999</v>
          </cell>
          <cell r="BY146">
            <v>3963000</v>
          </cell>
          <cell r="BZ146">
            <v>41808638.733333334</v>
          </cell>
          <cell r="CA146">
            <v>3932705.0419199998</v>
          </cell>
          <cell r="CB146">
            <v>47556000</v>
          </cell>
          <cell r="CC146">
            <v>11028000</v>
          </cell>
          <cell r="CD146">
            <v>18.82425235559197</v>
          </cell>
        </row>
        <row r="147">
          <cell r="F147" t="str">
            <v>심규창</v>
          </cell>
          <cell r="G147" t="str">
            <v>사원</v>
          </cell>
          <cell r="H147" t="str">
            <v>초급하</v>
          </cell>
          <cell r="I147" t="str">
            <v>초급기술자</v>
          </cell>
          <cell r="J147" t="str">
            <v>하도급(M/M)</v>
          </cell>
          <cell r="K147" t="str">
            <v>네트워크엔지니어</v>
          </cell>
          <cell r="L147" t="str">
            <v>2024_신규</v>
          </cell>
          <cell r="M147"/>
          <cell r="N147" t="str">
            <v>010-4911-5596</v>
          </cell>
          <cell r="O147" t="str">
            <v>sgc6514@cnthoth.com</v>
          </cell>
          <cell r="P147" t="str">
            <v>951225-1</v>
          </cell>
          <cell r="Q147">
            <v>44317</v>
          </cell>
          <cell r="R147">
            <v>45217</v>
          </cell>
          <cell r="S147"/>
          <cell r="T147" t="str">
            <v>세명대학교</v>
          </cell>
          <cell r="U147" t="str">
            <v>소방학과</v>
          </cell>
          <cell r="V147" t="str">
            <v>대학교중퇴</v>
          </cell>
          <cell r="W147" t="str">
            <v>네트워크관리사2급</v>
          </cell>
          <cell r="Z147">
            <v>1836</v>
          </cell>
          <cell r="AA147">
            <v>936</v>
          </cell>
          <cell r="AB147"/>
          <cell r="AC147"/>
          <cell r="AD147" t="str">
            <v>SK하이닉스_이천</v>
          </cell>
          <cell r="AE147" t="str">
            <v>경기도</v>
          </cell>
          <cell r="AF147" t="str">
            <v>4. SKB/SK하이닉스 Infra 운영</v>
          </cell>
          <cell r="AG147" t="str">
            <v>4. SKB/SK하이닉스 Infra 운영</v>
          </cell>
          <cell r="AH147" t="str">
            <v>SK AX</v>
          </cell>
          <cell r="AI147" t="str">
            <v>SK하이닉스(이천)</v>
          </cell>
          <cell r="AJ147" t="str">
            <v>이은서</v>
          </cell>
          <cell r="AK147" t="str">
            <v>17336</v>
          </cell>
          <cell r="AL147" t="str">
            <v xml:space="preserve">경기도 이천시 부발읍 경충대로 2091, SK하이닉스 기술지원센터 2층 SKHDC2 </v>
          </cell>
          <cell r="AM147" t="str">
            <v>26441</v>
          </cell>
          <cell r="AN147" t="str">
            <v>강원특별자치도 원주시 남원로 661, 2동 409호 (명륜동, 세경아파트(1차))</v>
          </cell>
          <cell r="AO147" t="str">
            <v>Hynix Cloud팀</v>
          </cell>
          <cell r="AP147" t="str">
            <v>SK하이닉스 네트워크 운영</v>
          </cell>
          <cell r="AQ147" t="str">
            <v>N/W 운영</v>
          </cell>
          <cell r="AR147" t="str">
            <v>/ NW 구축지원, 자산관리</v>
          </cell>
          <cell r="AS147" t="str">
            <v>에스케이하이닉스(주) / SKHy '26년 ITO_인프라_1분기(4500303686-01)</v>
          </cell>
          <cell r="AT147" t="str">
            <v>통상</v>
          </cell>
          <cell r="AU147" t="str">
            <v>정직원</v>
          </cell>
          <cell r="AV147" t="str">
            <v>씨앤토트플러스㈜</v>
          </cell>
          <cell r="AW147">
            <v>5100000</v>
          </cell>
          <cell r="AX147">
            <v>5100000</v>
          </cell>
          <cell r="AY147">
            <v>12</v>
          </cell>
          <cell r="AZ147">
            <v>61200000</v>
          </cell>
          <cell r="BC147">
            <v>45839</v>
          </cell>
          <cell r="BD147">
            <v>31200000</v>
          </cell>
          <cell r="BE147">
            <v>33600000</v>
          </cell>
          <cell r="BF147">
            <v>33600000</v>
          </cell>
          <cell r="BG147">
            <v>2800000</v>
          </cell>
          <cell r="BH147">
            <v>2327800</v>
          </cell>
          <cell r="BI147">
            <v>12094.74</v>
          </cell>
          <cell r="BJ147">
            <v>209</v>
          </cell>
          <cell r="BK147">
            <v>15</v>
          </cell>
          <cell r="BL147">
            <v>0</v>
          </cell>
          <cell r="BM147">
            <v>272200</v>
          </cell>
          <cell r="BN147">
            <v>0</v>
          </cell>
          <cell r="BO147">
            <v>200000</v>
          </cell>
          <cell r="BP147">
            <v>0</v>
          </cell>
          <cell r="BQ147" t="str">
            <v>적합</v>
          </cell>
          <cell r="BR147"/>
          <cell r="BS147">
            <v>483789.6</v>
          </cell>
          <cell r="BT147">
            <v>2840315.8</v>
          </cell>
          <cell r="BU147">
            <v>1482000</v>
          </cell>
          <cell r="BV147">
            <v>1270788.48</v>
          </cell>
          <cell r="BW147">
            <v>483600</v>
          </cell>
          <cell r="BX147">
            <v>205920</v>
          </cell>
          <cell r="BY147">
            <v>3500000</v>
          </cell>
          <cell r="BZ147">
            <v>36924105.399999999</v>
          </cell>
          <cell r="CA147">
            <v>3442308.48</v>
          </cell>
          <cell r="CB147">
            <v>42000000</v>
          </cell>
          <cell r="CC147">
            <v>19200000</v>
          </cell>
          <cell r="CD147">
            <v>31.372549019607842</v>
          </cell>
        </row>
        <row r="148">
          <cell r="F148" t="str">
            <v>지성근</v>
          </cell>
          <cell r="G148" t="str">
            <v>사원</v>
          </cell>
          <cell r="H148" t="str">
            <v>초급상</v>
          </cell>
          <cell r="I148" t="str">
            <v>초급기술자</v>
          </cell>
          <cell r="J148" t="str">
            <v>하도급(M/M)</v>
          </cell>
          <cell r="K148" t="str">
            <v>IT 인프라 현장대응 엔지니어</v>
          </cell>
          <cell r="L148" t="str">
            <v>김현규 후임</v>
          </cell>
          <cell r="M148"/>
          <cell r="N148" t="str">
            <v>010-8817-6401</v>
          </cell>
          <cell r="O148" t="str">
            <v>cellulargo@cnthoth.com</v>
          </cell>
          <cell r="P148" t="str">
            <v>940819-1</v>
          </cell>
          <cell r="Q148">
            <v>45261</v>
          </cell>
          <cell r="R148">
            <v>45261</v>
          </cell>
          <cell r="S148"/>
          <cell r="T148" t="str">
            <v>학점은행제</v>
          </cell>
          <cell r="U148" t="str">
            <v>정보보안과</v>
          </cell>
          <cell r="V148" t="str">
            <v>전문대졸</v>
          </cell>
          <cell r="Z148">
            <v>892</v>
          </cell>
          <cell r="AA148">
            <v>892</v>
          </cell>
          <cell r="AB148"/>
          <cell r="AC148"/>
          <cell r="AD148" t="str">
            <v>이천HN_대응</v>
          </cell>
          <cell r="AE148" t="str">
            <v>경기도</v>
          </cell>
          <cell r="AF148" t="str">
            <v>4. SKB/SK하이닉스 Infra 운영</v>
          </cell>
          <cell r="AG148" t="str">
            <v>4. SKB/SK하이닉스 Infra 운영</v>
          </cell>
          <cell r="AH148" t="str">
            <v>SK AX</v>
          </cell>
          <cell r="AI148" t="str">
            <v>SK하이닉스(이천)</v>
          </cell>
          <cell r="AJ148" t="str">
            <v>임봉영</v>
          </cell>
          <cell r="AK148" t="str">
            <v>17336</v>
          </cell>
          <cell r="AL148" t="str">
            <v xml:space="preserve">경기도 이천시 부발읍 경충대로 2091, SK하이닉스 기술지원센터 2층 SKHDC2 </v>
          </cell>
          <cell r="AM148" t="str">
            <v>17357</v>
          </cell>
          <cell r="AN148" t="str">
            <v>경기도 이천시 이섭대천로 1304-19, B동 302호 (창전동, 창전빌라)</v>
          </cell>
          <cell r="AO148" t="str">
            <v>Hynix Cloud팀</v>
          </cell>
          <cell r="AP148" t="str">
            <v>인프라 장애 긴급 대응</v>
          </cell>
          <cell r="AQ148" t="str">
            <v>인프라 장비 장애 발생시 현장대응</v>
          </cell>
          <cell r="AS148" t="str">
            <v>에스케이하이닉스(주) / SKHy '26년 ITO_데이타관제_1분기(4500303464-01)</v>
          </cell>
          <cell r="AT148" t="str">
            <v>스케줄</v>
          </cell>
          <cell r="AU148" t="str">
            <v>정직원</v>
          </cell>
          <cell r="AV148" t="str">
            <v>씨앤토트플러스㈜</v>
          </cell>
          <cell r="AW148">
            <v>5151000</v>
          </cell>
          <cell r="AX148">
            <v>5151000</v>
          </cell>
          <cell r="AY148">
            <v>12</v>
          </cell>
          <cell r="AZ148">
            <v>61812000</v>
          </cell>
          <cell r="BC148">
            <v>45839</v>
          </cell>
          <cell r="BD148">
            <v>29042280</v>
          </cell>
          <cell r="BE148">
            <v>31922400</v>
          </cell>
          <cell r="BF148">
            <v>31922400</v>
          </cell>
          <cell r="BG148">
            <v>2660200</v>
          </cell>
          <cell r="BH148">
            <v>1887200</v>
          </cell>
          <cell r="BI148">
            <v>13352.1</v>
          </cell>
          <cell r="BJ148">
            <v>156.32000000000002</v>
          </cell>
          <cell r="BK148">
            <v>36.39</v>
          </cell>
          <cell r="BL148">
            <v>49.43</v>
          </cell>
          <cell r="BM148">
            <v>243000</v>
          </cell>
          <cell r="BN148">
            <v>330000</v>
          </cell>
          <cell r="BO148">
            <v>200000</v>
          </cell>
          <cell r="BP148">
            <v>2513533</v>
          </cell>
          <cell r="BQ148" t="str">
            <v>적합</v>
          </cell>
          <cell r="BR148"/>
          <cell r="BS148">
            <v>1335210</v>
          </cell>
          <cell r="BT148">
            <v>2771467.5</v>
          </cell>
          <cell r="BU148">
            <v>1402314</v>
          </cell>
          <cell r="BV148">
            <v>1202459.16096</v>
          </cell>
          <cell r="BW148">
            <v>457597.2</v>
          </cell>
          <cell r="BX148">
            <v>194847.84</v>
          </cell>
          <cell r="BY148">
            <v>3325250</v>
          </cell>
          <cell r="BZ148">
            <v>36029077.5</v>
          </cell>
          <cell r="CA148">
            <v>3257218.20096</v>
          </cell>
          <cell r="CB148">
            <v>39903000</v>
          </cell>
          <cell r="CC148">
            <v>18867625.07</v>
          </cell>
          <cell r="CD148">
            <v>30.524210622532845</v>
          </cell>
        </row>
        <row r="149">
          <cell r="F149" t="str">
            <v>조예덕</v>
          </cell>
          <cell r="G149" t="str">
            <v>사원</v>
          </cell>
          <cell r="H149" t="str">
            <v>초급상</v>
          </cell>
          <cell r="I149" t="str">
            <v>초급기술자</v>
          </cell>
          <cell r="J149" t="str">
            <v>하도급(FTE)</v>
          </cell>
          <cell r="K149" t="str">
            <v>NOC 엔지니어</v>
          </cell>
          <cell r="L149" t="str">
            <v>김경호 후임</v>
          </cell>
          <cell r="M149"/>
          <cell r="N149" t="str">
            <v>010-8772-6752</v>
          </cell>
          <cell r="O149" t="str">
            <v>Zafuki@cnthoth.com</v>
          </cell>
          <cell r="P149" t="str">
            <v>990507-1</v>
          </cell>
          <cell r="Q149">
            <v>45292</v>
          </cell>
          <cell r="R149">
            <v>45292</v>
          </cell>
          <cell r="S149"/>
          <cell r="T149" t="str">
            <v>동서울대학교</v>
          </cell>
          <cell r="U149" t="str">
            <v>정보통신과</v>
          </cell>
          <cell r="V149" t="str">
            <v>전문대졸</v>
          </cell>
          <cell r="W149" t="str">
            <v>리눅스마스터 2급</v>
          </cell>
          <cell r="X149"/>
          <cell r="Y149"/>
          <cell r="Z149">
            <v>861</v>
          </cell>
          <cell r="AA149">
            <v>861</v>
          </cell>
          <cell r="AB149"/>
          <cell r="AC149"/>
          <cell r="AD149" t="str">
            <v>판교NOC</v>
          </cell>
          <cell r="AE149" t="str">
            <v>경기도</v>
          </cell>
          <cell r="AF149" t="str">
            <v>2. Network Service</v>
          </cell>
          <cell r="AG149" t="str">
            <v>2. Network Service</v>
          </cell>
          <cell r="AH149" t="str">
            <v>SK AX</v>
          </cell>
          <cell r="AI149" t="str">
            <v>SK그룹사(공통)</v>
          </cell>
          <cell r="AJ149" t="str">
            <v>최재유</v>
          </cell>
          <cell r="AK149">
            <v>13486</v>
          </cell>
          <cell r="AL149" t="str">
            <v>경기도 성남시 분당구 판교로 255번길 46 SK C&amp;C 판교캠퍼스 A동 4층</v>
          </cell>
          <cell r="AM149" t="str">
            <v>02211</v>
          </cell>
          <cell r="AN149" t="str">
            <v>서울특별시 중랑구 면목로44마길 36-1 (면목동)</v>
          </cell>
          <cell r="AO149" t="str">
            <v>Network Service팀</v>
          </cell>
          <cell r="AP149" t="str">
            <v>SK공통 NOC 운영</v>
          </cell>
          <cell r="AQ149" t="str">
            <v>N/W 관제, 장애 조치</v>
          </cell>
          <cell r="AS149" t="str">
            <v>고객사 공통 / 2026년_인프라운영_HC11_1분기(4500303149-01)</v>
          </cell>
          <cell r="AT149" t="str">
            <v>스케줄</v>
          </cell>
          <cell r="AU149" t="str">
            <v>정직원</v>
          </cell>
          <cell r="AV149" t="str">
            <v>씨앤토트플러스㈜</v>
          </cell>
          <cell r="AW149">
            <v>4413000</v>
          </cell>
          <cell r="AX149">
            <v>4413000</v>
          </cell>
          <cell r="AY149">
            <v>12</v>
          </cell>
          <cell r="AZ149">
            <v>52956000</v>
          </cell>
          <cell r="BA149"/>
          <cell r="BB149"/>
          <cell r="BC149">
            <v>45839</v>
          </cell>
          <cell r="BD149">
            <v>29040720</v>
          </cell>
          <cell r="BE149">
            <v>29869200</v>
          </cell>
          <cell r="BF149">
            <v>29869200</v>
          </cell>
          <cell r="BG149">
            <v>2489100</v>
          </cell>
          <cell r="BH149">
            <v>1947500</v>
          </cell>
          <cell r="BI149">
            <v>11228.17</v>
          </cell>
          <cell r="BJ149">
            <v>191.26</v>
          </cell>
          <cell r="BK149">
            <v>27.88</v>
          </cell>
          <cell r="BL149">
            <v>32.950000000000003</v>
          </cell>
          <cell r="BM149">
            <v>156600</v>
          </cell>
          <cell r="BN149">
            <v>185000</v>
          </cell>
          <cell r="BO149">
            <v>200000</v>
          </cell>
          <cell r="BP149">
            <v>645953</v>
          </cell>
          <cell r="BQ149" t="str">
            <v>적합</v>
          </cell>
          <cell r="BR149">
            <v>250000</v>
          </cell>
          <cell r="BS149">
            <v>1122817</v>
          </cell>
          <cell r="BT149">
            <v>2582668.0833333335</v>
          </cell>
          <cell r="BU149">
            <v>1304787</v>
          </cell>
          <cell r="BV149">
            <v>1118831.5036799998</v>
          </cell>
          <cell r="BW149">
            <v>425772.6</v>
          </cell>
          <cell r="BX149">
            <v>181296.72</v>
          </cell>
          <cell r="BY149">
            <v>3111375</v>
          </cell>
          <cell r="BZ149">
            <v>33574685.083333336</v>
          </cell>
          <cell r="CA149">
            <v>3030687.8236800004</v>
          </cell>
          <cell r="CB149">
            <v>37336500</v>
          </cell>
          <cell r="CC149">
            <v>14837896.869999999</v>
          </cell>
          <cell r="CD149">
            <v>28.01929313014578</v>
          </cell>
        </row>
        <row r="150">
          <cell r="F150" t="str">
            <v>오의영</v>
          </cell>
          <cell r="G150" t="str">
            <v>사원</v>
          </cell>
          <cell r="H150" t="str">
            <v>초급하</v>
          </cell>
          <cell r="I150" t="str">
            <v>초급기술자</v>
          </cell>
          <cell r="J150" t="str">
            <v>하도급(M/M)</v>
          </cell>
          <cell r="K150" t="str">
            <v>서비스 관제 엔지니어</v>
          </cell>
          <cell r="L150" t="str">
            <v>이한웅 후임</v>
          </cell>
          <cell r="M150"/>
          <cell r="N150" t="str">
            <v>010-8954-6063</v>
          </cell>
          <cell r="O150" t="str">
            <v>ouy520@cnthoth.com</v>
          </cell>
          <cell r="P150" t="str">
            <v>990609-1</v>
          </cell>
          <cell r="Q150">
            <v>45306</v>
          </cell>
          <cell r="R150">
            <v>45306</v>
          </cell>
          <cell r="S150"/>
          <cell r="T150" t="str">
            <v>서원대학교</v>
          </cell>
          <cell r="U150" t="str">
            <v>정보통신공학과</v>
          </cell>
          <cell r="V150" t="str">
            <v>전문대졸</v>
          </cell>
          <cell r="W150" t="str">
            <v>AZ-900</v>
          </cell>
          <cell r="X150"/>
          <cell r="Y150"/>
          <cell r="Z150">
            <v>847</v>
          </cell>
          <cell r="AA150">
            <v>847</v>
          </cell>
          <cell r="AB150"/>
          <cell r="AC150"/>
          <cell r="AD150" t="str">
            <v>청주HN_OP</v>
          </cell>
          <cell r="AE150" t="str">
            <v>경기도외</v>
          </cell>
          <cell r="AF150" t="str">
            <v>4. SKB/SK하이닉스 Infra 운영</v>
          </cell>
          <cell r="AG150" t="str">
            <v>4. SKB/SK하이닉스 Infra 운영</v>
          </cell>
          <cell r="AH150" t="str">
            <v>SK AX</v>
          </cell>
          <cell r="AI150" t="str">
            <v>SK하이닉스(청주)</v>
          </cell>
          <cell r="AJ150" t="str">
            <v>곽경석</v>
          </cell>
          <cell r="AK150" t="str">
            <v>28436</v>
          </cell>
          <cell r="AL150" t="str">
            <v>충청북도 청주시 흥덕구 직지대로 337 (향정동) , SKHDC4 (M11 3F)</v>
          </cell>
          <cell r="AM150">
            <v>34308</v>
          </cell>
          <cell r="AN150" t="str">
            <v>대전광역시 대덕구 대청로64번길 41, 201동 502호 (신탄진동, 대우새여울아파트)</v>
          </cell>
          <cell r="AO150" t="str">
            <v>Hynix Cloud팀</v>
          </cell>
          <cell r="AP150" t="str">
            <v>청주 DC 운영</v>
          </cell>
          <cell r="AQ150" t="str">
            <v>H/W 육안점검, 시스템 모니터링 및 장애 전파</v>
          </cell>
          <cell r="AR150"/>
          <cell r="AS150" t="str">
            <v>에스케이하이닉스(주) / SKHy '26년 ITO_데이타관제_1분기(4500303464-01)</v>
          </cell>
          <cell r="AT150" t="str">
            <v>스케줄</v>
          </cell>
          <cell r="AU150" t="str">
            <v>정직원</v>
          </cell>
          <cell r="AV150" t="str">
            <v>씨앤토트플러스㈜</v>
          </cell>
          <cell r="AW150">
            <v>4179000</v>
          </cell>
          <cell r="AX150">
            <v>4179000</v>
          </cell>
          <cell r="AY150">
            <v>12</v>
          </cell>
          <cell r="AZ150">
            <v>50148000</v>
          </cell>
          <cell r="BA150"/>
          <cell r="BB150"/>
          <cell r="BC150">
            <v>45839</v>
          </cell>
          <cell r="BD150">
            <v>29040600</v>
          </cell>
          <cell r="BE150">
            <v>29809200</v>
          </cell>
          <cell r="BF150">
            <v>29809200</v>
          </cell>
          <cell r="BG150">
            <v>2484100</v>
          </cell>
          <cell r="BH150">
            <v>1976700</v>
          </cell>
          <cell r="BI150">
            <v>11094.86</v>
          </cell>
          <cell r="BJ150">
            <v>196.19</v>
          </cell>
          <cell r="BK150">
            <v>2.17</v>
          </cell>
          <cell r="BL150">
            <v>53.23</v>
          </cell>
          <cell r="BM150">
            <v>12100</v>
          </cell>
          <cell r="BN150">
            <v>295300</v>
          </cell>
          <cell r="BO150">
            <v>200000</v>
          </cell>
          <cell r="BP150">
            <v>2009557</v>
          </cell>
          <cell r="BQ150" t="str">
            <v>적합</v>
          </cell>
          <cell r="BR150"/>
          <cell r="BS150">
            <v>1109486</v>
          </cell>
          <cell r="BT150">
            <v>2576557.1666666665</v>
          </cell>
          <cell r="BU150">
            <v>1301937</v>
          </cell>
          <cell r="BV150">
            <v>1116387.6796800001</v>
          </cell>
          <cell r="BW150">
            <v>424842.6</v>
          </cell>
          <cell r="BX150">
            <v>180900.72</v>
          </cell>
          <cell r="BY150">
            <v>3105125</v>
          </cell>
          <cell r="BZ150">
            <v>33495243.166666668</v>
          </cell>
          <cell r="CA150">
            <v>3024067.9996800004</v>
          </cell>
          <cell r="CB150">
            <v>37261500</v>
          </cell>
          <cell r="CC150">
            <v>10454936.030000001</v>
          </cell>
          <cell r="CD150">
            <v>20.84816150195422</v>
          </cell>
        </row>
        <row r="151">
          <cell r="F151" t="str">
            <v>유승현</v>
          </cell>
          <cell r="G151" t="str">
            <v>사원</v>
          </cell>
          <cell r="H151" t="str">
            <v>초급상</v>
          </cell>
          <cell r="I151" t="str">
            <v>초급기술자</v>
          </cell>
          <cell r="J151" t="str">
            <v>하도급(FTE)</v>
          </cell>
          <cell r="K151" t="str">
            <v>네트워크엔지니어</v>
          </cell>
          <cell r="L151" t="str">
            <v>유호진 후임</v>
          </cell>
          <cell r="M151"/>
          <cell r="N151" t="str">
            <v>010-4153-7579</v>
          </cell>
          <cell r="O151" t="str">
            <v>yush97@cnthoth.com</v>
          </cell>
          <cell r="P151" t="str">
            <v>970311-1</v>
          </cell>
          <cell r="Q151">
            <v>45315</v>
          </cell>
          <cell r="R151">
            <v>45315</v>
          </cell>
          <cell r="S151"/>
          <cell r="T151" t="str">
            <v>대구가톨릭대학교</v>
          </cell>
          <cell r="U151" t="str">
            <v>스마트IOT공학부</v>
          </cell>
          <cell r="V151" t="str">
            <v>대졸</v>
          </cell>
          <cell r="W151" t="str">
            <v>정보통신기사</v>
          </cell>
          <cell r="X151" t="str">
            <v>네트워크관리사2급</v>
          </cell>
          <cell r="Y151" t="str">
            <v>리눅스마스터2급</v>
          </cell>
          <cell r="Z151">
            <v>838</v>
          </cell>
          <cell r="AA151">
            <v>838</v>
          </cell>
          <cell r="AB151"/>
          <cell r="AC151"/>
          <cell r="AD151" t="str">
            <v>SKT_보라매 7F</v>
          </cell>
          <cell r="AE151" t="str">
            <v>서울특별시</v>
          </cell>
          <cell r="AF151" t="str">
            <v>2. Network Service</v>
          </cell>
          <cell r="AG151" t="str">
            <v>2. Network Service</v>
          </cell>
          <cell r="AH151" t="str">
            <v>SK AX</v>
          </cell>
          <cell r="AI151" t="str">
            <v>SKT(보라매)</v>
          </cell>
          <cell r="AJ151" t="str">
            <v>임영준</v>
          </cell>
          <cell r="AK151" t="str">
            <v>08708</v>
          </cell>
          <cell r="AL151" t="str">
            <v>서울시 관악구 보라매로5길 1  SK텔레콤빌딩 7F (봉천동)</v>
          </cell>
          <cell r="AM151" t="str">
            <v>41426</v>
          </cell>
          <cell r="AN151" t="str">
            <v>대구광역시 북구 동천로24길 12, 207동 601호 (동천동, 부영그린타운)</v>
          </cell>
          <cell r="AO151" t="str">
            <v>Network Service팀</v>
          </cell>
          <cell r="AP151" t="str">
            <v>SK공통 NOC 운영</v>
          </cell>
          <cell r="AQ151" t="str">
            <v>N/W 모니터링 및 장애처리</v>
          </cell>
          <cell r="AS151" t="str">
            <v>고객사 공통 / 2026년_인프라운영_HC11_1분기(4500303149-01)</v>
          </cell>
          <cell r="AT151" t="str">
            <v>통상</v>
          </cell>
          <cell r="AU151" t="str">
            <v>정직원</v>
          </cell>
          <cell r="AV151" t="str">
            <v>씨앤토트플러스㈜</v>
          </cell>
          <cell r="AW151">
            <v>3993000</v>
          </cell>
          <cell r="AX151">
            <v>3993000</v>
          </cell>
          <cell r="AY151">
            <v>12</v>
          </cell>
          <cell r="AZ151">
            <v>47916000</v>
          </cell>
          <cell r="BA151"/>
          <cell r="BB151"/>
          <cell r="BC151">
            <v>45839</v>
          </cell>
          <cell r="BD151">
            <v>29041080</v>
          </cell>
          <cell r="BE151">
            <v>30001200</v>
          </cell>
          <cell r="BF151">
            <v>30001200</v>
          </cell>
          <cell r="BG151">
            <v>2500100</v>
          </cell>
          <cell r="BH151">
            <v>2057100</v>
          </cell>
          <cell r="BI151">
            <v>10799.52</v>
          </cell>
          <cell r="BJ151">
            <v>209</v>
          </cell>
          <cell r="BK151">
            <v>15</v>
          </cell>
          <cell r="BL151">
            <v>0</v>
          </cell>
          <cell r="BM151">
            <v>243000</v>
          </cell>
          <cell r="BN151">
            <v>0</v>
          </cell>
          <cell r="BO151">
            <v>200000</v>
          </cell>
          <cell r="BP151">
            <v>0</v>
          </cell>
          <cell r="BQ151" t="str">
            <v>적합</v>
          </cell>
          <cell r="BR151">
            <v>250000</v>
          </cell>
          <cell r="BS151">
            <v>431980.80000000005</v>
          </cell>
          <cell r="BT151">
            <v>2536098.4</v>
          </cell>
          <cell r="BU151">
            <v>1311057</v>
          </cell>
          <cell r="BV151">
            <v>1124207.9164799999</v>
          </cell>
          <cell r="BW151">
            <v>427818.6</v>
          </cell>
          <cell r="BX151">
            <v>182167.92</v>
          </cell>
          <cell r="BY151">
            <v>3125125</v>
          </cell>
          <cell r="BZ151">
            <v>32969279.199999999</v>
          </cell>
          <cell r="CA151">
            <v>3045251.4364800001</v>
          </cell>
          <cell r="CB151">
            <v>37501500</v>
          </cell>
          <cell r="CC151">
            <v>10414500</v>
          </cell>
          <cell r="CD151">
            <v>21.734911094415228</v>
          </cell>
        </row>
        <row r="152">
          <cell r="F152" t="str">
            <v>권태우</v>
          </cell>
          <cell r="G152" t="str">
            <v>사원</v>
          </cell>
          <cell r="H152" t="str">
            <v>초급하</v>
          </cell>
          <cell r="I152" t="str">
            <v>초급기술자</v>
          </cell>
          <cell r="J152" t="str">
            <v>하도급(M/M)</v>
          </cell>
          <cell r="K152" t="str">
            <v>서비스 관제 엔지니어</v>
          </cell>
          <cell r="L152" t="str">
            <v>고미르 후임</v>
          </cell>
          <cell r="M152"/>
          <cell r="N152" t="str">
            <v>010-9006-0289</v>
          </cell>
          <cell r="O152" t="str">
            <v>wotbi@cnthoth.com</v>
          </cell>
          <cell r="P152" t="str">
            <v>990528-1</v>
          </cell>
          <cell r="Q152">
            <v>44682</v>
          </cell>
          <cell r="R152">
            <v>45327</v>
          </cell>
          <cell r="S152"/>
          <cell r="T152" t="str">
            <v>여주대학교</v>
          </cell>
          <cell r="U152" t="str">
            <v>컴퓨터정보과</v>
          </cell>
          <cell r="V152" t="str">
            <v>전문대졸</v>
          </cell>
          <cell r="W152"/>
          <cell r="X152"/>
          <cell r="Y152"/>
          <cell r="Z152">
            <v>1471</v>
          </cell>
          <cell r="AA152">
            <v>826</v>
          </cell>
          <cell r="AB152"/>
          <cell r="AC152"/>
          <cell r="AD152" t="str">
            <v>이천HN_OP</v>
          </cell>
          <cell r="AE152" t="str">
            <v>경기도</v>
          </cell>
          <cell r="AF152" t="str">
            <v>4. SKB/SK하이닉스 Infra 운영</v>
          </cell>
          <cell r="AG152" t="str">
            <v>4. SKB/SK하이닉스 Infra 운영</v>
          </cell>
          <cell r="AH152" t="str">
            <v>SK AX</v>
          </cell>
          <cell r="AI152" t="str">
            <v>SK하이닉스(이천)</v>
          </cell>
          <cell r="AJ152" t="str">
            <v>임봉영</v>
          </cell>
          <cell r="AK152" t="str">
            <v>17336</v>
          </cell>
          <cell r="AL152" t="str">
            <v xml:space="preserve">경기도 이천시 부발읍 경충대로 2091, SK하이닉스 기술지원센터 2층 SKHDC2 </v>
          </cell>
          <cell r="AM152" t="str">
            <v>17371</v>
          </cell>
          <cell r="AN152" t="str">
            <v>경기도 이천시 애련정로96번길 5-1, 2층 (창전동)</v>
          </cell>
          <cell r="AO152" t="str">
            <v>Hynix Cloud팀</v>
          </cell>
          <cell r="AP152" t="str">
            <v>이천 DC 운영</v>
          </cell>
          <cell r="AQ152" t="str">
            <v>H/W 육안점검, 시스템 모니터링 및 장애 전파</v>
          </cell>
          <cell r="AR152"/>
          <cell r="AS152" t="str">
            <v>에스케이하이닉스(주) / SKHy '26년 ITO_데이타관제_1분기(4500303464-01)</v>
          </cell>
          <cell r="AT152" t="str">
            <v>스케줄</v>
          </cell>
          <cell r="AU152" t="str">
            <v>정직원</v>
          </cell>
          <cell r="AV152" t="str">
            <v>씨앤토트플러스㈜</v>
          </cell>
          <cell r="AW152">
            <v>4138000</v>
          </cell>
          <cell r="AX152">
            <v>4138000</v>
          </cell>
          <cell r="AY152">
            <v>12</v>
          </cell>
          <cell r="AZ152">
            <v>49656000</v>
          </cell>
          <cell r="BA152"/>
          <cell r="BB152"/>
          <cell r="BC152">
            <v>45839</v>
          </cell>
          <cell r="BD152">
            <v>30001680</v>
          </cell>
          <cell r="BE152">
            <v>30781200</v>
          </cell>
          <cell r="BF152">
            <v>30781200</v>
          </cell>
          <cell r="BG152">
            <v>2565100</v>
          </cell>
          <cell r="BH152">
            <v>1889900</v>
          </cell>
          <cell r="BI152">
            <v>11358.15</v>
          </cell>
          <cell r="BJ152">
            <v>184</v>
          </cell>
          <cell r="BK152">
            <v>38.020000000000003</v>
          </cell>
          <cell r="BL152">
            <v>45.63</v>
          </cell>
          <cell r="BM152">
            <v>216000</v>
          </cell>
          <cell r="BN152">
            <v>259200</v>
          </cell>
          <cell r="BO152">
            <v>200000</v>
          </cell>
          <cell r="BP152">
            <v>2057245</v>
          </cell>
          <cell r="BQ152" t="str">
            <v>적합</v>
          </cell>
          <cell r="BR152"/>
          <cell r="BS152">
            <v>1135815</v>
          </cell>
          <cell r="BT152">
            <v>2659751.25</v>
          </cell>
          <cell r="BU152">
            <v>1348107</v>
          </cell>
          <cell r="BV152">
            <v>1155977.62848</v>
          </cell>
          <cell r="BW152">
            <v>439908.6</v>
          </cell>
          <cell r="BX152">
            <v>187315.92</v>
          </cell>
          <cell r="BY152">
            <v>3206375</v>
          </cell>
          <cell r="BZ152">
            <v>34576766.25</v>
          </cell>
          <cell r="CA152">
            <v>3131309.14848</v>
          </cell>
          <cell r="CB152">
            <v>38476500</v>
          </cell>
          <cell r="CC152">
            <v>8690233.5500000007</v>
          </cell>
          <cell r="CD152">
            <v>17.500873106975998</v>
          </cell>
        </row>
        <row r="153">
          <cell r="F153" t="str">
            <v>김규민</v>
          </cell>
          <cell r="G153" t="str">
            <v>사원</v>
          </cell>
          <cell r="H153" t="str">
            <v>고능</v>
          </cell>
          <cell r="I153" t="str">
            <v>고급기능사</v>
          </cell>
          <cell r="J153" t="str">
            <v>하도급(FTE)</v>
          </cell>
          <cell r="K153" t="str">
            <v>서비스 관제 엔지니어</v>
          </cell>
          <cell r="L153" t="str">
            <v>박주현 후임</v>
          </cell>
          <cell r="M153"/>
          <cell r="N153" t="str">
            <v>010-4684-1678</v>
          </cell>
          <cell r="O153" t="str">
            <v>gyumin@cnthoth.com</v>
          </cell>
          <cell r="P153" t="str">
            <v>020327-3</v>
          </cell>
          <cell r="Q153">
            <v>45355</v>
          </cell>
          <cell r="R153">
            <v>45355</v>
          </cell>
          <cell r="S153"/>
          <cell r="T153" t="str">
            <v>유한공업고등학교</v>
          </cell>
          <cell r="U153"/>
          <cell r="V153" t="str">
            <v>고졸</v>
          </cell>
          <cell r="W153"/>
          <cell r="X153"/>
          <cell r="Y153"/>
          <cell r="Z153">
            <v>798</v>
          </cell>
          <cell r="AA153">
            <v>798</v>
          </cell>
          <cell r="AB153"/>
          <cell r="AC153"/>
          <cell r="AD153" t="str">
            <v>보라매DC</v>
          </cell>
          <cell r="AE153" t="str">
            <v>서울특별시</v>
          </cell>
          <cell r="AF153" t="str">
            <v>1. Infra 운영</v>
          </cell>
          <cell r="AG153" t="str">
            <v>1. Infra 운영</v>
          </cell>
          <cell r="AH153" t="str">
            <v>SK AX</v>
          </cell>
          <cell r="AI153" t="str">
            <v>SKT(보라매)</v>
          </cell>
          <cell r="AJ153" t="str">
            <v>조원석</v>
          </cell>
          <cell r="AK153" t="str">
            <v>08708</v>
          </cell>
          <cell r="AL153" t="str">
            <v>서울시 관악구 보라매로5길 1  SK텔레콤빌딩 7F (봉천동)</v>
          </cell>
          <cell r="AM153" t="str">
            <v>14998</v>
          </cell>
          <cell r="AN153" t="str">
            <v>경기도 시흥시 시청로68번길 30, 504호 (장현동, 이즈라이프)</v>
          </cell>
          <cell r="AO153" t="str">
            <v>T Biz. Cloud팀</v>
          </cell>
          <cell r="AP153" t="str">
            <v>보라매 DC 운영</v>
          </cell>
          <cell r="AQ153" t="str">
            <v>H/W 육안점검, 시스템 모니터링 및 장애 전파</v>
          </cell>
          <cell r="AS153" t="str">
            <v>고객사 공통 / 2026년_인프라운영_HC12_1분기(4500303380-01)</v>
          </cell>
          <cell r="AT153" t="str">
            <v>스케줄</v>
          </cell>
          <cell r="AU153" t="str">
            <v>정직원</v>
          </cell>
          <cell r="AV153" t="str">
            <v>씨앤토트플러스㈜</v>
          </cell>
          <cell r="AW153">
            <v>3988000</v>
          </cell>
          <cell r="AX153">
            <v>3988000</v>
          </cell>
          <cell r="AY153">
            <v>12</v>
          </cell>
          <cell r="AZ153">
            <v>47856000</v>
          </cell>
          <cell r="BA153"/>
          <cell r="BB153"/>
          <cell r="BC153">
            <v>45839</v>
          </cell>
          <cell r="BD153">
            <v>30666000</v>
          </cell>
          <cell r="BE153">
            <v>31628400</v>
          </cell>
          <cell r="BF153">
            <v>31628400</v>
          </cell>
          <cell r="BG153">
            <v>2635700</v>
          </cell>
          <cell r="BH153">
            <v>1926200</v>
          </cell>
          <cell r="BI153">
            <v>10344.959999999999</v>
          </cell>
          <cell r="BJ153">
            <v>205.53</v>
          </cell>
          <cell r="BK153">
            <v>32.590000000000003</v>
          </cell>
          <cell r="BL153">
            <v>65.900000000000006</v>
          </cell>
          <cell r="BM153">
            <v>168600</v>
          </cell>
          <cell r="BN153">
            <v>340900</v>
          </cell>
          <cell r="BO153">
            <v>200000</v>
          </cell>
          <cell r="BP153">
            <v>1015469</v>
          </cell>
          <cell r="BQ153" t="str">
            <v>적합</v>
          </cell>
          <cell r="BR153"/>
          <cell r="BS153">
            <v>1034495.9999999999</v>
          </cell>
          <cell r="BT153">
            <v>2721908</v>
          </cell>
          <cell r="BU153">
            <v>1388349</v>
          </cell>
          <cell r="BV153">
            <v>1190484.4233599999</v>
          </cell>
          <cell r="BW153">
            <v>453040.2</v>
          </cell>
          <cell r="BX153">
            <v>192907.44</v>
          </cell>
          <cell r="BY153">
            <v>3294625</v>
          </cell>
          <cell r="BZ153">
            <v>35384804</v>
          </cell>
          <cell r="CA153">
            <v>3224781.06336</v>
          </cell>
          <cell r="CB153">
            <v>39535500</v>
          </cell>
          <cell r="CC153">
            <v>7091782.5099999998</v>
          </cell>
          <cell r="CD153">
            <v>14.819003907556</v>
          </cell>
        </row>
        <row r="154">
          <cell r="F154" t="str">
            <v>정명훈</v>
          </cell>
          <cell r="G154" t="str">
            <v>사원</v>
          </cell>
          <cell r="H154" t="str">
            <v>초급하</v>
          </cell>
          <cell r="I154" t="str">
            <v>초급기술자</v>
          </cell>
          <cell r="J154" t="str">
            <v>하도급(M/M)</v>
          </cell>
          <cell r="K154" t="str">
            <v>서비스 관제 엔지니어</v>
          </cell>
          <cell r="L154" t="str">
            <v>김태윤 후임</v>
          </cell>
          <cell r="M154"/>
          <cell r="N154" t="str">
            <v>010-4145-4528</v>
          </cell>
          <cell r="O154" t="str">
            <v>katan15@cnthoth.com</v>
          </cell>
          <cell r="P154" t="str">
            <v>990110-1</v>
          </cell>
          <cell r="Q154">
            <v>45369</v>
          </cell>
          <cell r="R154">
            <v>45369</v>
          </cell>
          <cell r="S154"/>
          <cell r="T154" t="str">
            <v>청주대학교</v>
          </cell>
          <cell r="U154" t="str">
            <v>지적학과</v>
          </cell>
          <cell r="V154" t="str">
            <v>대졸</v>
          </cell>
          <cell r="W154"/>
          <cell r="X154"/>
          <cell r="Y154"/>
          <cell r="Z154">
            <v>784</v>
          </cell>
          <cell r="AA154">
            <v>784</v>
          </cell>
          <cell r="AB154"/>
          <cell r="AC154"/>
          <cell r="AD154" t="str">
            <v>청주HN_OP</v>
          </cell>
          <cell r="AE154" t="str">
            <v>경기도외</v>
          </cell>
          <cell r="AF154" t="str">
            <v>4. SKB/SK하이닉스 Infra 운영</v>
          </cell>
          <cell r="AG154" t="str">
            <v>4. SKB/SK하이닉스 Infra 운영</v>
          </cell>
          <cell r="AH154" t="str">
            <v>SK AX</v>
          </cell>
          <cell r="AI154" t="str">
            <v>SK하이닉스(청주)</v>
          </cell>
          <cell r="AJ154" t="str">
            <v>곽경석</v>
          </cell>
          <cell r="AK154" t="str">
            <v>28436</v>
          </cell>
          <cell r="AL154" t="str">
            <v>충청북도 청주시 흥덕구 직지대로 337 (향정동) , SKHDC4 (M11 3F)</v>
          </cell>
          <cell r="AM154" t="str">
            <v>28453</v>
          </cell>
          <cell r="AN154" t="str">
            <v>충청북도 청주시 흥덕구 월명로 114, 201호 (봉명동, 극동주얼리아파트)</v>
          </cell>
          <cell r="AO154" t="str">
            <v>Hynix Cloud팀</v>
          </cell>
          <cell r="AP154" t="str">
            <v>청주 DC 운영</v>
          </cell>
          <cell r="AQ154" t="str">
            <v>H/W 육안점검, 시스템 모니터링 및 장애 전파</v>
          </cell>
          <cell r="AR154"/>
          <cell r="AS154" t="str">
            <v>에스케이하이닉스(주) / SKHy '26년 ITO_데이타관제_1분기(4500303464-01)</v>
          </cell>
          <cell r="AT154" t="str">
            <v>스케줄</v>
          </cell>
          <cell r="AU154" t="str">
            <v>정직원</v>
          </cell>
          <cell r="AV154" t="str">
            <v>씨앤토트플러스㈜</v>
          </cell>
          <cell r="AW154">
            <v>4179000</v>
          </cell>
          <cell r="AX154">
            <v>4179000</v>
          </cell>
          <cell r="AY154">
            <v>12</v>
          </cell>
          <cell r="AZ154">
            <v>50148000</v>
          </cell>
          <cell r="BA154"/>
          <cell r="BB154"/>
          <cell r="BC154">
            <v>45839</v>
          </cell>
          <cell r="BD154">
            <v>29040600</v>
          </cell>
          <cell r="BE154">
            <v>29809200</v>
          </cell>
          <cell r="BF154">
            <v>29809200</v>
          </cell>
          <cell r="BG154">
            <v>2484100</v>
          </cell>
          <cell r="BH154">
            <v>1976700</v>
          </cell>
          <cell r="BI154">
            <v>11094.86</v>
          </cell>
          <cell r="BJ154">
            <v>196.19</v>
          </cell>
          <cell r="BK154">
            <v>2.17</v>
          </cell>
          <cell r="BL154">
            <v>53.23</v>
          </cell>
          <cell r="BM154">
            <v>12100</v>
          </cell>
          <cell r="BN154">
            <v>295300</v>
          </cell>
          <cell r="BO154">
            <v>200000</v>
          </cell>
          <cell r="BP154">
            <v>2009557</v>
          </cell>
          <cell r="BQ154" t="str">
            <v>적합</v>
          </cell>
          <cell r="BR154"/>
          <cell r="BS154">
            <v>1109486</v>
          </cell>
          <cell r="BT154">
            <v>2576557.1666666665</v>
          </cell>
          <cell r="BU154">
            <v>1301937</v>
          </cell>
          <cell r="BV154">
            <v>1116387.6796800001</v>
          </cell>
          <cell r="BW154">
            <v>424842.6</v>
          </cell>
          <cell r="BX154">
            <v>180900.72</v>
          </cell>
          <cell r="BY154">
            <v>3105125</v>
          </cell>
          <cell r="BZ154">
            <v>33495243.166666668</v>
          </cell>
          <cell r="CA154">
            <v>3024067.9996800004</v>
          </cell>
          <cell r="CB154">
            <v>37261500</v>
          </cell>
          <cell r="CC154">
            <v>10454936.030000001</v>
          </cell>
          <cell r="CD154">
            <v>20.84816150195422</v>
          </cell>
        </row>
        <row r="155">
          <cell r="F155" t="str">
            <v>김세영</v>
          </cell>
          <cell r="G155" t="str">
            <v>사원</v>
          </cell>
          <cell r="H155" t="str">
            <v>초급하</v>
          </cell>
          <cell r="I155" t="str">
            <v>초급기술자</v>
          </cell>
          <cell r="J155" t="str">
            <v>하도급(M/M)</v>
          </cell>
          <cell r="K155" t="str">
            <v>서버엔지니어</v>
          </cell>
          <cell r="L155" t="str">
            <v>2026_추가</v>
          </cell>
          <cell r="M155"/>
          <cell r="N155" t="str">
            <v>010-2652-4879</v>
          </cell>
          <cell r="O155" t="str">
            <v>syk2754@cnthoth.com</v>
          </cell>
          <cell r="P155" t="str">
            <v>940809-1</v>
          </cell>
          <cell r="Q155">
            <v>45376</v>
          </cell>
          <cell r="R155">
            <v>45376</v>
          </cell>
          <cell r="S155"/>
          <cell r="T155" t="str">
            <v>서원대학교</v>
          </cell>
          <cell r="U155" t="str">
            <v>경영정보학과</v>
          </cell>
          <cell r="V155" t="str">
            <v>대졸</v>
          </cell>
          <cell r="Z155">
            <v>777</v>
          </cell>
          <cell r="AA155">
            <v>777</v>
          </cell>
          <cell r="AB155"/>
          <cell r="AC155"/>
          <cell r="AD155" t="str">
            <v>SK하이닉스_청주</v>
          </cell>
          <cell r="AE155" t="str">
            <v>경기도외</v>
          </cell>
          <cell r="AG155" t="str">
            <v>4. SKB/SK하이닉스 Infra 운영</v>
          </cell>
          <cell r="AH155" t="str">
            <v>SK AX</v>
          </cell>
          <cell r="AI155" t="str">
            <v>SK하이닉스(청주)</v>
          </cell>
          <cell r="AJ155" t="str">
            <v>곽경석</v>
          </cell>
          <cell r="AK155" t="str">
            <v>28436</v>
          </cell>
          <cell r="AL155" t="str">
            <v>충청북도 청주시 흥덕구 직지대로 337 (향정동) , SKHDC4 (M11 3F)</v>
          </cell>
          <cell r="AM155" t="str">
            <v>30072</v>
          </cell>
          <cell r="AN155" t="str">
            <v>세종특별자치시 부강면 용포돈촌길 23-3</v>
          </cell>
          <cell r="AO155" t="str">
            <v>Hynix Cloud팀</v>
          </cell>
          <cell r="AP155" t="str">
            <v>청주 DC 서버 운영</v>
          </cell>
          <cell r="AQ155" t="str">
            <v>H/W 육안점검, 시스템 모니터링 및 장애 전파</v>
          </cell>
          <cell r="AS155" t="str">
            <v>에스케이하이닉스(주) / SKHy '26년 ITO_데이타관제_1분기(4500303464-01)</v>
          </cell>
          <cell r="AT155" t="str">
            <v>통상</v>
          </cell>
          <cell r="AU155" t="str">
            <v>정직원</v>
          </cell>
          <cell r="AV155" t="str">
            <v>씨앤토트플러스㈜</v>
          </cell>
          <cell r="AW155">
            <v>4179000</v>
          </cell>
          <cell r="AX155">
            <v>5100000</v>
          </cell>
          <cell r="AY155">
            <v>12</v>
          </cell>
          <cell r="AZ155">
            <v>61200000</v>
          </cell>
          <cell r="BC155">
            <v>46082</v>
          </cell>
          <cell r="BD155">
            <v>29040600</v>
          </cell>
          <cell r="BE155">
            <v>29809200</v>
          </cell>
          <cell r="BF155">
            <v>35000400</v>
          </cell>
          <cell r="BG155">
            <v>2916700</v>
          </cell>
          <cell r="BH155">
            <v>2433200</v>
          </cell>
          <cell r="BI155">
            <v>12599.04</v>
          </cell>
          <cell r="BJ155">
            <v>209</v>
          </cell>
          <cell r="BK155">
            <v>15</v>
          </cell>
          <cell r="BL155">
            <v>0</v>
          </cell>
          <cell r="BM155">
            <v>283500</v>
          </cell>
          <cell r="BN155">
            <v>0</v>
          </cell>
          <cell r="BO155">
            <v>200000</v>
          </cell>
          <cell r="BP155">
            <v>0</v>
          </cell>
          <cell r="BQ155" t="str">
            <v>적합</v>
          </cell>
          <cell r="BR155"/>
          <cell r="BS155">
            <v>503961.60000000003</v>
          </cell>
          <cell r="BT155">
            <v>2958696.8</v>
          </cell>
          <cell r="BU155">
            <v>1548519</v>
          </cell>
          <cell r="BV155">
            <v>1327827.3321599998</v>
          </cell>
          <cell r="BW155">
            <v>505306.2</v>
          </cell>
          <cell r="BX155">
            <v>215162.63999999998</v>
          </cell>
          <cell r="BY155">
            <v>3645875</v>
          </cell>
          <cell r="BZ155">
            <v>38463058.399999999</v>
          </cell>
          <cell r="CA155">
            <v>3115439.55192</v>
          </cell>
          <cell r="CB155">
            <v>43750500</v>
          </cell>
          <cell r="CC155">
            <v>17449500</v>
          </cell>
          <cell r="CD155">
            <v>28.51225490196078</v>
          </cell>
        </row>
        <row r="156">
          <cell r="F156" t="str">
            <v>윤준식</v>
          </cell>
          <cell r="G156" t="str">
            <v>대리</v>
          </cell>
          <cell r="H156" t="str">
            <v>초급하</v>
          </cell>
          <cell r="I156" t="str">
            <v>초급기술자</v>
          </cell>
          <cell r="J156" t="str">
            <v>하도급(M/M)</v>
          </cell>
          <cell r="K156" t="str">
            <v>네트워크엔지니어</v>
          </cell>
          <cell r="L156" t="str">
            <v>한성훈 후임</v>
          </cell>
          <cell r="M156"/>
          <cell r="N156" t="str">
            <v>010-3630-5921</v>
          </cell>
          <cell r="O156" t="str">
            <v>yoonjs8@cnthoth.com</v>
          </cell>
          <cell r="P156" t="str">
            <v>880411-1</v>
          </cell>
          <cell r="Q156">
            <v>44136</v>
          </cell>
          <cell r="R156">
            <v>45378</v>
          </cell>
          <cell r="S156"/>
          <cell r="T156" t="str">
            <v>동양미래대학교</v>
          </cell>
          <cell r="U156" t="str">
            <v>자동화시스템학과</v>
          </cell>
          <cell r="V156" t="str">
            <v>전문대졸</v>
          </cell>
          <cell r="W156"/>
          <cell r="Z156">
            <v>2017</v>
          </cell>
          <cell r="AA156">
            <v>775</v>
          </cell>
          <cell r="AB156"/>
          <cell r="AC156"/>
          <cell r="AD156" t="str">
            <v>SKB_남산13F</v>
          </cell>
          <cell r="AE156" t="str">
            <v>서울특별시</v>
          </cell>
          <cell r="AF156" t="str">
            <v>4. SKB/SK하이닉스 Infra 운영</v>
          </cell>
          <cell r="AG156" t="str">
            <v>4. SKB/SK하이닉스 Infra 운영</v>
          </cell>
          <cell r="AH156" t="str">
            <v>SK AX</v>
          </cell>
          <cell r="AI156" t="str">
            <v>SKB(남산)</v>
          </cell>
          <cell r="AJ156" t="str">
            <v>박규성</v>
          </cell>
          <cell r="AK156" t="str">
            <v>04637</v>
          </cell>
          <cell r="AL156" t="str">
            <v>서울시 중구 퇴계로24 SK남산그린빌딩 13F</v>
          </cell>
          <cell r="AM156" t="str">
            <v>03482</v>
          </cell>
          <cell r="AN156" t="str">
            <v>서울특별시 은평구 가좌로7라길 12-24 (응암동)</v>
          </cell>
          <cell r="AO156" t="str">
            <v>ICT Cloud팀</v>
          </cell>
          <cell r="AP156" t="str">
            <v>SKB N/W 운영</v>
          </cell>
          <cell r="AQ156" t="str">
            <v>VoIP 전화기,  L3/백본장비 운영</v>
          </cell>
          <cell r="AS156" t="str">
            <v>에스케이브로드밴드(주) / SKB 26년 IT장비 및 소프트웨어 유지보수_1분기(4500302989-01)</v>
          </cell>
          <cell r="AT156" t="str">
            <v>통상</v>
          </cell>
          <cell r="AU156" t="str">
            <v>정직원</v>
          </cell>
          <cell r="AV156" t="str">
            <v>씨앤토트플러스㈜</v>
          </cell>
          <cell r="AW156">
            <v>4260000</v>
          </cell>
          <cell r="AX156">
            <v>4260000</v>
          </cell>
          <cell r="AY156">
            <v>12</v>
          </cell>
          <cell r="AZ156">
            <v>51120000</v>
          </cell>
          <cell r="BC156">
            <v>45839</v>
          </cell>
          <cell r="BD156">
            <v>33000000</v>
          </cell>
          <cell r="BE156">
            <v>34080000</v>
          </cell>
          <cell r="BF156">
            <v>34080000</v>
          </cell>
          <cell r="BG156">
            <v>2840000</v>
          </cell>
          <cell r="BH156">
            <v>2363900</v>
          </cell>
          <cell r="BI156">
            <v>12267.46</v>
          </cell>
          <cell r="BJ156">
            <v>209</v>
          </cell>
          <cell r="BK156">
            <v>15</v>
          </cell>
          <cell r="BL156">
            <v>0</v>
          </cell>
          <cell r="BM156">
            <v>276100</v>
          </cell>
          <cell r="BN156">
            <v>0</v>
          </cell>
          <cell r="BO156">
            <v>200000</v>
          </cell>
          <cell r="BP156">
            <v>0</v>
          </cell>
          <cell r="BQ156" t="str">
            <v>적합</v>
          </cell>
          <cell r="BR156"/>
          <cell r="BS156">
            <v>490698.39999999997</v>
          </cell>
          <cell r="BT156">
            <v>2880891.5333333332</v>
          </cell>
          <cell r="BU156">
            <v>1504800</v>
          </cell>
          <cell r="BV156">
            <v>1290339.0719999999</v>
          </cell>
          <cell r="BW156">
            <v>491040</v>
          </cell>
          <cell r="BX156">
            <v>209088</v>
          </cell>
          <cell r="BY156">
            <v>3550000</v>
          </cell>
          <cell r="BZ156">
            <v>37451589.93333333</v>
          </cell>
          <cell r="CA156">
            <v>3495267.0719999997</v>
          </cell>
          <cell r="CB156">
            <v>42600000</v>
          </cell>
          <cell r="CC156">
            <v>8520000</v>
          </cell>
          <cell r="CD156">
            <v>16.666666666666664</v>
          </cell>
        </row>
        <row r="157">
          <cell r="F157" t="str">
            <v>김정우</v>
          </cell>
          <cell r="G157" t="str">
            <v>과장</v>
          </cell>
          <cell r="H157" t="str">
            <v>초급상</v>
          </cell>
          <cell r="I157" t="str">
            <v>초급기술자</v>
          </cell>
          <cell r="J157" t="str">
            <v>하도급(M/M)</v>
          </cell>
          <cell r="K157" t="str">
            <v>IT 인프라 현장대응 엔지니어</v>
          </cell>
          <cell r="L157" t="str">
            <v>박주용 후임</v>
          </cell>
          <cell r="M157" t="str">
            <v>043-280-5802</v>
          </cell>
          <cell r="N157" t="str">
            <v>010-8542-9379</v>
          </cell>
          <cell r="O157" t="str">
            <v>JW0507@cnthoth.com</v>
          </cell>
          <cell r="P157" t="str">
            <v>920923-1</v>
          </cell>
          <cell r="Q157">
            <v>42445</v>
          </cell>
          <cell r="R157">
            <v>45419</v>
          </cell>
          <cell r="S157"/>
          <cell r="T157" t="str">
            <v>대전과학기술대학교</v>
          </cell>
          <cell r="U157" t="str">
            <v>컴퓨터공학과</v>
          </cell>
          <cell r="V157" t="str">
            <v>전문대졸</v>
          </cell>
          <cell r="Z157">
            <v>3708</v>
          </cell>
          <cell r="AA157">
            <v>734</v>
          </cell>
          <cell r="AB157"/>
          <cell r="AC157"/>
          <cell r="AD157" t="str">
            <v>청주HN_대응</v>
          </cell>
          <cell r="AE157" t="str">
            <v>경기도외</v>
          </cell>
          <cell r="AF157" t="str">
            <v>4. SKB/SK하이닉스 Infra 운영</v>
          </cell>
          <cell r="AG157" t="str">
            <v>4. SKB/SK하이닉스 Infra 운영</v>
          </cell>
          <cell r="AH157" t="str">
            <v>SK AX</v>
          </cell>
          <cell r="AI157" t="str">
            <v>SK하이닉스(청주)</v>
          </cell>
          <cell r="AJ157" t="str">
            <v>곽경석</v>
          </cell>
          <cell r="AK157" t="str">
            <v>28436</v>
          </cell>
          <cell r="AL157" t="str">
            <v>충청북도 청주시 흥덕구 직지대로 337 (향정동) , SKHDC4 (M11 3F)</v>
          </cell>
          <cell r="AM157">
            <v>28414</v>
          </cell>
          <cell r="AN157" t="str">
            <v>충청북도 청주시 흥덕구 2순환로 1053-9, 뜨란채 109동 202호 (비하동)</v>
          </cell>
          <cell r="AO157" t="str">
            <v>Hynix Cloud팀</v>
          </cell>
          <cell r="AP157" t="str">
            <v>인프라 장애 긴급 대응</v>
          </cell>
          <cell r="AQ157" t="str">
            <v>인프라 장비 장애 발생시 현장대응</v>
          </cell>
          <cell r="AS157" t="str">
            <v>에스케이하이닉스(주) / SKHy '26년 ITO_데이타관제_1분기(4500303464-01)</v>
          </cell>
          <cell r="AT157" t="str">
            <v>스케줄</v>
          </cell>
          <cell r="AU157" t="str">
            <v>정직원</v>
          </cell>
          <cell r="AV157" t="str">
            <v>씨앤토트플러스㈜</v>
          </cell>
          <cell r="AW157">
            <v>5151000</v>
          </cell>
          <cell r="AX157">
            <v>5151000</v>
          </cell>
          <cell r="AY157">
            <v>12</v>
          </cell>
          <cell r="AZ157">
            <v>61812000</v>
          </cell>
          <cell r="BC157">
            <v>45839</v>
          </cell>
          <cell r="BD157">
            <v>35401680</v>
          </cell>
          <cell r="BE157">
            <v>36841200</v>
          </cell>
          <cell r="BF157">
            <v>36841200</v>
          </cell>
          <cell r="BG157">
            <v>3070100</v>
          </cell>
          <cell r="BH157">
            <v>2208800</v>
          </cell>
          <cell r="BI157">
            <v>15409.42</v>
          </cell>
          <cell r="BJ157">
            <v>156.32000000000002</v>
          </cell>
          <cell r="BK157">
            <v>36.39</v>
          </cell>
          <cell r="BL157">
            <v>49.43</v>
          </cell>
          <cell r="BM157">
            <v>280400</v>
          </cell>
          <cell r="BN157">
            <v>380900</v>
          </cell>
          <cell r="BO157">
            <v>200000</v>
          </cell>
          <cell r="BP157">
            <v>2900824</v>
          </cell>
          <cell r="BQ157" t="str">
            <v>적합</v>
          </cell>
          <cell r="BR157"/>
          <cell r="BS157">
            <v>1540942</v>
          </cell>
          <cell r="BT157">
            <v>3198511.8333333335</v>
          </cell>
          <cell r="BU157">
            <v>1635957</v>
          </cell>
          <cell r="BV157">
            <v>1402803.8524799999</v>
          </cell>
          <cell r="BW157">
            <v>533838.6</v>
          </cell>
          <cell r="BX157">
            <v>227311.92</v>
          </cell>
          <cell r="BY157">
            <v>3837625</v>
          </cell>
          <cell r="BZ157">
            <v>41580653.833333336</v>
          </cell>
          <cell r="CA157">
            <v>3799911.3724799999</v>
          </cell>
          <cell r="CB157">
            <v>46051500</v>
          </cell>
          <cell r="CC157">
            <v>12250502.960000001</v>
          </cell>
          <cell r="CD157">
            <v>19.818971979550899</v>
          </cell>
        </row>
        <row r="158">
          <cell r="F158" t="str">
            <v>박건우</v>
          </cell>
          <cell r="G158" t="str">
            <v>사원</v>
          </cell>
          <cell r="H158" t="str">
            <v>고능</v>
          </cell>
          <cell r="I158" t="str">
            <v>고급기능사</v>
          </cell>
          <cell r="J158" t="str">
            <v>하도급(M/M)</v>
          </cell>
          <cell r="K158" t="str">
            <v>NOC 엔지니어</v>
          </cell>
          <cell r="L158" t="str">
            <v>김병우 후임</v>
          </cell>
          <cell r="M158"/>
          <cell r="N158" t="str">
            <v>010-5065-6306</v>
          </cell>
          <cell r="O158" t="str">
            <v>rnvkf@cnthoth.com</v>
          </cell>
          <cell r="P158" t="str">
            <v>980913-1</v>
          </cell>
          <cell r="Q158">
            <v>45460</v>
          </cell>
          <cell r="R158">
            <v>45460</v>
          </cell>
          <cell r="S158"/>
          <cell r="T158" t="str">
            <v>가톨릭대학교</v>
          </cell>
          <cell r="U158" t="str">
            <v>정보통신공학</v>
          </cell>
          <cell r="V158" t="str">
            <v>대졸</v>
          </cell>
          <cell r="Z158">
            <v>400</v>
          </cell>
          <cell r="AA158">
            <v>693</v>
          </cell>
          <cell r="AB158"/>
          <cell r="AC158"/>
          <cell r="AD158" t="str">
            <v>SKB동작국사</v>
          </cell>
          <cell r="AE158" t="str">
            <v>서울특별시</v>
          </cell>
          <cell r="AF158" t="str">
            <v>4. SKB/SK하이닉스 Infra 운영</v>
          </cell>
          <cell r="AG158" t="str">
            <v>4. SKB/SK하이닉스 Infra 운영</v>
          </cell>
          <cell r="AH158" t="str">
            <v>SK AX</v>
          </cell>
          <cell r="AI158" t="str">
            <v>SKB(동작)</v>
          </cell>
          <cell r="AJ158" t="str">
            <v>박규성</v>
          </cell>
          <cell r="AK158" t="str">
            <v>07063</v>
          </cell>
          <cell r="AL158" t="str">
            <v>서울시 동작구 여의대방로 74 (신대방동) SK브로드밴드 7층</v>
          </cell>
          <cell r="AM158" t="str">
            <v>06964</v>
          </cell>
          <cell r="AN158" t="str">
            <v>서울특별시 동작구 상도로30길 40, 203동 701호 (상도동, 상도2차두산위브트레지움아파트)</v>
          </cell>
          <cell r="AO158" t="str">
            <v>ICT Cloud팀</v>
          </cell>
          <cell r="AP158" t="str">
            <v>SKB N/W 운영</v>
          </cell>
          <cell r="AQ158" t="str">
            <v>N/W 관제, 장애 전파 및 처리, 상황실 NMS 등록/관리</v>
          </cell>
          <cell r="AS158" t="str">
            <v>에스케이브로드밴드(주) / SKB 26년 IT장비 및 소프트웨어 유지보수_1분기(4500302989-01)</v>
          </cell>
          <cell r="AT158" t="str">
            <v>스케줄</v>
          </cell>
          <cell r="AU158" t="str">
            <v>정직원</v>
          </cell>
          <cell r="AV158" t="str">
            <v>씨앤토트플러스㈜</v>
          </cell>
          <cell r="AW158">
            <v>3799000</v>
          </cell>
          <cell r="AX158">
            <v>3799000</v>
          </cell>
          <cell r="AY158">
            <v>12</v>
          </cell>
          <cell r="AZ158">
            <v>45588000</v>
          </cell>
          <cell r="BC158">
            <v>45839</v>
          </cell>
          <cell r="BD158">
            <v>29040480</v>
          </cell>
          <cell r="BE158">
            <v>29762400</v>
          </cell>
          <cell r="BF158">
            <v>29762400</v>
          </cell>
          <cell r="BG158">
            <v>2480200</v>
          </cell>
          <cell r="BH158">
            <v>1896500</v>
          </cell>
          <cell r="BI158">
            <v>11173.59</v>
          </cell>
          <cell r="BJ158">
            <v>187.63</v>
          </cell>
          <cell r="BK158">
            <v>29.11</v>
          </cell>
          <cell r="BL158">
            <v>39.54</v>
          </cell>
          <cell r="BM158">
            <v>162700</v>
          </cell>
          <cell r="BN158">
            <v>221000</v>
          </cell>
          <cell r="BO158">
            <v>200000</v>
          </cell>
          <cell r="BP158">
            <v>2258154</v>
          </cell>
          <cell r="BQ158" t="str">
            <v>적합</v>
          </cell>
          <cell r="BR158"/>
          <cell r="BS158">
            <v>1117359</v>
          </cell>
          <cell r="BT158">
            <v>2573313.25</v>
          </cell>
          <cell r="BU158">
            <v>1299714</v>
          </cell>
          <cell r="BV158">
            <v>1114481.4969599999</v>
          </cell>
          <cell r="BW158">
            <v>424117.2</v>
          </cell>
          <cell r="BX158">
            <v>180591.84</v>
          </cell>
          <cell r="BY158">
            <v>3100250</v>
          </cell>
          <cell r="BZ158">
            <v>33453072.25</v>
          </cell>
          <cell r="CA158">
            <v>3018904.5369600002</v>
          </cell>
          <cell r="CB158">
            <v>37203000</v>
          </cell>
          <cell r="CC158">
            <v>5652633.6600000001</v>
          </cell>
          <cell r="CD158">
            <v>12.399389444590682</v>
          </cell>
        </row>
        <row r="159">
          <cell r="F159" t="str">
            <v>한성희</v>
          </cell>
          <cell r="G159" t="str">
            <v>과장</v>
          </cell>
          <cell r="H159" t="str">
            <v>초급상</v>
          </cell>
          <cell r="I159" t="str">
            <v>초급기술자</v>
          </cell>
          <cell r="J159" t="str">
            <v>하도급(M/M)</v>
          </cell>
          <cell r="K159" t="str">
            <v>서버엔지니어</v>
          </cell>
          <cell r="L159" t="str">
            <v>김시빈 후임</v>
          </cell>
          <cell r="M159"/>
          <cell r="N159" t="str">
            <v>010-9160-9897</v>
          </cell>
          <cell r="O159" t="str">
            <v>hansh@cnthoth.com</v>
          </cell>
          <cell r="P159" t="str">
            <v>821205-1</v>
          </cell>
          <cell r="Q159">
            <v>40575</v>
          </cell>
          <cell r="R159">
            <v>45474</v>
          </cell>
          <cell r="S159"/>
          <cell r="T159" t="str">
            <v>배재고등학교</v>
          </cell>
          <cell r="U159"/>
          <cell r="V159" t="str">
            <v>고졸</v>
          </cell>
          <cell r="W159" t="str">
            <v>리눅스마스터2급</v>
          </cell>
          <cell r="Z159">
            <v>5578</v>
          </cell>
          <cell r="AA159">
            <v>679</v>
          </cell>
          <cell r="AB159"/>
          <cell r="AC159"/>
          <cell r="AD159" t="str">
            <v>SKB 7층_동작</v>
          </cell>
          <cell r="AE159" t="str">
            <v>서울특별시</v>
          </cell>
          <cell r="AF159" t="str">
            <v>4. SKB/SK하이닉스 Infra 운영</v>
          </cell>
          <cell r="AG159" t="str">
            <v>4. SKB/SK하이닉스 Infra 운영</v>
          </cell>
          <cell r="AH159" t="str">
            <v>SK AX</v>
          </cell>
          <cell r="AI159" t="str">
            <v>SKB(동작)</v>
          </cell>
          <cell r="AJ159" t="str">
            <v>박규성</v>
          </cell>
          <cell r="AK159" t="str">
            <v>07063</v>
          </cell>
          <cell r="AL159" t="str">
            <v>서울시 동작구 여의대방로 74 (신대방동) SK브로드밴드 9층</v>
          </cell>
          <cell r="AM159" t="str">
            <v>05284</v>
          </cell>
          <cell r="AN159" t="str">
            <v>서울특별시 강동구 상암로81길 7, 101동 104호 (상일동, 상일동아아파트)</v>
          </cell>
          <cell r="AO159" t="str">
            <v>ICT Cloud팀</v>
          </cell>
          <cell r="AP159" t="str">
            <v>SKB 서버 구축 및 MA</v>
          </cell>
          <cell r="AQ159" t="str">
            <v>서버 구축 지원</v>
          </cell>
          <cell r="AS159" t="str">
            <v>에스케이브로드밴드(주) / SKB 25년 IP백본장비 통합 유지보수 용역 계약_26년1분기(4500302124-01)</v>
          </cell>
          <cell r="AT159" t="str">
            <v>통상</v>
          </cell>
          <cell r="AU159" t="str">
            <v>정직원</v>
          </cell>
          <cell r="AV159" t="str">
            <v>씨앤토트플러스㈜</v>
          </cell>
          <cell r="AW159">
            <v>5304000</v>
          </cell>
          <cell r="AX159">
            <v>5304000</v>
          </cell>
          <cell r="AY159">
            <v>12</v>
          </cell>
          <cell r="AZ159">
            <v>63648000</v>
          </cell>
          <cell r="BA159"/>
          <cell r="BB159"/>
          <cell r="BC159">
            <v>45870</v>
          </cell>
          <cell r="BD159">
            <v>43008000</v>
          </cell>
          <cell r="BE159">
            <v>43872000</v>
          </cell>
          <cell r="BF159">
            <v>43872000</v>
          </cell>
          <cell r="BG159">
            <v>3656000</v>
          </cell>
          <cell r="BH159">
            <v>3100600</v>
          </cell>
          <cell r="BI159">
            <v>15792.34</v>
          </cell>
          <cell r="BJ159">
            <v>209</v>
          </cell>
          <cell r="BK159">
            <v>15</v>
          </cell>
          <cell r="BL159">
            <v>0</v>
          </cell>
          <cell r="BM159">
            <v>355400</v>
          </cell>
          <cell r="BN159">
            <v>0</v>
          </cell>
          <cell r="BO159">
            <v>200000</v>
          </cell>
          <cell r="BP159">
            <v>0</v>
          </cell>
          <cell r="BQ159" t="str">
            <v>적합</v>
          </cell>
          <cell r="BR159"/>
          <cell r="BS159">
            <v>631693.6</v>
          </cell>
          <cell r="BT159">
            <v>3708641.1333333333</v>
          </cell>
          <cell r="BU159">
            <v>1969920</v>
          </cell>
          <cell r="BV159">
            <v>1689171.1488000001</v>
          </cell>
          <cell r="BW159">
            <v>642816</v>
          </cell>
          <cell r="BX159">
            <v>273715.20000000001</v>
          </cell>
          <cell r="BY159">
            <v>4570000</v>
          </cell>
          <cell r="BZ159">
            <v>48212334.733333334</v>
          </cell>
          <cell r="CA159">
            <v>4575622.3488000007</v>
          </cell>
          <cell r="CB159">
            <v>54840000</v>
          </cell>
          <cell r="CC159">
            <v>8808000</v>
          </cell>
          <cell r="CD159">
            <v>13.838612368024133</v>
          </cell>
        </row>
        <row r="160">
          <cell r="F160" t="str">
            <v>김형근</v>
          </cell>
          <cell r="G160" t="str">
            <v>대리</v>
          </cell>
          <cell r="H160" t="str">
            <v>초급하</v>
          </cell>
          <cell r="I160" t="str">
            <v>초급기술자</v>
          </cell>
          <cell r="J160" t="str">
            <v>하도급(M/M)</v>
          </cell>
          <cell r="K160" t="str">
            <v>네트워크엔지니어</v>
          </cell>
          <cell r="L160" t="str">
            <v>2024_신규</v>
          </cell>
          <cell r="N160" t="str">
            <v>010-2064-3238</v>
          </cell>
          <cell r="O160" t="str">
            <v>kiohg@cnthoth.com</v>
          </cell>
          <cell r="P160" t="str">
            <v>870414-1</v>
          </cell>
          <cell r="Q160">
            <v>43617</v>
          </cell>
          <cell r="R160">
            <v>45474</v>
          </cell>
          <cell r="T160" t="str">
            <v>대림전문대학교</v>
          </cell>
          <cell r="U160" t="str">
            <v>전기과</v>
          </cell>
          <cell r="V160" t="str">
            <v>전문대중퇴</v>
          </cell>
          <cell r="W160" t="str">
            <v>CCNP</v>
          </cell>
          <cell r="X160" t="str">
            <v>CCNA</v>
          </cell>
          <cell r="Y160" t="str">
            <v>정보처리산업기사, 리눅스마스터2급, 네트워크관리사2급</v>
          </cell>
          <cell r="Z160">
            <v>2536</v>
          </cell>
          <cell r="AA160">
            <v>679</v>
          </cell>
          <cell r="AD160" t="str">
            <v>SK플래닛_판교</v>
          </cell>
          <cell r="AE160" t="str">
            <v>경기도</v>
          </cell>
          <cell r="AF160" t="str">
            <v>2. Network Service</v>
          </cell>
          <cell r="AG160" t="str">
            <v>2. Network Service</v>
          </cell>
          <cell r="AH160" t="str">
            <v>SK플래닛㈜</v>
          </cell>
          <cell r="AI160" t="str">
            <v>SK플래닛(판교)</v>
          </cell>
          <cell r="AJ160" t="str">
            <v>김형근</v>
          </cell>
          <cell r="AK160">
            <v>13487</v>
          </cell>
          <cell r="AL160" t="str">
            <v>경기도 성남시 분당구 판교로 264 SK플래닛 판교 사옥</v>
          </cell>
          <cell r="AM160" t="str">
            <v>16443</v>
          </cell>
          <cell r="AN160" t="str">
            <v>경기도 수원시 팔달구 동말로13번길 47, 5동 201호 (화서동, 광일빌라)</v>
          </cell>
          <cell r="AO160" t="str">
            <v>Infra Engineering팀</v>
          </cell>
          <cell r="AP160" t="str">
            <v>SKP 네트워크 운영</v>
          </cell>
          <cell r="AQ160" t="str">
            <v>N/W L2, L3 운영</v>
          </cell>
          <cell r="AS160" t="str">
            <v>2025년 오피스네트워크 운영 용역(PCT2500155)</v>
          </cell>
          <cell r="AT160" t="str">
            <v>통상</v>
          </cell>
          <cell r="AU160" t="str">
            <v>정직원</v>
          </cell>
          <cell r="AV160" t="str">
            <v>씨앤토트플러스㈜</v>
          </cell>
          <cell r="AW160">
            <v>5300000</v>
          </cell>
          <cell r="AX160">
            <v>5300000</v>
          </cell>
          <cell r="AY160">
            <v>12</v>
          </cell>
          <cell r="AZ160">
            <v>63600000</v>
          </cell>
          <cell r="BC160">
            <v>45839</v>
          </cell>
          <cell r="BD160">
            <v>43008000</v>
          </cell>
          <cell r="BE160">
            <v>44208000</v>
          </cell>
          <cell r="BF160">
            <v>44208000</v>
          </cell>
          <cell r="BG160">
            <v>3684000</v>
          </cell>
          <cell r="BH160">
            <v>3125900</v>
          </cell>
          <cell r="BI160">
            <v>15913.4</v>
          </cell>
          <cell r="BJ160">
            <v>209</v>
          </cell>
          <cell r="BK160">
            <v>15</v>
          </cell>
          <cell r="BL160">
            <v>0</v>
          </cell>
          <cell r="BM160">
            <v>358100</v>
          </cell>
          <cell r="BN160">
            <v>0</v>
          </cell>
          <cell r="BO160">
            <v>200000</v>
          </cell>
          <cell r="BP160">
            <v>0</v>
          </cell>
          <cell r="BQ160" t="str">
            <v>적합</v>
          </cell>
          <cell r="BS160">
            <v>636536</v>
          </cell>
          <cell r="BT160">
            <v>3737044.6666666665</v>
          </cell>
          <cell r="BU160">
            <v>1985880</v>
          </cell>
          <cell r="BV160">
            <v>1702856.5632</v>
          </cell>
          <cell r="BW160">
            <v>648024</v>
          </cell>
          <cell r="BX160">
            <v>275932.79999999999</v>
          </cell>
          <cell r="BY160">
            <v>4605000</v>
          </cell>
          <cell r="BZ160">
            <v>48581580.666666664</v>
          </cell>
          <cell r="CA160">
            <v>4612693.3631999996</v>
          </cell>
          <cell r="CB160">
            <v>55260000</v>
          </cell>
          <cell r="CC160">
            <v>8340000</v>
          </cell>
          <cell r="CD160">
            <v>13.113207547169811</v>
          </cell>
        </row>
        <row r="161">
          <cell r="F161" t="str">
            <v>김무겸</v>
          </cell>
          <cell r="G161" t="str">
            <v>사원</v>
          </cell>
          <cell r="H161" t="str">
            <v>초급하</v>
          </cell>
          <cell r="I161" t="str">
            <v>초급기술자</v>
          </cell>
          <cell r="J161" t="str">
            <v>하도급(M/M)</v>
          </cell>
          <cell r="K161" t="str">
            <v>인프라 운영지원 엔지니어</v>
          </cell>
          <cell r="L161" t="str">
            <v>권준성 후임</v>
          </cell>
          <cell r="M161"/>
          <cell r="N161" t="str">
            <v>010-4862-9523</v>
          </cell>
          <cell r="O161" t="str">
            <v>rlaanrua98@cnthoth.com</v>
          </cell>
          <cell r="P161" t="str">
            <v>980718-1</v>
          </cell>
          <cell r="Q161">
            <v>45495</v>
          </cell>
          <cell r="R161">
            <v>45495</v>
          </cell>
          <cell r="S161"/>
          <cell r="T161" t="str">
            <v>한남대학교</v>
          </cell>
          <cell r="U161" t="str">
            <v>전기전자공학과</v>
          </cell>
          <cell r="V161" t="str">
            <v>고졸</v>
          </cell>
          <cell r="Z161">
            <v>658</v>
          </cell>
          <cell r="AA161">
            <v>658</v>
          </cell>
          <cell r="AB161"/>
          <cell r="AC161"/>
          <cell r="AD161" t="str">
            <v>이천HN_OP_주간</v>
          </cell>
          <cell r="AE161" t="str">
            <v>경기도</v>
          </cell>
          <cell r="AF161" t="str">
            <v>4. SKB/SK하이닉스 Infra 운영</v>
          </cell>
          <cell r="AG161" t="str">
            <v>4. SKB/SK하이닉스 Infra 운영</v>
          </cell>
          <cell r="AH161" t="str">
            <v>SK AX</v>
          </cell>
          <cell r="AI161" t="str">
            <v>SK하이닉스(이천)</v>
          </cell>
          <cell r="AJ161" t="str">
            <v>임봉영</v>
          </cell>
          <cell r="AK161" t="str">
            <v>17336</v>
          </cell>
          <cell r="AL161" t="str">
            <v xml:space="preserve">경기도 이천시 부발읍 경충대로 2091, SK하이닉스 기술지원센터 6층 SKHDC2 </v>
          </cell>
          <cell r="AM161">
            <v>17338</v>
          </cell>
          <cell r="AN161" t="str">
            <v>경기도 이천시 대월면 사동로159번길 9-5, 1동 301호 (대월면, 다행빌리지)</v>
          </cell>
          <cell r="AO161" t="str">
            <v>Hynix Cloud팀</v>
          </cell>
          <cell r="AP161" t="str">
            <v>이천 DC 운영</v>
          </cell>
          <cell r="AQ161" t="str">
            <v>H/W 육안점검, 시스템 모니터링 및 장애 전파</v>
          </cell>
          <cell r="AS161" t="str">
            <v>에스케이하이닉스(주) / SKHy '26년 ITO_데이타관제_1분기(4500303464-01)</v>
          </cell>
          <cell r="AT161" t="str">
            <v>통상</v>
          </cell>
          <cell r="AU161" t="str">
            <v>정직원</v>
          </cell>
          <cell r="AV161" t="str">
            <v>씨앤토트플러스㈜</v>
          </cell>
          <cell r="AW161">
            <v>4179000</v>
          </cell>
          <cell r="AX161">
            <v>4179000</v>
          </cell>
          <cell r="AY161">
            <v>12</v>
          </cell>
          <cell r="AZ161">
            <v>50148000</v>
          </cell>
          <cell r="BA161"/>
          <cell r="BB161"/>
          <cell r="BC161">
            <v>46082</v>
          </cell>
          <cell r="BD161">
            <v>29041080</v>
          </cell>
          <cell r="BE161">
            <v>29821200</v>
          </cell>
          <cell r="BF161">
            <v>31800000</v>
          </cell>
          <cell r="BG161">
            <v>2650000</v>
          </cell>
          <cell r="BH161">
            <v>2192400</v>
          </cell>
          <cell r="BI161">
            <v>11446.89</v>
          </cell>
          <cell r="BJ161">
            <v>209</v>
          </cell>
          <cell r="BK161">
            <v>15</v>
          </cell>
          <cell r="BL161">
            <v>0</v>
          </cell>
          <cell r="BM161">
            <v>257600</v>
          </cell>
          <cell r="BN161">
            <v>0</v>
          </cell>
          <cell r="BO161">
            <v>200000</v>
          </cell>
          <cell r="BP161">
            <v>0</v>
          </cell>
          <cell r="BQ161" t="str">
            <v>적합</v>
          </cell>
          <cell r="BR161"/>
          <cell r="BS161">
            <v>457875.6</v>
          </cell>
          <cell r="BT161">
            <v>2688156.3</v>
          </cell>
          <cell r="BU161">
            <v>1396500</v>
          </cell>
          <cell r="BV161">
            <v>1197473.76</v>
          </cell>
          <cell r="BW161">
            <v>455700</v>
          </cell>
          <cell r="BX161">
            <v>194040</v>
          </cell>
          <cell r="BY161">
            <v>3312500</v>
          </cell>
          <cell r="BZ161">
            <v>34946031.899999999</v>
          </cell>
          <cell r="CA161">
            <v>3243713.76</v>
          </cell>
          <cell r="CB161">
            <v>39750000</v>
          </cell>
          <cell r="CC161">
            <v>10398000</v>
          </cell>
          <cell r="CD161">
            <v>20.734625508494855</v>
          </cell>
        </row>
        <row r="162">
          <cell r="F162" t="str">
            <v>서형주</v>
          </cell>
          <cell r="G162" t="str">
            <v>사원</v>
          </cell>
          <cell r="H162" t="str">
            <v>초급하</v>
          </cell>
          <cell r="I162" t="str">
            <v>초급기술자</v>
          </cell>
          <cell r="J162" t="str">
            <v>하도급(M/M)</v>
          </cell>
          <cell r="K162" t="str">
            <v>서비스 관제 엔지니어</v>
          </cell>
          <cell r="L162" t="str">
            <v>전재훈 후임</v>
          </cell>
          <cell r="N162" t="str">
            <v>010-2360-5010</v>
          </cell>
          <cell r="O162" t="str">
            <v>shj95@cnthoth.com</v>
          </cell>
          <cell r="P162" t="str">
            <v>950127-1</v>
          </cell>
          <cell r="Q162">
            <v>45495</v>
          </cell>
          <cell r="R162">
            <v>45495</v>
          </cell>
          <cell r="T162" t="str">
            <v>원광대학교</v>
          </cell>
          <cell r="U162" t="str">
            <v>소프트웨어 공학과</v>
          </cell>
          <cell r="V162" t="str">
            <v>대졸</v>
          </cell>
          <cell r="W162" t="str">
            <v>정보처리기사</v>
          </cell>
          <cell r="X162" t="str">
            <v>컴퓨터활용능력2급</v>
          </cell>
          <cell r="Z162">
            <v>658</v>
          </cell>
          <cell r="AA162">
            <v>658</v>
          </cell>
          <cell r="AB162"/>
          <cell r="AD162" t="str">
            <v>청주HN_OP</v>
          </cell>
          <cell r="AE162" t="str">
            <v>경기도외</v>
          </cell>
          <cell r="AF162" t="str">
            <v>4. SKB/SK하이닉스 Infra 운영</v>
          </cell>
          <cell r="AG162" t="str">
            <v>4. SKB/SK하이닉스 Infra 운영</v>
          </cell>
          <cell r="AH162" t="str">
            <v>SK AX</v>
          </cell>
          <cell r="AI162" t="str">
            <v>SK하이닉스(청주)</v>
          </cell>
          <cell r="AJ162" t="str">
            <v>곽경석</v>
          </cell>
          <cell r="AK162" t="str">
            <v>28436</v>
          </cell>
          <cell r="AL162" t="str">
            <v>충청북도 청주시 흥덕구 직지대로 337 (향정동) , SKHDC4 (M11 3F)</v>
          </cell>
          <cell r="AM162" t="str">
            <v>28417</v>
          </cell>
          <cell r="AN162" t="str">
            <v>충청북도 청주시 흥덕구 짐대로38번길 18, 청온빌 202호 (복대동)</v>
          </cell>
          <cell r="AO162" t="str">
            <v>Hynix Cloud팀</v>
          </cell>
          <cell r="AP162" t="str">
            <v>청주 DC 운영</v>
          </cell>
          <cell r="AQ162" t="str">
            <v>H/W 육안점검, 시스템 모니터링 및 장애 전파</v>
          </cell>
          <cell r="AS162" t="str">
            <v>에스케이하이닉스(주) / SKHy '26년 ITO_데이타관제_1분기(4500303464-01)</v>
          </cell>
          <cell r="AT162" t="str">
            <v>스케줄</v>
          </cell>
          <cell r="AU162" t="str">
            <v>정직원</v>
          </cell>
          <cell r="AV162" t="str">
            <v>씨앤토트플러스㈜</v>
          </cell>
          <cell r="AW162">
            <v>4179000</v>
          </cell>
          <cell r="AX162">
            <v>4179000</v>
          </cell>
          <cell r="AY162">
            <v>12</v>
          </cell>
          <cell r="AZ162">
            <v>50148000</v>
          </cell>
          <cell r="BC162">
            <v>45839</v>
          </cell>
          <cell r="BD162">
            <v>29040600</v>
          </cell>
          <cell r="BE162">
            <v>29809200</v>
          </cell>
          <cell r="BF162">
            <v>29809200</v>
          </cell>
          <cell r="BG162">
            <v>2484100</v>
          </cell>
          <cell r="BH162">
            <v>1976700</v>
          </cell>
          <cell r="BI162">
            <v>11094.86</v>
          </cell>
          <cell r="BJ162">
            <v>196.19</v>
          </cell>
          <cell r="BK162">
            <v>2.17</v>
          </cell>
          <cell r="BL162">
            <v>53.23</v>
          </cell>
          <cell r="BM162">
            <v>12100</v>
          </cell>
          <cell r="BN162">
            <v>295300</v>
          </cell>
          <cell r="BO162">
            <v>200000</v>
          </cell>
          <cell r="BP162">
            <v>2009557</v>
          </cell>
          <cell r="BQ162" t="str">
            <v>적합</v>
          </cell>
          <cell r="BR162"/>
          <cell r="BS162">
            <v>1109486</v>
          </cell>
          <cell r="BT162">
            <v>2576557.1666666665</v>
          </cell>
          <cell r="BU162">
            <v>1301937</v>
          </cell>
          <cell r="BV162">
            <v>1116387.6796800001</v>
          </cell>
          <cell r="BW162">
            <v>424842.6</v>
          </cell>
          <cell r="BX162">
            <v>180900.72</v>
          </cell>
          <cell r="BY162">
            <v>3105125</v>
          </cell>
          <cell r="BZ162">
            <v>33495243.166666668</v>
          </cell>
          <cell r="CA162">
            <v>3024067.9996800004</v>
          </cell>
          <cell r="CB162">
            <v>37261500</v>
          </cell>
          <cell r="CC162">
            <v>10454936.030000001</v>
          </cell>
          <cell r="CD162">
            <v>20.84816150195422</v>
          </cell>
        </row>
        <row r="163">
          <cell r="F163" t="str">
            <v>권준성</v>
          </cell>
          <cell r="G163" t="str">
            <v>사원</v>
          </cell>
          <cell r="H163" t="str">
            <v>초급하</v>
          </cell>
          <cell r="I163" t="str">
            <v>초급기술자</v>
          </cell>
          <cell r="J163" t="str">
            <v>하도급(M/M)</v>
          </cell>
          <cell r="K163" t="str">
            <v>네트워크엔지니어</v>
          </cell>
          <cell r="L163" t="str">
            <v>2026_추가</v>
          </cell>
          <cell r="M163" t="str">
            <v xml:space="preserve"> </v>
          </cell>
          <cell r="N163" t="str">
            <v>010-2851-0410</v>
          </cell>
          <cell r="O163" t="str">
            <v>kjoonseong2851@cnthoth.com</v>
          </cell>
          <cell r="P163" t="str">
            <v>980422-1</v>
          </cell>
          <cell r="Q163">
            <v>45536</v>
          </cell>
          <cell r="R163">
            <v>45536</v>
          </cell>
          <cell r="S163"/>
          <cell r="T163" t="str">
            <v>청강문화산업대학교</v>
          </cell>
          <cell r="U163" t="str">
            <v>게임컨텐츠학과</v>
          </cell>
          <cell r="V163" t="str">
            <v>전문대졸</v>
          </cell>
          <cell r="W163" t="str">
            <v>정보처리산업기사</v>
          </cell>
          <cell r="Z163">
            <v>617</v>
          </cell>
          <cell r="AA163">
            <v>617</v>
          </cell>
          <cell r="AB163"/>
          <cell r="AC163"/>
          <cell r="AD163" t="str">
            <v>SK하이닉스_이천</v>
          </cell>
          <cell r="AE163" t="str">
            <v>경기도</v>
          </cell>
          <cell r="AG163" t="str">
            <v>4. SKB/SK하이닉스 Infra 운영</v>
          </cell>
          <cell r="AH163" t="str">
            <v>SK AX</v>
          </cell>
          <cell r="AI163" t="str">
            <v>SK하이닉스(이천)</v>
          </cell>
          <cell r="AJ163" t="str">
            <v>임봉영</v>
          </cell>
          <cell r="AK163" t="str">
            <v>17336</v>
          </cell>
          <cell r="AL163" t="str">
            <v xml:space="preserve">경기도 이천시 부발읍 경충대로 2091, SK하이닉스 기술지원센터 6층 SKHDC2 </v>
          </cell>
          <cell r="AM163">
            <v>17329</v>
          </cell>
          <cell r="AN163" t="str">
            <v>경기도 이천시 부발읍 가좌로103번길 113-9 (부발읍)</v>
          </cell>
          <cell r="AO163" t="str">
            <v>Hynix Cloud팀</v>
          </cell>
          <cell r="AP163" t="str">
            <v>이천 DC 운영</v>
          </cell>
          <cell r="AQ163" t="str">
            <v>인프라 운영 지원</v>
          </cell>
          <cell r="AS163" t="str">
            <v>에스케이하이닉스(주) / SKHy '26년 ITO_데이타관제_1분기(4500303464-01)</v>
          </cell>
          <cell r="AT163" t="str">
            <v>통상</v>
          </cell>
          <cell r="AU163" t="str">
            <v>정직원</v>
          </cell>
          <cell r="AV163" t="str">
            <v>씨앤토트플러스㈜</v>
          </cell>
          <cell r="AW163">
            <v>4179000</v>
          </cell>
          <cell r="AX163">
            <v>5100000</v>
          </cell>
          <cell r="AY163">
            <v>12</v>
          </cell>
          <cell r="AZ163">
            <v>61200000</v>
          </cell>
          <cell r="BA163"/>
          <cell r="BB163"/>
          <cell r="BC163">
            <v>46082</v>
          </cell>
          <cell r="BD163">
            <v>27500880</v>
          </cell>
          <cell r="BE163">
            <v>29998800</v>
          </cell>
          <cell r="BF163">
            <v>34000800</v>
          </cell>
          <cell r="BG163">
            <v>2833400</v>
          </cell>
          <cell r="BH163">
            <v>2358000</v>
          </cell>
          <cell r="BI163">
            <v>12239.23</v>
          </cell>
          <cell r="BJ163">
            <v>209</v>
          </cell>
          <cell r="BK163">
            <v>15</v>
          </cell>
          <cell r="BL163">
            <v>0</v>
          </cell>
          <cell r="BM163">
            <v>275400</v>
          </cell>
          <cell r="BN163">
            <v>0</v>
          </cell>
          <cell r="BO163">
            <v>200000</v>
          </cell>
          <cell r="BP163">
            <v>0</v>
          </cell>
          <cell r="BQ163" t="str">
            <v>적합</v>
          </cell>
          <cell r="BR163"/>
          <cell r="BS163">
            <v>489569.19999999995</v>
          </cell>
          <cell r="BT163">
            <v>2874197.4333333331</v>
          </cell>
          <cell r="BU163">
            <v>1501038</v>
          </cell>
          <cell r="BV163">
            <v>1287113.2243199998</v>
          </cell>
          <cell r="BW163">
            <v>489812.4</v>
          </cell>
          <cell r="BX163">
            <v>208565.28</v>
          </cell>
          <cell r="BY163">
            <v>3541750</v>
          </cell>
          <cell r="BZ163">
            <v>37364566.633333333</v>
          </cell>
          <cell r="CA163">
            <v>3486528.9043199997</v>
          </cell>
          <cell r="CB163">
            <v>42501000</v>
          </cell>
          <cell r="CC163">
            <v>18699000</v>
          </cell>
          <cell r="CD163">
            <v>30.553921568627452</v>
          </cell>
        </row>
        <row r="164">
          <cell r="F164" t="str">
            <v>이동희</v>
          </cell>
          <cell r="G164" t="str">
            <v>사원</v>
          </cell>
          <cell r="H164" t="str">
            <v>고능</v>
          </cell>
          <cell r="I164" t="str">
            <v>고급기능사</v>
          </cell>
          <cell r="J164" t="str">
            <v>하도급(M/M)</v>
          </cell>
          <cell r="K164" t="str">
            <v>서비스 관제 엔지니어</v>
          </cell>
          <cell r="L164" t="str">
            <v>정현우 후임</v>
          </cell>
          <cell r="M164" t="str">
            <v>02-6400-5026</v>
          </cell>
          <cell r="N164" t="str">
            <v>010-4346-5826</v>
          </cell>
          <cell r="O164" t="str">
            <v>donghui99@cnthoth.com</v>
          </cell>
          <cell r="P164" t="str">
            <v>990518-1</v>
          </cell>
          <cell r="Q164">
            <v>45778</v>
          </cell>
          <cell r="R164">
            <v>45778</v>
          </cell>
          <cell r="S164"/>
          <cell r="T164" t="str">
            <v>수원과학대학교</v>
          </cell>
          <cell r="U164" t="str">
            <v>컴퓨터정보과</v>
          </cell>
          <cell r="V164" t="str">
            <v>전문대졸</v>
          </cell>
          <cell r="W164" t="str">
            <v>네트워크관리사2급</v>
          </cell>
          <cell r="X164"/>
          <cell r="Y164"/>
          <cell r="Z164">
            <v>375</v>
          </cell>
          <cell r="AA164">
            <v>375</v>
          </cell>
          <cell r="AB164"/>
          <cell r="AC164"/>
          <cell r="AD164" t="str">
            <v>판교DC</v>
          </cell>
          <cell r="AE164" t="str">
            <v>경기도</v>
          </cell>
          <cell r="AF164" t="str">
            <v>1. Infra 운영</v>
          </cell>
          <cell r="AG164" t="str">
            <v>1. Infra 운영</v>
          </cell>
          <cell r="AH164" t="str">
            <v>SK AX</v>
          </cell>
          <cell r="AI164" t="str">
            <v>SK그룹사(공통)</v>
          </cell>
          <cell r="AJ164" t="str">
            <v>김성구</v>
          </cell>
          <cell r="AK164">
            <v>13486</v>
          </cell>
          <cell r="AL164" t="str">
            <v>경기도 성남시 분당구 판교로 255번길 46 SK(주) C&amp;C 판교캠퍼스 A동 1층</v>
          </cell>
          <cell r="AM164" t="str">
            <v>16333</v>
          </cell>
          <cell r="AN164" t="str">
            <v>경기도 수원시 장안구 대평로89번길 32, 563동 1606호 (정자동, 백설 에듀빌)</v>
          </cell>
          <cell r="AO164" t="str">
            <v>CloudControlCenter팀</v>
          </cell>
          <cell r="AP164" t="str">
            <v>판교 DC 운영</v>
          </cell>
          <cell r="AQ164" t="str">
            <v>H/W 육안점검, 시스템 모니터링 및 장애 전파</v>
          </cell>
          <cell r="AS164" t="str">
            <v>고객사 공통 / 2026년_VDI_01_1분기(4500302906-01)</v>
          </cell>
          <cell r="AT164" t="str">
            <v>스케줄</v>
          </cell>
          <cell r="AU164" t="str">
            <v>정직원</v>
          </cell>
          <cell r="AV164" t="str">
            <v>씨앤토트플러스㈜</v>
          </cell>
          <cell r="AW164">
            <v>4117000</v>
          </cell>
          <cell r="AX164">
            <v>4117000</v>
          </cell>
          <cell r="AY164">
            <v>12</v>
          </cell>
          <cell r="AZ164">
            <v>49404000</v>
          </cell>
          <cell r="BA164"/>
          <cell r="BB164"/>
          <cell r="BC164">
            <v>46023</v>
          </cell>
          <cell r="BD164">
            <v>27504000</v>
          </cell>
          <cell r="BE164">
            <v>27504000</v>
          </cell>
          <cell r="BF164">
            <v>28202400</v>
          </cell>
          <cell r="BG164">
            <v>2350200</v>
          </cell>
          <cell r="BH164">
            <v>1698900.0000000002</v>
          </cell>
          <cell r="BI164">
            <v>10320.11</v>
          </cell>
          <cell r="BJ164">
            <v>184</v>
          </cell>
          <cell r="BK164">
            <v>38.020000000000003</v>
          </cell>
          <cell r="BL164">
            <v>49.43</v>
          </cell>
          <cell r="BM164">
            <v>196200</v>
          </cell>
          <cell r="BN164">
            <v>255100</v>
          </cell>
          <cell r="BO164">
            <v>200000</v>
          </cell>
          <cell r="BP164">
            <v>1869230</v>
          </cell>
          <cell r="BQ164" t="str">
            <v>적합</v>
          </cell>
          <cell r="BR164"/>
          <cell r="BS164">
            <v>1032011</v>
          </cell>
          <cell r="BT164">
            <v>2436200.9166666665</v>
          </cell>
          <cell r="BU164">
            <v>1225614</v>
          </cell>
          <cell r="BV164">
            <v>1050942.0729599998</v>
          </cell>
          <cell r="BW164">
            <v>399937.2</v>
          </cell>
          <cell r="BX164">
            <v>170295.84</v>
          </cell>
          <cell r="BY164">
            <v>2937750</v>
          </cell>
          <cell r="BZ164">
            <v>31670611.916666668</v>
          </cell>
          <cell r="CA164">
            <v>2846789.1129599996</v>
          </cell>
          <cell r="CB164">
            <v>35253000</v>
          </cell>
          <cell r="CC164">
            <v>11889231.699999999</v>
          </cell>
          <cell r="CD164">
            <v>24.065322038701318</v>
          </cell>
        </row>
        <row r="165">
          <cell r="F165" t="str">
            <v>정진현</v>
          </cell>
          <cell r="G165" t="str">
            <v>사원</v>
          </cell>
          <cell r="H165" t="str">
            <v>초급상</v>
          </cell>
          <cell r="I165" t="str">
            <v>초급기술자</v>
          </cell>
          <cell r="J165" t="str">
            <v>하도급(M/M)</v>
          </cell>
          <cell r="K165" t="str">
            <v>네트워크엔지니어</v>
          </cell>
          <cell r="L165" t="str">
            <v>박태준 후임</v>
          </cell>
          <cell r="M165"/>
          <cell r="N165" t="str">
            <v>010-4217-2274</v>
          </cell>
          <cell r="O165" t="str">
            <v>syj6452@cnthoth.com</v>
          </cell>
          <cell r="P165" t="str">
            <v>970827-1</v>
          </cell>
          <cell r="Q165">
            <v>45078</v>
          </cell>
          <cell r="R165">
            <v>45586</v>
          </cell>
          <cell r="S165"/>
          <cell r="T165" t="str">
            <v>원광대학교</v>
          </cell>
          <cell r="U165" t="str">
            <v>컴퓨터소프트웨어</v>
          </cell>
          <cell r="V165" t="str">
            <v>대졸</v>
          </cell>
          <cell r="W165"/>
          <cell r="X165"/>
          <cell r="Y165"/>
          <cell r="Z165">
            <v>1075</v>
          </cell>
          <cell r="AA165">
            <v>567</v>
          </cell>
          <cell r="AB165"/>
          <cell r="AC165"/>
          <cell r="AD165" t="str">
            <v>SK AX B동 4F_판교</v>
          </cell>
          <cell r="AE165" t="str">
            <v>경기도</v>
          </cell>
          <cell r="AF165" t="str">
            <v>2. Network Service</v>
          </cell>
          <cell r="AG165" t="str">
            <v>2. Network Service</v>
          </cell>
          <cell r="AH165" t="str">
            <v>SK AX</v>
          </cell>
          <cell r="AI165" t="str">
            <v>SK그룹사(공통)</v>
          </cell>
          <cell r="AJ165" t="str">
            <v>최재유</v>
          </cell>
          <cell r="AK165">
            <v>13486</v>
          </cell>
          <cell r="AL165" t="str">
            <v>경기도 성남시 분당구 판교로 255번길 46 SK C&amp;C 판교캠퍼스 A동 4층</v>
          </cell>
          <cell r="AM165" t="str">
            <v>13109</v>
          </cell>
          <cell r="AN165" t="str">
            <v>경기도 성남시 수정구 모란로133번길 7 (태평동)</v>
          </cell>
          <cell r="AO165" t="str">
            <v>Network Service팀</v>
          </cell>
          <cell r="AP165" t="str">
            <v>SKGas, SK건설, SK케미컬, SK바이오사이언스, SKAD, SKI(물류센터 및 방화벽) 고객지원</v>
          </cell>
          <cell r="AQ165" t="str">
            <v>N/W 고객요청 처리</v>
          </cell>
          <cell r="AS165" t="str">
            <v>고객사 공통 / 2026년_인프라운영_HC11_1분기(4500303149-01)</v>
          </cell>
          <cell r="AT165" t="str">
            <v>통상</v>
          </cell>
          <cell r="AU165" t="str">
            <v>정직원</v>
          </cell>
          <cell r="AV165" t="str">
            <v>씨앤토트플러스㈜</v>
          </cell>
          <cell r="AW165">
            <v>4625000</v>
          </cell>
          <cell r="AX165">
            <v>4625000</v>
          </cell>
          <cell r="AY165">
            <v>12</v>
          </cell>
          <cell r="AZ165">
            <v>55500000</v>
          </cell>
          <cell r="BA165"/>
          <cell r="BB165"/>
          <cell r="BC165">
            <v>45839</v>
          </cell>
          <cell r="BD165">
            <v>32004000</v>
          </cell>
          <cell r="BE165">
            <v>32841600</v>
          </cell>
          <cell r="BF165">
            <v>32841600</v>
          </cell>
          <cell r="BG165">
            <v>2736800</v>
          </cell>
          <cell r="BH165">
            <v>2270800</v>
          </cell>
          <cell r="BI165">
            <v>11822.01</v>
          </cell>
          <cell r="BJ165">
            <v>209</v>
          </cell>
          <cell r="BK165">
            <v>15</v>
          </cell>
          <cell r="BL165">
            <v>0</v>
          </cell>
          <cell r="BM165">
            <v>266000</v>
          </cell>
          <cell r="BN165">
            <v>0</v>
          </cell>
          <cell r="BO165">
            <v>200000</v>
          </cell>
          <cell r="BP165">
            <v>0</v>
          </cell>
          <cell r="BQ165" t="str">
            <v>적합</v>
          </cell>
          <cell r="BR165"/>
          <cell r="BS165">
            <v>472880.4</v>
          </cell>
          <cell r="BT165">
            <v>2776206.7</v>
          </cell>
          <cell r="BU165">
            <v>1445976</v>
          </cell>
          <cell r="BV165">
            <v>1239898.5446399997</v>
          </cell>
          <cell r="BW165">
            <v>471844.8</v>
          </cell>
          <cell r="BX165">
            <v>200914.56</v>
          </cell>
          <cell r="BY165">
            <v>3421000</v>
          </cell>
          <cell r="BZ165">
            <v>36090687.100000001</v>
          </cell>
          <cell r="CA165">
            <v>3358633.9046399998</v>
          </cell>
          <cell r="CB165">
            <v>41052000</v>
          </cell>
          <cell r="CC165">
            <v>14448000</v>
          </cell>
          <cell r="CD165">
            <v>26.032432432432433</v>
          </cell>
        </row>
        <row r="166">
          <cell r="F166" t="str">
            <v>유호근</v>
          </cell>
          <cell r="G166" t="str">
            <v>대리</v>
          </cell>
          <cell r="H166" t="str">
            <v>초급</v>
          </cell>
          <cell r="I166" t="str">
            <v>초급기술자</v>
          </cell>
          <cell r="J166" t="str">
            <v>하도급(M/M)</v>
          </cell>
          <cell r="K166" t="str">
            <v>보안솔루션 운영원</v>
          </cell>
          <cell r="L166" t="str">
            <v>2024_신규</v>
          </cell>
          <cell r="M166"/>
          <cell r="N166" t="str">
            <v>010-8697-8978</v>
          </cell>
          <cell r="O166" t="str">
            <v>YHG1028@cnthoth.com</v>
          </cell>
          <cell r="P166" t="str">
            <v>891227-1</v>
          </cell>
          <cell r="Q166">
            <v>44348</v>
          </cell>
          <cell r="R166">
            <v>45597</v>
          </cell>
          <cell r="S166"/>
          <cell r="T166" t="str">
            <v>한국교통대학교</v>
          </cell>
          <cell r="U166" t="str">
            <v>정보통신학과</v>
          </cell>
          <cell r="V166" t="str">
            <v>대졸</v>
          </cell>
          <cell r="W166"/>
          <cell r="X166"/>
          <cell r="Y166"/>
          <cell r="Z166">
            <v>1805</v>
          </cell>
          <cell r="AA166">
            <v>556</v>
          </cell>
          <cell r="AB166"/>
          <cell r="AC166"/>
          <cell r="AD166" t="str">
            <v>SK쉴더스_판교</v>
          </cell>
          <cell r="AE166" t="str">
            <v>경기도</v>
          </cell>
          <cell r="AF166" t="str">
            <v>3. 콜센터 &amp; 금융 &amp; 기타</v>
          </cell>
          <cell r="AG166" t="str">
            <v>3. 콜센터 &amp; 금융 &amp; 기타</v>
          </cell>
          <cell r="AH166" t="str">
            <v>씨앤토트㈜</v>
          </cell>
          <cell r="AI166" t="str">
            <v>SK쉴더스(판교)</v>
          </cell>
          <cell r="AJ166" t="str">
            <v>본사 관리</v>
          </cell>
          <cell r="AK166">
            <v>13486</v>
          </cell>
          <cell r="AL166" t="str">
            <v>경기도 성남시 분당구 판교로 227번길 23, 4층</v>
          </cell>
          <cell r="AM166" t="str">
            <v>12652</v>
          </cell>
          <cell r="AN166" t="str">
            <v>경기도 여주시 세종로 254-16, 107동 505호 (교동, 호반리젠시빌아파트)</v>
          </cell>
          <cell r="AO166" t="str">
            <v>SK쉴더스 보안운영팀</v>
          </cell>
          <cell r="AP166" t="str">
            <v>정보보안솔루션 운영</v>
          </cell>
          <cell r="AQ166" t="str">
            <v>보안 솔루션 운영</v>
          </cell>
          <cell r="AR166"/>
          <cell r="AS166" t="str">
            <v>SK쉴더스 정보보안솔루션 운영(25-10-1001)</v>
          </cell>
          <cell r="AT166" t="str">
            <v>통상</v>
          </cell>
          <cell r="AU166" t="str">
            <v>정직원</v>
          </cell>
          <cell r="AV166" t="str">
            <v>씨앤토트플러스㈜</v>
          </cell>
          <cell r="AW166">
            <v>5300000</v>
          </cell>
          <cell r="AX166">
            <v>5300000</v>
          </cell>
          <cell r="AY166">
            <v>12</v>
          </cell>
          <cell r="AZ166">
            <v>63600000</v>
          </cell>
          <cell r="BA166"/>
          <cell r="BB166"/>
          <cell r="BC166">
            <v>45597</v>
          </cell>
          <cell r="BD166">
            <v>37008000</v>
          </cell>
          <cell r="BE166">
            <v>37008000</v>
          </cell>
          <cell r="BF166">
            <v>37008000</v>
          </cell>
          <cell r="BG166">
            <v>3084000</v>
          </cell>
          <cell r="BH166">
            <v>2584200</v>
          </cell>
          <cell r="BI166">
            <v>13321.53</v>
          </cell>
          <cell r="BJ166">
            <v>209</v>
          </cell>
          <cell r="BK166">
            <v>15</v>
          </cell>
          <cell r="BL166">
            <v>0</v>
          </cell>
          <cell r="BM166">
            <v>299800</v>
          </cell>
          <cell r="BN166">
            <v>0</v>
          </cell>
          <cell r="BO166">
            <v>200000</v>
          </cell>
          <cell r="BP166">
            <v>0</v>
          </cell>
          <cell r="BQ166" t="str">
            <v>적합</v>
          </cell>
          <cell r="BR166"/>
          <cell r="BS166">
            <v>532861.20000000007</v>
          </cell>
          <cell r="BT166">
            <v>3128405.1</v>
          </cell>
          <cell r="BU166">
            <v>1643880</v>
          </cell>
          <cell r="BV166">
            <v>1409597.6832000001</v>
          </cell>
          <cell r="BW166">
            <v>536424</v>
          </cell>
          <cell r="BX166">
            <v>228412.79999999999</v>
          </cell>
          <cell r="BY166">
            <v>3855000</v>
          </cell>
          <cell r="BZ166">
            <v>40669266.300000004</v>
          </cell>
          <cell r="CA166">
            <v>3818314.4831999997</v>
          </cell>
          <cell r="CB166">
            <v>46260000</v>
          </cell>
          <cell r="CC166">
            <v>17340000</v>
          </cell>
          <cell r="CD166">
            <v>27.264150943396224</v>
          </cell>
        </row>
        <row r="167">
          <cell r="F167" t="str">
            <v>이영훈</v>
          </cell>
          <cell r="G167" t="str">
            <v>사원</v>
          </cell>
          <cell r="H167" t="str">
            <v>초급하</v>
          </cell>
          <cell r="I167" t="str">
            <v>초급기술자</v>
          </cell>
          <cell r="J167" t="str">
            <v>하도급(M/M)</v>
          </cell>
          <cell r="K167" t="str">
            <v>서비스 관제 엔지니어</v>
          </cell>
          <cell r="L167" t="str">
            <v>박세혁 후임</v>
          </cell>
          <cell r="M167"/>
          <cell r="N167" t="str">
            <v>010-5410-7138</v>
          </cell>
          <cell r="O167" t="str">
            <v>LYH0505@cnthoth.com</v>
          </cell>
          <cell r="P167" t="str">
            <v>910505-1</v>
          </cell>
          <cell r="Q167">
            <v>45616</v>
          </cell>
          <cell r="R167">
            <v>45616</v>
          </cell>
          <cell r="S167"/>
          <cell r="T167" t="str">
            <v>ICT폴리텍대학교</v>
          </cell>
          <cell r="U167" t="str">
            <v>클라우드인터넷학과</v>
          </cell>
          <cell r="V167" t="str">
            <v>전문대졸</v>
          </cell>
          <cell r="W167" t="str">
            <v>사무자동화산업기사</v>
          </cell>
          <cell r="X167"/>
          <cell r="Y167"/>
          <cell r="Z167">
            <v>14</v>
          </cell>
          <cell r="AA167">
            <v>537</v>
          </cell>
          <cell r="AB167"/>
          <cell r="AC167"/>
          <cell r="AD167" t="str">
            <v>이천HN_OP</v>
          </cell>
          <cell r="AE167" t="str">
            <v>경기도</v>
          </cell>
          <cell r="AF167" t="str">
            <v>4. SKB/SK하이닉스 Infra 운영</v>
          </cell>
          <cell r="AG167" t="str">
            <v>4. SKB/SK하이닉스 Infra 운영</v>
          </cell>
          <cell r="AH167" t="str">
            <v>SK AX</v>
          </cell>
          <cell r="AI167" t="str">
            <v>SK하이닉스(이천)</v>
          </cell>
          <cell r="AJ167" t="str">
            <v>임봉영</v>
          </cell>
          <cell r="AK167" t="str">
            <v>17336</v>
          </cell>
          <cell r="AL167" t="str">
            <v xml:space="preserve">경기도 이천시 부발읍 경충대로 2091, SK하이닉스 기술지원센터 2층 SKHDC2 </v>
          </cell>
          <cell r="AM167">
            <v>17045</v>
          </cell>
          <cell r="AN167" t="str">
            <v>경기도 용인시 처인구 낙은로 100-31, 205동 201호 (역북동, 서희스타힐스 포레스트)</v>
          </cell>
          <cell r="AO167" t="str">
            <v>Hynix Cloud팀</v>
          </cell>
          <cell r="AP167" t="str">
            <v>이천 DC 운영</v>
          </cell>
          <cell r="AQ167" t="str">
            <v>H/W 육안점검, 시스템 모니터링 및 장애 전파</v>
          </cell>
          <cell r="AS167" t="str">
            <v>에스케이하이닉스(주) / SKHy '26년 ITO_데이타관제_1분기(4500303464-01)</v>
          </cell>
          <cell r="AT167" t="str">
            <v>스케줄</v>
          </cell>
          <cell r="AU167" t="str">
            <v>정직원</v>
          </cell>
          <cell r="AV167" t="str">
            <v>씨앤토트플러스㈜</v>
          </cell>
          <cell r="AW167">
            <v>4138000</v>
          </cell>
          <cell r="AX167">
            <v>4138000</v>
          </cell>
          <cell r="AY167">
            <v>12</v>
          </cell>
          <cell r="AZ167">
            <v>49656000</v>
          </cell>
          <cell r="BA167"/>
          <cell r="BB167"/>
          <cell r="BC167">
            <v>45839</v>
          </cell>
          <cell r="BD167">
            <v>27500880</v>
          </cell>
          <cell r="BE167">
            <v>28280400</v>
          </cell>
          <cell r="BF167">
            <v>28280400</v>
          </cell>
          <cell r="BG167">
            <v>2356700</v>
          </cell>
          <cell r="BH167">
            <v>1720200</v>
          </cell>
          <cell r="BI167">
            <v>10435.870000000001</v>
          </cell>
          <cell r="BJ167">
            <v>184</v>
          </cell>
          <cell r="BK167">
            <v>38.020000000000003</v>
          </cell>
          <cell r="BL167">
            <v>45.63</v>
          </cell>
          <cell r="BM167">
            <v>198400</v>
          </cell>
          <cell r="BN167">
            <v>238100</v>
          </cell>
          <cell r="BO167">
            <v>200000</v>
          </cell>
          <cell r="BP167">
            <v>1890197</v>
          </cell>
          <cell r="BQ167" t="str">
            <v>적합</v>
          </cell>
          <cell r="BR167"/>
          <cell r="BS167">
            <v>1043587.0000000001</v>
          </cell>
          <cell r="BT167">
            <v>2443665.5833333335</v>
          </cell>
          <cell r="BU167">
            <v>1229319</v>
          </cell>
          <cell r="BV167">
            <v>1054119.0441599998</v>
          </cell>
          <cell r="BW167">
            <v>401146.2</v>
          </cell>
          <cell r="BX167">
            <v>170810.63999999998</v>
          </cell>
          <cell r="BY167">
            <v>2945875</v>
          </cell>
          <cell r="BZ167">
            <v>31767652.583333332</v>
          </cell>
          <cell r="CA167">
            <v>2855394.8841600004</v>
          </cell>
          <cell r="CB167">
            <v>35350500</v>
          </cell>
          <cell r="CC167">
            <v>12018361.629999999</v>
          </cell>
          <cell r="CD167">
            <v>24.203241561946186</v>
          </cell>
        </row>
        <row r="168">
          <cell r="F168" t="str">
            <v>이호정</v>
          </cell>
          <cell r="G168" t="str">
            <v>과장</v>
          </cell>
          <cell r="H168" t="str">
            <v>초급상</v>
          </cell>
          <cell r="I168" t="str">
            <v>초급기술자</v>
          </cell>
          <cell r="J168" t="str">
            <v>하도급(M/M)</v>
          </cell>
          <cell r="K168" t="str">
            <v>K8s 엔지니어</v>
          </cell>
          <cell r="L168" t="str">
            <v>2024_신규</v>
          </cell>
          <cell r="M168"/>
          <cell r="N168" t="str">
            <v>010-6692-9679</v>
          </cell>
          <cell r="O168" t="str">
            <v>Leehj@cnthoth.com</v>
          </cell>
          <cell r="P168" t="str">
            <v>920527-1</v>
          </cell>
          <cell r="Q168">
            <v>42948</v>
          </cell>
          <cell r="R168">
            <v>45632</v>
          </cell>
          <cell r="S168"/>
          <cell r="T168" t="str">
            <v>국가평생진흥교육원</v>
          </cell>
          <cell r="U168" t="str">
            <v>컴퓨터공학</v>
          </cell>
          <cell r="V168" t="str">
            <v>대졸</v>
          </cell>
          <cell r="W168" t="str">
            <v>정보처리산업기사</v>
          </cell>
          <cell r="X168" t="str">
            <v>컴퓨터활용능력1급</v>
          </cell>
          <cell r="Y168" t="str">
            <v>CKA, CKAD</v>
          </cell>
          <cell r="Z168">
            <v>2682</v>
          </cell>
          <cell r="AA168">
            <v>521</v>
          </cell>
          <cell r="AB168">
            <v>46122</v>
          </cell>
          <cell r="AC168" t="str">
            <v>개인사유(이직)</v>
          </cell>
          <cell r="AD168" t="str">
            <v>배재빌딩 6F(AIA생명)_서소문로</v>
          </cell>
          <cell r="AE168" t="str">
            <v>서울특별시</v>
          </cell>
          <cell r="AF168" t="str">
            <v>3. 콜센터 &amp; 금융 &amp; 기타</v>
          </cell>
          <cell r="AG168" t="str">
            <v>3. 콜센터 &amp; 금융 &amp; 기타</v>
          </cell>
          <cell r="AH168" t="str">
            <v>SK AX</v>
          </cell>
          <cell r="AI168" t="str">
            <v>AIA생명</v>
          </cell>
          <cell r="AJ168" t="str">
            <v>본사 관리</v>
          </cell>
          <cell r="AK168" t="str">
            <v>04516</v>
          </cell>
          <cell r="AL168" t="str">
            <v>서울시 중구 서소문로 103 배재빌딩 613호</v>
          </cell>
          <cell r="AM168" t="str">
            <v>02034</v>
          </cell>
          <cell r="AN168" t="str">
            <v>서울특별시 중랑구 공릉로2나길 35 202호 (묵동)</v>
          </cell>
          <cell r="AO168" t="str">
            <v>Cloud서비스 2팀</v>
          </cell>
          <cell r="AP168" t="str">
            <v>AIA생명 클라우드인프라운영</v>
          </cell>
          <cell r="AQ168" t="str">
            <v>클라우드 K8S 운영</v>
          </cell>
          <cell r="AR168"/>
          <cell r="AS168" t="str">
            <v>에이아이에이생명보험 주식회사 / AIA생명 26년 CMS(Cloud Managed Service) 운영사업(4500304280-01)</v>
          </cell>
          <cell r="AT168" t="str">
            <v>통상</v>
          </cell>
          <cell r="AU168" t="str">
            <v>정직원</v>
          </cell>
          <cell r="AV168" t="str">
            <v>씨앤토트플러스㈜</v>
          </cell>
          <cell r="AW168">
            <v>6000000</v>
          </cell>
          <cell r="AX168">
            <v>6000000</v>
          </cell>
          <cell r="AY168">
            <v>12</v>
          </cell>
          <cell r="AZ168">
            <v>72000000</v>
          </cell>
          <cell r="BA168"/>
          <cell r="BB168"/>
          <cell r="BC168">
            <v>46023</v>
          </cell>
          <cell r="BD168">
            <v>53004000</v>
          </cell>
          <cell r="BE168">
            <v>53004000</v>
          </cell>
          <cell r="BF168">
            <v>54205200</v>
          </cell>
          <cell r="BG168">
            <v>4517100</v>
          </cell>
          <cell r="BH168">
            <v>3878000.0000000005</v>
          </cell>
          <cell r="BI168">
            <v>19511.96</v>
          </cell>
          <cell r="BJ168">
            <v>209</v>
          </cell>
          <cell r="BK168">
            <v>15</v>
          </cell>
          <cell r="BL168">
            <v>0</v>
          </cell>
          <cell r="BM168">
            <v>439100</v>
          </cell>
          <cell r="BN168">
            <v>0</v>
          </cell>
          <cell r="BO168">
            <v>200000</v>
          </cell>
          <cell r="BP168">
            <v>0</v>
          </cell>
          <cell r="BQ168" t="str">
            <v>적합</v>
          </cell>
          <cell r="BR168"/>
          <cell r="BS168">
            <v>780478.39999999991</v>
          </cell>
          <cell r="BT168">
            <v>4582139.8666666662</v>
          </cell>
          <cell r="BU168">
            <v>2460747</v>
          </cell>
          <cell r="BV168">
            <v>2110046.5180799998</v>
          </cell>
          <cell r="BW168">
            <v>802980.6</v>
          </cell>
          <cell r="BX168">
            <v>341914.32</v>
          </cell>
          <cell r="BY168">
            <v>5646375</v>
          </cell>
          <cell r="BZ168">
            <v>59567818.266666666</v>
          </cell>
          <cell r="CA168">
            <v>5715688.4380799998</v>
          </cell>
          <cell r="CB168">
            <v>67756500</v>
          </cell>
          <cell r="CC168">
            <v>4243500</v>
          </cell>
          <cell r="CD168">
            <v>5.8937499999999998</v>
          </cell>
        </row>
        <row r="169">
          <cell r="F169" t="str">
            <v>권민우</v>
          </cell>
          <cell r="G169" t="str">
            <v>사원</v>
          </cell>
          <cell r="H169" t="str">
            <v>초급상</v>
          </cell>
          <cell r="I169" t="str">
            <v>초급기술자</v>
          </cell>
          <cell r="J169" t="str">
            <v>하도급(FTE)</v>
          </cell>
          <cell r="K169" t="str">
            <v>서비스 관제 엔지니어</v>
          </cell>
          <cell r="L169" t="str">
            <v>신선영 후임</v>
          </cell>
          <cell r="M169"/>
          <cell r="N169" t="str">
            <v>010-3805-6295</v>
          </cell>
          <cell r="O169" t="str">
            <v>lyarid2@cnthoth.com</v>
          </cell>
          <cell r="P169" t="str">
            <v>991201-1</v>
          </cell>
          <cell r="Q169">
            <v>45642</v>
          </cell>
          <cell r="R169">
            <v>45642</v>
          </cell>
          <cell r="S169"/>
          <cell r="T169" t="str">
            <v>동서울대학교</v>
          </cell>
          <cell r="U169" t="str">
            <v>정보통신과</v>
          </cell>
          <cell r="V169" t="str">
            <v>전문대졸</v>
          </cell>
          <cell r="W169"/>
          <cell r="X169"/>
          <cell r="Y169"/>
          <cell r="Z169">
            <v>511</v>
          </cell>
          <cell r="AA169">
            <v>511</v>
          </cell>
          <cell r="AB169"/>
          <cell r="AC169"/>
          <cell r="AD169" t="str">
            <v>보라매DC</v>
          </cell>
          <cell r="AE169" t="str">
            <v>서울특별시</v>
          </cell>
          <cell r="AF169" t="str">
            <v>1. Infra 운영</v>
          </cell>
          <cell r="AG169" t="str">
            <v>1. Infra 운영</v>
          </cell>
          <cell r="AH169" t="str">
            <v>SK AX</v>
          </cell>
          <cell r="AI169" t="str">
            <v>SKT(보라매)</v>
          </cell>
          <cell r="AJ169" t="str">
            <v>조원석</v>
          </cell>
          <cell r="AK169" t="str">
            <v>08708</v>
          </cell>
          <cell r="AL169" t="str">
            <v>서울시 관악구 보라매로5길 1  SK텔레콤빌딩 7F (봉천동)</v>
          </cell>
          <cell r="AM169">
            <v>11742</v>
          </cell>
          <cell r="AN169" t="str">
            <v>경기도 의정부시 추동로 12, 110동 708호 (신곡동, 신곡은하수아파트)</v>
          </cell>
          <cell r="AO169" t="str">
            <v>T Biz. Cloud팀</v>
          </cell>
          <cell r="AP169" t="str">
            <v>보라매 DC 운영</v>
          </cell>
          <cell r="AQ169" t="str">
            <v>H/W 육안점검, 시스템 모니터링 및 장애 전파</v>
          </cell>
          <cell r="AS169" t="str">
            <v>고객사 공통 / 2026년_인프라운영_HC12_1분기(4500303380-01)</v>
          </cell>
          <cell r="AT169" t="str">
            <v>스케줄</v>
          </cell>
          <cell r="AU169" t="str">
            <v>정직원</v>
          </cell>
          <cell r="AV169" t="str">
            <v>씨앤토트플러스㈜</v>
          </cell>
          <cell r="AW169">
            <v>4481000</v>
          </cell>
          <cell r="AX169">
            <v>4481000</v>
          </cell>
          <cell r="AY169">
            <v>12</v>
          </cell>
          <cell r="AZ169">
            <v>53772000</v>
          </cell>
          <cell r="BA169"/>
          <cell r="BB169"/>
          <cell r="BC169">
            <v>46023</v>
          </cell>
          <cell r="BD169">
            <v>30666000</v>
          </cell>
          <cell r="BE169">
            <v>31267200</v>
          </cell>
          <cell r="BF169">
            <v>31552800</v>
          </cell>
          <cell r="BG169">
            <v>2629400</v>
          </cell>
          <cell r="BH169">
            <v>1921100</v>
          </cell>
          <cell r="BI169">
            <v>10320.15</v>
          </cell>
          <cell r="BJ169">
            <v>205.53</v>
          </cell>
          <cell r="BK169">
            <v>32.590000000000003</v>
          </cell>
          <cell r="BL169">
            <v>65.900000000000006</v>
          </cell>
          <cell r="BM169">
            <v>168200</v>
          </cell>
          <cell r="BN169">
            <v>340100</v>
          </cell>
          <cell r="BO169">
            <v>200000</v>
          </cell>
          <cell r="BP169">
            <v>1013034</v>
          </cell>
          <cell r="BQ169" t="str">
            <v>적합</v>
          </cell>
          <cell r="BR169"/>
          <cell r="BS169">
            <v>1032015</v>
          </cell>
          <cell r="BT169">
            <v>2715401.25</v>
          </cell>
          <cell r="BU169">
            <v>1384758</v>
          </cell>
          <cell r="BV169">
            <v>1187405.2051199998</v>
          </cell>
          <cell r="BW169">
            <v>451868.4</v>
          </cell>
          <cell r="BX169">
            <v>192408.48</v>
          </cell>
          <cell r="BY169">
            <v>3286750</v>
          </cell>
          <cell r="BZ169">
            <v>35300216.25</v>
          </cell>
          <cell r="CA169">
            <v>3216440.0851199999</v>
          </cell>
          <cell r="CB169">
            <v>39441000</v>
          </cell>
          <cell r="CC169">
            <v>13105228.859999999</v>
          </cell>
          <cell r="CD169">
            <v>24.371845681767461</v>
          </cell>
        </row>
        <row r="170">
          <cell r="F170" t="str">
            <v>강우빈</v>
          </cell>
          <cell r="G170" t="str">
            <v>대리</v>
          </cell>
          <cell r="H170" t="str">
            <v>초급하</v>
          </cell>
          <cell r="I170" t="str">
            <v>초급기술자</v>
          </cell>
          <cell r="J170" t="str">
            <v>하도급(M/M)</v>
          </cell>
          <cell r="K170" t="str">
            <v>NOC 엔지니어</v>
          </cell>
          <cell r="L170" t="str">
            <v>풍기웅 후임</v>
          </cell>
          <cell r="M170"/>
          <cell r="N170" t="str">
            <v>010-6344-6399</v>
          </cell>
          <cell r="O170" t="str">
            <v>hskang@cnthoth.com</v>
          </cell>
          <cell r="P170" t="str">
            <v>961015-1</v>
          </cell>
          <cell r="Q170">
            <v>43862</v>
          </cell>
          <cell r="R170">
            <v>45691</v>
          </cell>
          <cell r="S170"/>
          <cell r="T170" t="str">
            <v>전남도립대학교</v>
          </cell>
          <cell r="U170" t="str">
            <v>한옥건축학과</v>
          </cell>
          <cell r="V170" t="str">
            <v>대졸</v>
          </cell>
          <cell r="W170"/>
          <cell r="X170"/>
          <cell r="Y170"/>
          <cell r="Z170">
            <v>2291</v>
          </cell>
          <cell r="AA170">
            <v>462</v>
          </cell>
          <cell r="AB170"/>
          <cell r="AC170"/>
          <cell r="AD170" t="str">
            <v>판교NOC</v>
          </cell>
          <cell r="AE170" t="str">
            <v>경기도</v>
          </cell>
          <cell r="AF170" t="str">
            <v>2. Network Service</v>
          </cell>
          <cell r="AG170" t="str">
            <v>2. Network Service</v>
          </cell>
          <cell r="AH170" t="str">
            <v>SK AX</v>
          </cell>
          <cell r="AI170" t="str">
            <v>SK그룹사(공통)</v>
          </cell>
          <cell r="AJ170" t="str">
            <v>최재유</v>
          </cell>
          <cell r="AK170">
            <v>13486</v>
          </cell>
          <cell r="AL170" t="str">
            <v>경기도 성남시 분당구 판교로 255번길 46 SK C&amp;C 판교캠퍼스 A동 4층</v>
          </cell>
          <cell r="AM170" t="str">
            <v>12764</v>
          </cell>
          <cell r="AN170" t="str">
            <v>경기도 광주시 광주역5로 18, 108동 2601호 (역동, 광주역자연앤자이)</v>
          </cell>
          <cell r="AO170" t="str">
            <v>Network Service팀</v>
          </cell>
          <cell r="AP170" t="str">
            <v>SK공통 NOC 운영</v>
          </cell>
          <cell r="AQ170" t="str">
            <v>N/W 관제, 장애 조치</v>
          </cell>
          <cell r="AS170" t="str">
            <v>고객사 공통 / 2026년_인프라운영_HC11_1분기(4500303149-01)</v>
          </cell>
          <cell r="AT170" t="str">
            <v>스케줄</v>
          </cell>
          <cell r="AU170" t="str">
            <v>정직원</v>
          </cell>
          <cell r="AV170" t="str">
            <v>씨앤토트플러스㈜</v>
          </cell>
          <cell r="AW170">
            <v>4400000</v>
          </cell>
          <cell r="AX170">
            <v>4400000</v>
          </cell>
          <cell r="AY170">
            <v>12</v>
          </cell>
          <cell r="AZ170">
            <v>52800000</v>
          </cell>
          <cell r="BA170"/>
          <cell r="BB170"/>
          <cell r="BC170">
            <v>45691</v>
          </cell>
          <cell r="BD170">
            <v>33019200</v>
          </cell>
          <cell r="BE170">
            <v>33019200</v>
          </cell>
          <cell r="BF170">
            <v>33019200</v>
          </cell>
          <cell r="BG170">
            <v>2751600</v>
          </cell>
          <cell r="BH170">
            <v>2174000</v>
          </cell>
          <cell r="BI170">
            <v>12412.42</v>
          </cell>
          <cell r="BJ170">
            <v>191.26</v>
          </cell>
          <cell r="BK170">
            <v>27.88</v>
          </cell>
          <cell r="BL170">
            <v>32.950000000000003</v>
          </cell>
          <cell r="BM170">
            <v>173100</v>
          </cell>
          <cell r="BN170">
            <v>204500</v>
          </cell>
          <cell r="BO170">
            <v>200000</v>
          </cell>
          <cell r="BP170">
            <v>714082</v>
          </cell>
          <cell r="BQ170" t="str">
            <v>적합</v>
          </cell>
          <cell r="BR170">
            <v>250000</v>
          </cell>
          <cell r="BS170">
            <v>1241242</v>
          </cell>
          <cell r="BT170">
            <v>2855036.8333333335</v>
          </cell>
          <cell r="BU170">
            <v>1454412</v>
          </cell>
          <cell r="BV170">
            <v>1247132.2636799999</v>
          </cell>
          <cell r="BW170">
            <v>474597.6</v>
          </cell>
          <cell r="BX170">
            <v>202086.72</v>
          </cell>
          <cell r="BY170">
            <v>3439500</v>
          </cell>
          <cell r="BZ170">
            <v>37115478.833333336</v>
          </cell>
          <cell r="CA170">
            <v>3378228.5836800002</v>
          </cell>
          <cell r="CB170">
            <v>41274000</v>
          </cell>
          <cell r="CC170">
            <v>10661960.779999999</v>
          </cell>
          <cell r="CD170">
            <v>20.193107537878788</v>
          </cell>
        </row>
        <row r="171">
          <cell r="F171" t="str">
            <v>노영재</v>
          </cell>
          <cell r="G171" t="str">
            <v>대리</v>
          </cell>
          <cell r="H171" t="str">
            <v>초급상</v>
          </cell>
          <cell r="I171" t="str">
            <v>초급기술자</v>
          </cell>
          <cell r="J171" t="str">
            <v>하도급(M/M)</v>
          </cell>
          <cell r="K171" t="str">
            <v>네트워크엔지니어</v>
          </cell>
          <cell r="L171" t="str">
            <v>이수빈 후임</v>
          </cell>
          <cell r="M171"/>
          <cell r="N171" t="str">
            <v>010-5193-4742</v>
          </cell>
          <cell r="O171" t="str">
            <v>winrise@cnthoth.com</v>
          </cell>
          <cell r="P171" t="str">
            <v>930214_1</v>
          </cell>
          <cell r="Q171">
            <v>44078</v>
          </cell>
          <cell r="R171">
            <v>45720</v>
          </cell>
          <cell r="S171"/>
          <cell r="T171" t="str">
            <v>한국교통대학교</v>
          </cell>
          <cell r="U171" t="str">
            <v>정보통신학과</v>
          </cell>
          <cell r="V171" t="str">
            <v>대졸</v>
          </cell>
          <cell r="W171" t="str">
            <v>정보처리기사</v>
          </cell>
          <cell r="X171" t="str">
            <v>네트워크관리사2급</v>
          </cell>
          <cell r="Y171" t="str">
            <v>리눅스마스터2급</v>
          </cell>
          <cell r="Z171">
            <v>2075</v>
          </cell>
          <cell r="AA171">
            <v>433</v>
          </cell>
          <cell r="AB171"/>
          <cell r="AD171" t="str">
            <v>SK서린빌딩_종로</v>
          </cell>
          <cell r="AE171" t="str">
            <v>서울특별시</v>
          </cell>
          <cell r="AF171" t="str">
            <v>2. Network Service</v>
          </cell>
          <cell r="AG171" t="str">
            <v>2. Network Service</v>
          </cell>
          <cell r="AH171" t="str">
            <v>SK AX</v>
          </cell>
          <cell r="AI171" t="str">
            <v>SK이노베이션</v>
          </cell>
          <cell r="AJ171" t="str">
            <v>최재유</v>
          </cell>
          <cell r="AK171" t="str">
            <v>03188</v>
          </cell>
          <cell r="AL171" t="str">
            <v>서울시 종로구 종로 26 (서린동) SK서린빌딩</v>
          </cell>
          <cell r="AM171" t="str">
            <v>03448</v>
          </cell>
          <cell r="AN171" t="str">
            <v>서울특별시 은평구 증산로15가길 8, 401호 (신사동)</v>
          </cell>
          <cell r="AO171" t="str">
            <v>Network Service팀</v>
          </cell>
          <cell r="AP171" t="str">
            <v>SKI, SKON 고객지원</v>
          </cell>
          <cell r="AQ171" t="str">
            <v>N/W 고객요청 처리</v>
          </cell>
          <cell r="AS171" t="str">
            <v>고객사 공통 / SKIX 26년 온프렘(HW,SW) 운영_1분기 (4500303678-01)</v>
          </cell>
          <cell r="AT171" t="str">
            <v>통상</v>
          </cell>
          <cell r="AU171" t="str">
            <v>정직원</v>
          </cell>
          <cell r="AV171" t="str">
            <v>씨앤토트플러스㈜</v>
          </cell>
          <cell r="AW171">
            <v>4400000</v>
          </cell>
          <cell r="AX171">
            <v>4400000</v>
          </cell>
          <cell r="AY171">
            <v>12</v>
          </cell>
          <cell r="AZ171">
            <v>52800000</v>
          </cell>
          <cell r="BA171"/>
          <cell r="BB171"/>
          <cell r="BC171">
            <v>45720</v>
          </cell>
          <cell r="BD171">
            <v>33000000</v>
          </cell>
          <cell r="BE171">
            <v>33000000</v>
          </cell>
          <cell r="BF171">
            <v>33000000</v>
          </cell>
          <cell r="BG171">
            <v>2750000</v>
          </cell>
          <cell r="BH171">
            <v>2282700</v>
          </cell>
          <cell r="BI171">
            <v>11878.95</v>
          </cell>
          <cell r="BJ171">
            <v>209</v>
          </cell>
          <cell r="BK171">
            <v>15</v>
          </cell>
          <cell r="BL171">
            <v>0</v>
          </cell>
          <cell r="BM171">
            <v>267300</v>
          </cell>
          <cell r="BN171">
            <v>0</v>
          </cell>
          <cell r="BO171">
            <v>200000</v>
          </cell>
          <cell r="BP171">
            <v>0</v>
          </cell>
          <cell r="BQ171" t="str">
            <v>적합</v>
          </cell>
          <cell r="BR171"/>
          <cell r="BS171">
            <v>475158</v>
          </cell>
          <cell r="BT171">
            <v>2789596.5</v>
          </cell>
          <cell r="BU171">
            <v>1453500</v>
          </cell>
          <cell r="BV171">
            <v>1246350.24</v>
          </cell>
          <cell r="BW171">
            <v>474300</v>
          </cell>
          <cell r="BX171">
            <v>201960</v>
          </cell>
          <cell r="BY171">
            <v>3437500</v>
          </cell>
          <cell r="BZ171">
            <v>36264754.5</v>
          </cell>
          <cell r="CA171">
            <v>3376110.24</v>
          </cell>
          <cell r="CB171">
            <v>41250000</v>
          </cell>
          <cell r="CC171">
            <v>11550000</v>
          </cell>
          <cell r="CD171">
            <v>21.875</v>
          </cell>
        </row>
        <row r="172">
          <cell r="F172" t="str">
            <v>조상현</v>
          </cell>
          <cell r="G172" t="str">
            <v>사원</v>
          </cell>
          <cell r="H172" t="str">
            <v>초급하</v>
          </cell>
          <cell r="I172" t="str">
            <v>초급기술자</v>
          </cell>
          <cell r="J172" t="str">
            <v>하도급(M/M)</v>
          </cell>
          <cell r="K172" t="str">
            <v>서비스 관제 엔지니어</v>
          </cell>
          <cell r="L172"/>
          <cell r="M172"/>
          <cell r="N172" t="str">
            <v>010-5590-3585</v>
          </cell>
          <cell r="O172" t="str">
            <v>pioneer@cnthoth.com</v>
          </cell>
          <cell r="P172" t="str">
            <v>000425-3</v>
          </cell>
          <cell r="Q172">
            <v>45733</v>
          </cell>
          <cell r="R172">
            <v>45733</v>
          </cell>
          <cell r="S172"/>
          <cell r="T172" t="str">
            <v>한경국립대학교</v>
          </cell>
          <cell r="U172" t="str">
            <v>컴퓨터정보보안과</v>
          </cell>
          <cell r="V172" t="str">
            <v>전문대졸</v>
          </cell>
          <cell r="W172" t="str">
            <v>네트워크관리사2급</v>
          </cell>
          <cell r="X172" t="str">
            <v>리눅스마스터2급</v>
          </cell>
          <cell r="Y172" t="str">
            <v>AWS SAA</v>
          </cell>
          <cell r="Z172">
            <v>420</v>
          </cell>
          <cell r="AA172">
            <v>420</v>
          </cell>
          <cell r="AB172"/>
          <cell r="AD172" t="str">
            <v>이천HN_OP</v>
          </cell>
          <cell r="AE172" t="str">
            <v>경기도</v>
          </cell>
          <cell r="AF172" t="str">
            <v>4. SKB/SK하이닉스 Infra 운영</v>
          </cell>
          <cell r="AG172" t="str">
            <v>4. SKB/SK하이닉스 Infra 운영</v>
          </cell>
          <cell r="AH172" t="str">
            <v>SK AX</v>
          </cell>
          <cell r="AI172" t="str">
            <v>SK하이닉스(이천)</v>
          </cell>
          <cell r="AJ172" t="str">
            <v>임봉영</v>
          </cell>
          <cell r="AK172" t="str">
            <v>17336</v>
          </cell>
          <cell r="AL172" t="str">
            <v xml:space="preserve">경기도 이천시 부발읍 경충대로 2091, SK하이닉스 기술지원센터 2층 SKHDC2 </v>
          </cell>
          <cell r="AM172" t="str">
            <v>17338</v>
          </cell>
          <cell r="AN172" t="str">
            <v>경기도 이천시 대월면 사동로159번길 9-6, 402호 (대월면, 다행빌리지)</v>
          </cell>
          <cell r="AO172" t="str">
            <v>Hynix Cloud팀</v>
          </cell>
          <cell r="AP172" t="str">
            <v>이천 DC 운영</v>
          </cell>
          <cell r="AQ172" t="str">
            <v>H/W 육안점검, 시스템 모니터링 및 장애 전파</v>
          </cell>
          <cell r="AS172" t="str">
            <v>에스케이하이닉스(주) / SKHy '26년 ITO_데이타관제_1분기(4500303464-01)</v>
          </cell>
          <cell r="AT172" t="str">
            <v>스케줄</v>
          </cell>
          <cell r="AU172" t="str">
            <v>정직원</v>
          </cell>
          <cell r="AV172" t="str">
            <v>씨앤토트플러스㈜</v>
          </cell>
          <cell r="AW172">
            <v>4056000</v>
          </cell>
          <cell r="AX172">
            <v>4056000</v>
          </cell>
          <cell r="AY172">
            <v>12</v>
          </cell>
          <cell r="AZ172">
            <v>48672000</v>
          </cell>
          <cell r="BA172"/>
          <cell r="BB172"/>
          <cell r="BC172">
            <v>46023</v>
          </cell>
          <cell r="BD172">
            <v>27500880</v>
          </cell>
          <cell r="BE172">
            <v>27525600</v>
          </cell>
          <cell r="BF172">
            <v>27967200</v>
          </cell>
          <cell r="BG172">
            <v>2330600</v>
          </cell>
          <cell r="BH172">
            <v>1698900</v>
          </cell>
          <cell r="BI172">
            <v>10320.11</v>
          </cell>
          <cell r="BJ172">
            <v>184</v>
          </cell>
          <cell r="BK172">
            <v>38.020000000000003</v>
          </cell>
          <cell r="BL172">
            <v>45.63</v>
          </cell>
          <cell r="BM172">
            <v>196200</v>
          </cell>
          <cell r="BN172">
            <v>235500</v>
          </cell>
          <cell r="BO172">
            <v>200000</v>
          </cell>
          <cell r="BP172">
            <v>1869230</v>
          </cell>
          <cell r="BQ172" t="str">
            <v>적합</v>
          </cell>
          <cell r="BR172"/>
          <cell r="BS172">
            <v>1032011</v>
          </cell>
          <cell r="BT172">
            <v>2416600.9166666665</v>
          </cell>
          <cell r="BU172">
            <v>1214442</v>
          </cell>
          <cell r="BV172">
            <v>1041362.28288</v>
          </cell>
          <cell r="BW172">
            <v>396291.6</v>
          </cell>
          <cell r="BX172">
            <v>168743.52</v>
          </cell>
          <cell r="BY172">
            <v>2913250</v>
          </cell>
          <cell r="BZ172">
            <v>31415811.916666668</v>
          </cell>
          <cell r="CA172">
            <v>2820839.40288</v>
          </cell>
          <cell r="CB172">
            <v>34959000</v>
          </cell>
          <cell r="CC172">
            <v>11451231.699999999</v>
          </cell>
          <cell r="CD172">
            <v>23.527349810979619</v>
          </cell>
        </row>
        <row r="173">
          <cell r="F173" t="str">
            <v>이원영</v>
          </cell>
          <cell r="G173" t="str">
            <v>대리</v>
          </cell>
          <cell r="H173" t="str">
            <v>초급하</v>
          </cell>
          <cell r="I173" t="str">
            <v>초급기술자</v>
          </cell>
          <cell r="J173" t="str">
            <v>하도급(M/M)</v>
          </cell>
          <cell r="K173" t="str">
            <v>IT 서비스 데스크 엔지니어</v>
          </cell>
          <cell r="L173" t="str">
            <v>2025_신규</v>
          </cell>
          <cell r="N173" t="str">
            <v>010-7233-5900</v>
          </cell>
          <cell r="O173" t="str">
            <v>Marin@cnthoth.com</v>
          </cell>
          <cell r="P173" t="str">
            <v>951006-1</v>
          </cell>
          <cell r="Q173">
            <v>44197</v>
          </cell>
          <cell r="R173">
            <v>45740</v>
          </cell>
          <cell r="T173" t="str">
            <v>배재대학교</v>
          </cell>
          <cell r="U173" t="str">
            <v>건설환경철도공학</v>
          </cell>
          <cell r="V173" t="str">
            <v>대졸</v>
          </cell>
          <cell r="W173" t="str">
            <v>ITQ(Word)</v>
          </cell>
          <cell r="X173" t="str">
            <v>ITQ(excel)</v>
          </cell>
          <cell r="Y173" t="str">
            <v>ITQ(PPT)</v>
          </cell>
          <cell r="Z173">
            <v>1956</v>
          </cell>
          <cell r="AA173">
            <v>413</v>
          </cell>
          <cell r="AB173"/>
          <cell r="AD173" t="str">
            <v>씨앤토트플러스 9층_이수</v>
          </cell>
          <cell r="AE173" t="str">
            <v>서울특별시</v>
          </cell>
          <cell r="AF173" t="str">
            <v>5. 신규사업</v>
          </cell>
          <cell r="AG173" t="str">
            <v>1. Infra 운영</v>
          </cell>
          <cell r="AH173" t="str">
            <v>씨앤토트㈜</v>
          </cell>
          <cell r="AI173" t="str">
            <v>대우건설</v>
          </cell>
          <cell r="AJ173" t="str">
            <v>본사 관리</v>
          </cell>
          <cell r="AK173" t="str">
            <v>06675</v>
          </cell>
          <cell r="AL173" t="str">
            <v>서울시 서초구 방배천로91, 구산타워 9층</v>
          </cell>
          <cell r="AM173" t="str">
            <v>07936</v>
          </cell>
          <cell r="AN173" t="str">
            <v>서울특별시 양천구 오목로11길 9, 나동 201호 (신월동, 우정쉐르빌)</v>
          </cell>
          <cell r="AO173" t="str">
            <v>씨앤토트㈜ SmartWork팀</v>
          </cell>
          <cell r="AP173" t="str">
            <v>대우건설 M365 HelpDesk</v>
          </cell>
          <cell r="AQ173" t="str">
            <v>M365 기술지원</v>
          </cell>
          <cell r="AS173" t="str">
            <v>대우건설 M365 HelpDesk 운영(25-03-1002)</v>
          </cell>
          <cell r="AT173" t="str">
            <v>통상</v>
          </cell>
          <cell r="AU173" t="str">
            <v>정직원</v>
          </cell>
          <cell r="AV173" t="str">
            <v>씨앤토트플러스㈜</v>
          </cell>
          <cell r="AW173">
            <v>4055000</v>
          </cell>
          <cell r="AX173">
            <v>4055000</v>
          </cell>
          <cell r="AY173">
            <v>12</v>
          </cell>
          <cell r="AZ173">
            <v>48660000</v>
          </cell>
          <cell r="BC173">
            <v>45748</v>
          </cell>
          <cell r="BD173">
            <v>36000000</v>
          </cell>
          <cell r="BE173">
            <v>36000000</v>
          </cell>
          <cell r="BF173">
            <v>36000000</v>
          </cell>
          <cell r="BG173">
            <v>3000000</v>
          </cell>
          <cell r="BH173">
            <v>2508400</v>
          </cell>
          <cell r="BI173">
            <v>12958.85</v>
          </cell>
          <cell r="BJ173">
            <v>209</v>
          </cell>
          <cell r="BK173">
            <v>15</v>
          </cell>
          <cell r="BL173">
            <v>0</v>
          </cell>
          <cell r="BM173">
            <v>291600</v>
          </cell>
          <cell r="BN173">
            <v>0</v>
          </cell>
          <cell r="BO173">
            <v>200000</v>
          </cell>
          <cell r="BP173">
            <v>0</v>
          </cell>
          <cell r="BQ173" t="str">
            <v>적합</v>
          </cell>
          <cell r="BR173"/>
          <cell r="BS173">
            <v>518354</v>
          </cell>
          <cell r="BT173">
            <v>3043196.1666666665</v>
          </cell>
          <cell r="BU173">
            <v>1596000</v>
          </cell>
          <cell r="BV173">
            <v>1368541.44</v>
          </cell>
          <cell r="BW173">
            <v>520800</v>
          </cell>
          <cell r="BX173">
            <v>221760</v>
          </cell>
          <cell r="BY173">
            <v>3750000</v>
          </cell>
          <cell r="BZ173">
            <v>39561550.166666664</v>
          </cell>
          <cell r="CA173">
            <v>3707101.44</v>
          </cell>
          <cell r="CB173">
            <v>45000000</v>
          </cell>
          <cell r="CC173">
            <v>3660000</v>
          </cell>
          <cell r="CD173">
            <v>7.5215782983970403</v>
          </cell>
        </row>
        <row r="174">
          <cell r="F174" t="str">
            <v>송민재</v>
          </cell>
          <cell r="G174" t="str">
            <v>과장</v>
          </cell>
          <cell r="H174" t="str">
            <v>초급상</v>
          </cell>
          <cell r="I174" t="str">
            <v>초급기술자</v>
          </cell>
          <cell r="J174" t="str">
            <v>하도급(M/M)</v>
          </cell>
          <cell r="K174" t="str">
            <v>IT 데스크탑 엔지니어</v>
          </cell>
          <cell r="L174" t="str">
            <v>2025_신규</v>
          </cell>
          <cell r="N174" t="str">
            <v>010-7347-1520</v>
          </cell>
          <cell r="O174" t="str">
            <v>sigcojin@cnthoth.com</v>
          </cell>
          <cell r="P174" t="str">
            <v>790701-1</v>
          </cell>
          <cell r="Q174">
            <v>41183</v>
          </cell>
          <cell r="R174">
            <v>45748</v>
          </cell>
          <cell r="T174" t="str">
            <v>학점은행제(학사학위취득)</v>
          </cell>
          <cell r="U174" t="str">
            <v>정보통신보안</v>
          </cell>
          <cell r="V174" t="str">
            <v>대졸</v>
          </cell>
          <cell r="W174" t="str">
            <v>정보처리산업기사</v>
          </cell>
          <cell r="X174" t="str">
            <v>컴퓨터활용능력2급</v>
          </cell>
          <cell r="Y174" t="str">
            <v>육상무선통신사</v>
          </cell>
          <cell r="Z174">
            <v>4970</v>
          </cell>
          <cell r="AA174">
            <v>405</v>
          </cell>
          <cell r="AB174"/>
          <cell r="AD174" t="str">
            <v>파라다이스시티</v>
          </cell>
          <cell r="AE174" t="str">
            <v>경기도</v>
          </cell>
          <cell r="AF174" t="str">
            <v>3. 콜센터 &amp; 금융 &amp; 기타</v>
          </cell>
          <cell r="AG174" t="str">
            <v>3. 콜센터 &amp; 금융 &amp; 기타</v>
          </cell>
          <cell r="AH174" t="str">
            <v>SK AX</v>
          </cell>
          <cell r="AI174" t="str">
            <v>파라다이스ITO</v>
          </cell>
          <cell r="AJ174" t="str">
            <v>본사 관리</v>
          </cell>
          <cell r="AK174">
            <v>22382</v>
          </cell>
          <cell r="AL174" t="str">
            <v>인천시 중구 영종해안남로321번길 186 (파라다이스시티)</v>
          </cell>
          <cell r="AM174" t="str">
            <v>22143</v>
          </cell>
          <cell r="AN174" t="str">
            <v>인천광역시 미추홀구 경원대로 884, 101동 1803호 (주안동, 주안더월드스테이트)</v>
          </cell>
          <cell r="AO174" t="str">
            <v>Cloud서비스 2팀</v>
          </cell>
          <cell r="AP174" t="str">
            <v>파라다이스CT OA운영</v>
          </cell>
          <cell r="AQ174" t="str">
            <v>PC, 키오스크, POS 장비 운용</v>
          </cell>
          <cell r="AS174" t="str">
            <v>고객사 공통  2026년_대외운영3(4500303729-01)</v>
          </cell>
          <cell r="AT174" t="str">
            <v>스케줄_파라</v>
          </cell>
          <cell r="AU174" t="str">
            <v>정직원</v>
          </cell>
          <cell r="AV174" t="str">
            <v>씨앤토트플러스㈜</v>
          </cell>
          <cell r="AW174">
            <v>5500000</v>
          </cell>
          <cell r="AX174">
            <v>5500000</v>
          </cell>
          <cell r="AY174">
            <v>12</v>
          </cell>
          <cell r="AZ174">
            <v>66000000</v>
          </cell>
          <cell r="BC174">
            <v>45748</v>
          </cell>
          <cell r="BD174">
            <v>38003999.999999993</v>
          </cell>
          <cell r="BE174">
            <v>38005200</v>
          </cell>
          <cell r="BF174">
            <v>38005200</v>
          </cell>
          <cell r="BG174">
            <v>3167100</v>
          </cell>
          <cell r="BH174">
            <v>2659200</v>
          </cell>
          <cell r="BI174">
            <v>13680.38</v>
          </cell>
          <cell r="BJ174">
            <v>209</v>
          </cell>
          <cell r="BK174">
            <v>15</v>
          </cell>
          <cell r="BL174">
            <v>0</v>
          </cell>
          <cell r="BM174">
            <v>307900</v>
          </cell>
          <cell r="BN174">
            <v>0</v>
          </cell>
          <cell r="BO174">
            <v>200000</v>
          </cell>
          <cell r="BP174">
            <v>2123879</v>
          </cell>
          <cell r="BQ174" t="str">
            <v>적합</v>
          </cell>
          <cell r="BR174"/>
          <cell r="BS174">
            <v>1368038</v>
          </cell>
          <cell r="BT174">
            <v>3281103.1666666665</v>
          </cell>
          <cell r="BU174">
            <v>1691247</v>
          </cell>
          <cell r="BV174">
            <v>1450214.0380799999</v>
          </cell>
          <cell r="BW174">
            <v>551880.6</v>
          </cell>
          <cell r="BX174">
            <v>234994.32</v>
          </cell>
          <cell r="BY174">
            <v>3958875</v>
          </cell>
          <cell r="BZ174">
            <v>42654341.166666664</v>
          </cell>
          <cell r="CA174">
            <v>3928335.9580799998</v>
          </cell>
          <cell r="CB174">
            <v>47506500</v>
          </cell>
          <cell r="CC174">
            <v>15923606.41</v>
          </cell>
          <cell r="CD174">
            <v>24.126676378787877</v>
          </cell>
        </row>
        <row r="175">
          <cell r="F175" t="str">
            <v>이윤재</v>
          </cell>
          <cell r="G175" t="str">
            <v>대리</v>
          </cell>
          <cell r="H175" t="str">
            <v>초급상</v>
          </cell>
          <cell r="I175" t="str">
            <v>초급기술자</v>
          </cell>
          <cell r="J175" t="str">
            <v>하도급(M/M)</v>
          </cell>
          <cell r="K175" t="str">
            <v>네트워크엔지니어</v>
          </cell>
          <cell r="L175" t="str">
            <v>2025_신규</v>
          </cell>
          <cell r="M175"/>
          <cell r="N175" t="str">
            <v>010-4844-7429</v>
          </cell>
          <cell r="O175" t="str">
            <v>yjlee@cnthoth.com</v>
          </cell>
          <cell r="P175" t="str">
            <v>920703-1</v>
          </cell>
          <cell r="Q175">
            <v>43709</v>
          </cell>
          <cell r="R175">
            <v>45748</v>
          </cell>
          <cell r="S175"/>
          <cell r="T175" t="str">
            <v>서울호서전문학교</v>
          </cell>
          <cell r="U175" t="str">
            <v>경영정보학</v>
          </cell>
          <cell r="V175" t="str">
            <v>전문대졸</v>
          </cell>
          <cell r="W175" t="str">
            <v>AWS CSA</v>
          </cell>
          <cell r="X175" t="str">
            <v>Azure AA</v>
          </cell>
          <cell r="Y175"/>
          <cell r="Z175">
            <v>2444</v>
          </cell>
          <cell r="AA175">
            <v>405</v>
          </cell>
          <cell r="AB175"/>
          <cell r="AC175"/>
          <cell r="AD175" t="str">
            <v>SK AX B동 4F_판교</v>
          </cell>
          <cell r="AE175" t="str">
            <v>경기도</v>
          </cell>
          <cell r="AF175" t="str">
            <v>2. Network Service</v>
          </cell>
          <cell r="AG175" t="str">
            <v>2. Network Service</v>
          </cell>
          <cell r="AH175" t="str">
            <v>SK AX</v>
          </cell>
          <cell r="AI175" t="str">
            <v>SK그룹사(공통)</v>
          </cell>
          <cell r="AJ175" t="str">
            <v>최재유</v>
          </cell>
          <cell r="AK175">
            <v>13486</v>
          </cell>
          <cell r="AL175" t="str">
            <v xml:space="preserve">경기도 성남시 분당구 판교로 255번길 38 SK C&amp;C 판교캠퍼스 B동 </v>
          </cell>
          <cell r="AM175" t="str">
            <v>07022</v>
          </cell>
          <cell r="AN175" t="str">
            <v>서울특별시 동작구 사당로16길 107, 404호 (사당동, 노블캐슬)</v>
          </cell>
          <cell r="AO175" t="str">
            <v>Network Service팀</v>
          </cell>
          <cell r="AP175" t="str">
            <v>에너지물류 N/W AWS운영</v>
          </cell>
          <cell r="AQ175" t="str">
            <v>AWS N/W 운영</v>
          </cell>
          <cell r="AR175" t="str">
            <v>/ Azure N/W운영</v>
          </cell>
          <cell r="AS175" t="str">
            <v>고객사 공통 / SKIX 26년 온프렘(HW,SW) 운영_1분기 (4500303678-01)</v>
          </cell>
          <cell r="AT175" t="str">
            <v>통상</v>
          </cell>
          <cell r="AU175" t="str">
            <v>정직원</v>
          </cell>
          <cell r="AV175" t="str">
            <v>씨앤토트플러스㈜</v>
          </cell>
          <cell r="AW175">
            <v>5500000</v>
          </cell>
          <cell r="AX175">
            <v>5500000</v>
          </cell>
          <cell r="AY175">
            <v>12</v>
          </cell>
          <cell r="AZ175">
            <v>66000000</v>
          </cell>
          <cell r="BA175"/>
          <cell r="BB175"/>
          <cell r="BC175">
            <v>45748</v>
          </cell>
          <cell r="BD175">
            <v>34008000</v>
          </cell>
          <cell r="BE175">
            <v>34008000</v>
          </cell>
          <cell r="BF175">
            <v>34008000</v>
          </cell>
          <cell r="BG175">
            <v>2834000</v>
          </cell>
          <cell r="BH175">
            <v>2358500</v>
          </cell>
          <cell r="BI175">
            <v>12241.63</v>
          </cell>
          <cell r="BJ175">
            <v>209</v>
          </cell>
          <cell r="BK175">
            <v>15</v>
          </cell>
          <cell r="BL175">
            <v>0</v>
          </cell>
          <cell r="BM175">
            <v>275500</v>
          </cell>
          <cell r="BN175">
            <v>0</v>
          </cell>
          <cell r="BO175">
            <v>200000</v>
          </cell>
          <cell r="BP175">
            <v>0</v>
          </cell>
          <cell r="BQ175" t="str">
            <v>적합</v>
          </cell>
          <cell r="BR175"/>
          <cell r="BS175">
            <v>489665.19999999995</v>
          </cell>
          <cell r="BT175">
            <v>2874805.4333333331</v>
          </cell>
          <cell r="BU175">
            <v>1501380</v>
          </cell>
          <cell r="BV175">
            <v>1287406.4831999999</v>
          </cell>
          <cell r="BW175">
            <v>489924</v>
          </cell>
          <cell r="BX175">
            <v>208612.8</v>
          </cell>
          <cell r="BY175">
            <v>3542500</v>
          </cell>
          <cell r="BZ175">
            <v>37372470.633333333</v>
          </cell>
          <cell r="CA175">
            <v>3487323.2831999995</v>
          </cell>
          <cell r="CB175">
            <v>42510000</v>
          </cell>
          <cell r="CC175">
            <v>23490000</v>
          </cell>
          <cell r="CD175">
            <v>35.590909090909086</v>
          </cell>
        </row>
        <row r="176">
          <cell r="F176" t="str">
            <v>김국현</v>
          </cell>
          <cell r="G176" t="str">
            <v>대리</v>
          </cell>
          <cell r="H176" t="str">
            <v>초급상</v>
          </cell>
          <cell r="I176" t="str">
            <v>초급기술자</v>
          </cell>
          <cell r="J176" t="str">
            <v>하도급(FTE)</v>
          </cell>
          <cell r="K176" t="str">
            <v>VDI 엔지니어</v>
          </cell>
          <cell r="L176" t="str">
            <v>2025_신규</v>
          </cell>
          <cell r="M176"/>
          <cell r="N176" t="str">
            <v>010-7557-0316</v>
          </cell>
          <cell r="O176" t="str">
            <v>kkhyeon@cnthoth.com</v>
          </cell>
          <cell r="P176" t="str">
            <v>930513-1</v>
          </cell>
          <cell r="Q176">
            <v>43344</v>
          </cell>
          <cell r="R176">
            <v>45779</v>
          </cell>
          <cell r="S176"/>
          <cell r="T176" t="str">
            <v>광운대학교 정보과학교육원</v>
          </cell>
          <cell r="U176" t="str">
            <v>컴퓨터공학과</v>
          </cell>
          <cell r="V176" t="str">
            <v>대졸</v>
          </cell>
          <cell r="W176" t="str">
            <v>네트워크관리사2급</v>
          </cell>
          <cell r="X176" t="str">
            <v>컴퓨터활용능력2급</v>
          </cell>
          <cell r="Y176" t="str">
            <v>정보기술자격(ITQ)</v>
          </cell>
          <cell r="Z176">
            <v>2809</v>
          </cell>
          <cell r="AA176">
            <v>374</v>
          </cell>
          <cell r="AB176"/>
          <cell r="AC176"/>
          <cell r="AD176" t="str">
            <v>SK㈜ U타워_정자</v>
          </cell>
          <cell r="AE176" t="str">
            <v>경기도</v>
          </cell>
          <cell r="AF176" t="str">
            <v>1. Infra 운영</v>
          </cell>
          <cell r="AG176" t="str">
            <v>1. Infra 운영</v>
          </cell>
          <cell r="AH176" t="str">
            <v>SK AX</v>
          </cell>
          <cell r="AI176" t="str">
            <v>SK그룹사(공통)</v>
          </cell>
          <cell r="AJ176" t="str">
            <v>최종범</v>
          </cell>
          <cell r="AK176">
            <v>13558</v>
          </cell>
          <cell r="AL176" t="str">
            <v>경기도 성남시 분당구 성남대로 343번길 9 SK U 타워 19층 VDI 센터</v>
          </cell>
          <cell r="AM176" t="str">
            <v>13251</v>
          </cell>
          <cell r="AN176" t="str">
            <v>경기도 성남시 중원구 광명로264번길 38-5, 401호 (중앙동, 새천년맨션)</v>
          </cell>
          <cell r="AO176" t="str">
            <v>Cloud VDI팀</v>
          </cell>
          <cell r="AP176" t="str">
            <v>SKT/SKI VDI 운영</v>
          </cell>
          <cell r="AQ176" t="str">
            <v>VDI 구축 및 운영</v>
          </cell>
          <cell r="AR176" t="str">
            <v>SKC&amp;C 담당</v>
          </cell>
          <cell r="AS176" t="str">
            <v>고객사 공통  26년 SKAX VDI 운영_1분기 (4500302296-01)</v>
          </cell>
          <cell r="AT176" t="str">
            <v>통상</v>
          </cell>
          <cell r="AU176" t="str">
            <v>정직원</v>
          </cell>
          <cell r="AV176" t="str">
            <v>씨앤토트플러스㈜</v>
          </cell>
          <cell r="AW176">
            <v>4700000</v>
          </cell>
          <cell r="AX176">
            <v>4700000</v>
          </cell>
          <cell r="AY176">
            <v>12</v>
          </cell>
          <cell r="AZ176">
            <v>56400000</v>
          </cell>
          <cell r="BC176">
            <v>45839</v>
          </cell>
          <cell r="BD176">
            <v>35004000</v>
          </cell>
          <cell r="BE176">
            <v>35005200</v>
          </cell>
          <cell r="BF176">
            <v>35005200</v>
          </cell>
          <cell r="BG176">
            <v>2917100</v>
          </cell>
          <cell r="BH176">
            <v>2433500</v>
          </cell>
          <cell r="BI176">
            <v>12600.48</v>
          </cell>
          <cell r="BJ176">
            <v>209</v>
          </cell>
          <cell r="BK176">
            <v>15</v>
          </cell>
          <cell r="BL176">
            <v>0</v>
          </cell>
          <cell r="BM176">
            <v>283600</v>
          </cell>
          <cell r="BN176">
            <v>0</v>
          </cell>
          <cell r="BO176">
            <v>200000</v>
          </cell>
          <cell r="BP176">
            <v>0</v>
          </cell>
          <cell r="BQ176" t="str">
            <v>적합</v>
          </cell>
          <cell r="BR176"/>
          <cell r="BS176">
            <v>504019.19999999995</v>
          </cell>
          <cell r="BT176">
            <v>2959101.6</v>
          </cell>
          <cell r="BU176">
            <v>1548747</v>
          </cell>
          <cell r="BV176">
            <v>1328022.8380799999</v>
          </cell>
          <cell r="BW176">
            <v>505380.6</v>
          </cell>
          <cell r="BX176">
            <v>215194.32</v>
          </cell>
          <cell r="BY176">
            <v>3646375</v>
          </cell>
          <cell r="BZ176">
            <v>38468320.800000004</v>
          </cell>
          <cell r="CA176">
            <v>3597344.7580800001</v>
          </cell>
          <cell r="CB176">
            <v>43756500</v>
          </cell>
          <cell r="CC176">
            <v>12643500</v>
          </cell>
          <cell r="CD176">
            <v>22.417553191489361</v>
          </cell>
        </row>
        <row r="177">
          <cell r="F177" t="str">
            <v>김한성</v>
          </cell>
          <cell r="G177" t="str">
            <v>사원</v>
          </cell>
          <cell r="H177" t="str">
            <v>초능</v>
          </cell>
          <cell r="I177" t="str">
            <v>초급기능사</v>
          </cell>
          <cell r="J177" t="str">
            <v>하도급(M/M)</v>
          </cell>
          <cell r="K177" t="str">
            <v>서비스 관제 엔지니어</v>
          </cell>
          <cell r="L177" t="str">
            <v>이인성 후임</v>
          </cell>
          <cell r="N177" t="str">
            <v>010-5004-6823</v>
          </cell>
          <cell r="O177" t="str">
            <v>hanseong@cnthoth.com</v>
          </cell>
          <cell r="P177" t="str">
            <v>950209-1</v>
          </cell>
          <cell r="Q177">
            <v>45352</v>
          </cell>
          <cell r="R177">
            <v>45803</v>
          </cell>
          <cell r="T177" t="str">
            <v>인덕대학교</v>
          </cell>
          <cell r="U177" t="str">
            <v>일본어과</v>
          </cell>
          <cell r="V177" t="str">
            <v>전문대졸</v>
          </cell>
          <cell r="Z177">
            <v>801</v>
          </cell>
          <cell r="AA177">
            <v>350</v>
          </cell>
          <cell r="AB177"/>
          <cell r="AC177"/>
          <cell r="AD177" t="str">
            <v>SK증권</v>
          </cell>
          <cell r="AE177" t="str">
            <v>서울특별시</v>
          </cell>
          <cell r="AF177" t="str">
            <v>3. 콜센터 &amp; 금융 &amp; 기타</v>
          </cell>
          <cell r="AG177" t="str">
            <v>3. 콜센터 &amp; 금융 &amp; 기타</v>
          </cell>
          <cell r="AH177" t="str">
            <v>SK증권</v>
          </cell>
          <cell r="AI177" t="str">
            <v>SK증권(여의도)</v>
          </cell>
          <cell r="AJ177" t="str">
            <v>엄홍열</v>
          </cell>
          <cell r="AK177" t="str">
            <v>07332</v>
          </cell>
          <cell r="AL177" t="str">
            <v>서울시 영등포구 국제금융로8길 31, SK증권</v>
          </cell>
          <cell r="AM177" t="str">
            <v>11676</v>
          </cell>
          <cell r="AN177" t="str">
            <v>경기도 의정부시 의정로202번길 49, 2층 (가능동)</v>
          </cell>
          <cell r="AO177" t="str">
            <v>SK 증권</v>
          </cell>
          <cell r="AP177" t="str">
            <v>SK증권 DC 운영</v>
          </cell>
          <cell r="AQ177" t="str">
            <v>H/W 육안점검, 시스템 모니터링 및 장애 전파</v>
          </cell>
          <cell r="AS177" t="str">
            <v>2025년 SK증권 통합운영 도급 계약</v>
          </cell>
          <cell r="AT177" t="str">
            <v>스케줄</v>
          </cell>
          <cell r="AU177" t="str">
            <v>정직원</v>
          </cell>
          <cell r="AV177" t="str">
            <v>씨앤토트플러스㈜</v>
          </cell>
          <cell r="AW177">
            <v>3300000</v>
          </cell>
          <cell r="AX177">
            <v>3260000</v>
          </cell>
          <cell r="AY177">
            <v>12</v>
          </cell>
          <cell r="AZ177">
            <v>39120000</v>
          </cell>
          <cell r="BC177">
            <v>46023</v>
          </cell>
          <cell r="BD177">
            <v>27087600</v>
          </cell>
          <cell r="BE177">
            <v>27087600</v>
          </cell>
          <cell r="BF177">
            <v>27493200</v>
          </cell>
          <cell r="BG177">
            <v>2291100</v>
          </cell>
          <cell r="BH177">
            <v>1549900</v>
          </cell>
          <cell r="BI177">
            <v>10379</v>
          </cell>
          <cell r="BJ177">
            <v>168.60000000000002</v>
          </cell>
          <cell r="BK177">
            <v>43.45</v>
          </cell>
          <cell r="BL177">
            <v>60.83</v>
          </cell>
          <cell r="BM177">
            <v>225500</v>
          </cell>
          <cell r="BN177">
            <v>315700</v>
          </cell>
          <cell r="BO177">
            <v>200000</v>
          </cell>
          <cell r="BP177">
            <v>2029095</v>
          </cell>
          <cell r="BQ177" t="str">
            <v>적합</v>
          </cell>
          <cell r="BR177"/>
          <cell r="BS177">
            <v>1037900</v>
          </cell>
          <cell r="BT177">
            <v>2377591.6666666665</v>
          </cell>
          <cell r="BU177">
            <v>1191927</v>
          </cell>
          <cell r="BV177">
            <v>1022056.0732799999</v>
          </cell>
          <cell r="BW177">
            <v>388944.6</v>
          </cell>
          <cell r="BX177">
            <v>165615.12</v>
          </cell>
          <cell r="BY177">
            <v>2863875</v>
          </cell>
          <cell r="BZ177">
            <v>30908691.666666668</v>
          </cell>
          <cell r="CA177">
            <v>2768542.7932800003</v>
          </cell>
          <cell r="CB177">
            <v>34366500</v>
          </cell>
          <cell r="CC177">
            <v>2298295.0500000003</v>
          </cell>
          <cell r="CD177">
            <v>5.8749873466257672</v>
          </cell>
        </row>
        <row r="178">
          <cell r="F178" t="str">
            <v>전인환</v>
          </cell>
          <cell r="G178" t="str">
            <v>과장</v>
          </cell>
          <cell r="H178" t="str">
            <v>초급상</v>
          </cell>
          <cell r="I178" t="str">
            <v>초급기술자</v>
          </cell>
          <cell r="J178" t="str">
            <v>하도급(M/M)</v>
          </cell>
          <cell r="K178" t="str">
            <v>서비스 관제 엔지니어</v>
          </cell>
          <cell r="L178" t="str">
            <v>전영준 후임</v>
          </cell>
          <cell r="M178" t="str">
            <v>02-6400-5026</v>
          </cell>
          <cell r="N178" t="str">
            <v>010-9971-9945</v>
          </cell>
          <cell r="O178" t="str">
            <v>Jihsm@cnthoth.com</v>
          </cell>
          <cell r="P178" t="str">
            <v>870919-1</v>
          </cell>
          <cell r="Q178">
            <v>43586</v>
          </cell>
          <cell r="R178">
            <v>43586</v>
          </cell>
          <cell r="S178"/>
          <cell r="T178" t="str">
            <v>학점은행제</v>
          </cell>
          <cell r="U178" t="str">
            <v>컴퓨터공학과</v>
          </cell>
          <cell r="V178" t="str">
            <v>전문대졸</v>
          </cell>
          <cell r="W178" t="str">
            <v>네트워크관리사2급</v>
          </cell>
          <cell r="X178" t="str">
            <v>리눅스마스터2급</v>
          </cell>
          <cell r="Y178" t="str">
            <v>AZ-900</v>
          </cell>
          <cell r="Z178">
            <v>2567</v>
          </cell>
          <cell r="AA178">
            <v>2567</v>
          </cell>
          <cell r="AB178"/>
          <cell r="AC178"/>
          <cell r="AD178" t="str">
            <v>판교DC</v>
          </cell>
          <cell r="AE178" t="str">
            <v>경기도</v>
          </cell>
          <cell r="AF178" t="str">
            <v>1. Infra 운영</v>
          </cell>
          <cell r="AG178" t="str">
            <v>1. Infra 운영</v>
          </cell>
          <cell r="AH178" t="str">
            <v>SK AX</v>
          </cell>
          <cell r="AI178" t="str">
            <v>SK그룹사(공통)</v>
          </cell>
          <cell r="AJ178" t="str">
            <v>김성구</v>
          </cell>
          <cell r="AK178">
            <v>13486</v>
          </cell>
          <cell r="AL178" t="str">
            <v>경기도 성남시 분당구 판교로 255번길 46 SK(주) C&amp;C 판교캠퍼스 A동 1층</v>
          </cell>
          <cell r="AM178">
            <v>13154</v>
          </cell>
          <cell r="AN178" t="str">
            <v>경기도 성남시 중원구 은이로63번길 4-16, 301호 (은행동, 수신빌라)</v>
          </cell>
          <cell r="AO178" t="str">
            <v>CloudControlCenter팀</v>
          </cell>
          <cell r="AP178" t="str">
            <v>판교 DC 운영</v>
          </cell>
          <cell r="AQ178" t="str">
            <v>H/W 육안점검, 시스템 모니터링 및 장애 전파</v>
          </cell>
          <cell r="AS178" t="str">
            <v>고객사 공통 / 2026년_VDI_01_1분기(4500302906-01)</v>
          </cell>
          <cell r="AT178" t="str">
            <v>스케줄</v>
          </cell>
          <cell r="AU178" t="str">
            <v>정직원</v>
          </cell>
          <cell r="AV178" t="str">
            <v>씨앤토트플러스㈜</v>
          </cell>
          <cell r="AW178">
            <v>4615000</v>
          </cell>
          <cell r="AX178">
            <v>4615000</v>
          </cell>
          <cell r="AY178">
            <v>12</v>
          </cell>
          <cell r="AZ178">
            <v>55380000</v>
          </cell>
          <cell r="BA178"/>
          <cell r="BB178"/>
          <cell r="BC178">
            <v>45839</v>
          </cell>
          <cell r="BD178">
            <v>39168000</v>
          </cell>
          <cell r="BE178">
            <v>40928400</v>
          </cell>
          <cell r="BF178">
            <v>40928400</v>
          </cell>
          <cell r="BG178">
            <v>3410700</v>
          </cell>
          <cell r="BH178">
            <v>2555700</v>
          </cell>
          <cell r="BI178">
            <v>14976.63</v>
          </cell>
          <cell r="BJ178">
            <v>184</v>
          </cell>
          <cell r="BK178">
            <v>38.020000000000003</v>
          </cell>
          <cell r="BL178">
            <v>49.43</v>
          </cell>
          <cell r="BM178">
            <v>284800</v>
          </cell>
          <cell r="BN178">
            <v>370200</v>
          </cell>
          <cell r="BO178">
            <v>200000</v>
          </cell>
          <cell r="BP178">
            <v>2712643</v>
          </cell>
          <cell r="BQ178" t="str">
            <v>적합</v>
          </cell>
          <cell r="BR178"/>
          <cell r="BS178">
            <v>1497663</v>
          </cell>
          <cell r="BT178">
            <v>3535505.25</v>
          </cell>
          <cell r="BU178">
            <v>1830099</v>
          </cell>
          <cell r="BV178">
            <v>1569277.1433599999</v>
          </cell>
          <cell r="BW178">
            <v>597190.19999999995</v>
          </cell>
          <cell r="BX178">
            <v>254287.44</v>
          </cell>
          <cell r="BY178">
            <v>4263375</v>
          </cell>
          <cell r="BZ178">
            <v>45961568.25</v>
          </cell>
          <cell r="CA178">
            <v>4250853.7833600007</v>
          </cell>
          <cell r="CB178">
            <v>51160500</v>
          </cell>
          <cell r="CC178">
            <v>937201.9700000002</v>
          </cell>
          <cell r="CD178">
            <v>1.6923112495485739</v>
          </cell>
        </row>
        <row r="179">
          <cell r="F179" t="str">
            <v>고성은</v>
          </cell>
          <cell r="G179" t="str">
            <v>대리</v>
          </cell>
          <cell r="H179" t="str">
            <v>초급상</v>
          </cell>
          <cell r="I179" t="str">
            <v>초급기술자</v>
          </cell>
          <cell r="J179" t="str">
            <v>하도급(M/M)</v>
          </cell>
          <cell r="K179" t="str">
            <v>서비스 관제 엔지니어</v>
          </cell>
          <cell r="L179" t="str">
            <v>한수현 후임</v>
          </cell>
          <cell r="M179" t="str">
            <v>02-6400-5026</v>
          </cell>
          <cell r="N179" t="str">
            <v>010-8466-0656</v>
          </cell>
          <cell r="O179" t="str">
            <v>gse0656@cnthoth.com</v>
          </cell>
          <cell r="P179" t="str">
            <v>001212-4</v>
          </cell>
          <cell r="Q179">
            <v>45012</v>
          </cell>
          <cell r="R179">
            <v>45012</v>
          </cell>
          <cell r="S179"/>
          <cell r="T179" t="str">
            <v>대전대학교</v>
          </cell>
          <cell r="U179" t="str">
            <v>컴퓨터공학과</v>
          </cell>
          <cell r="V179" t="str">
            <v>대졸</v>
          </cell>
          <cell r="W179" t="str">
            <v>정보처리기사</v>
          </cell>
          <cell r="X179" t="str">
            <v>리눅스마스터2급</v>
          </cell>
          <cell r="Y179" t="str">
            <v>AZ-900</v>
          </cell>
          <cell r="Z179">
            <v>1141</v>
          </cell>
          <cell r="AA179">
            <v>1141</v>
          </cell>
          <cell r="AB179"/>
          <cell r="AC179"/>
          <cell r="AD179" t="str">
            <v>판교DC</v>
          </cell>
          <cell r="AE179" t="str">
            <v>경기도</v>
          </cell>
          <cell r="AF179" t="str">
            <v>1. Infra 운영</v>
          </cell>
          <cell r="AG179" t="str">
            <v>1. Infra 운영</v>
          </cell>
          <cell r="AH179" t="str">
            <v>SK AX</v>
          </cell>
          <cell r="AI179" t="str">
            <v>SK그룹사(공통)</v>
          </cell>
          <cell r="AJ179" t="str">
            <v>김성구</v>
          </cell>
          <cell r="AK179">
            <v>13486</v>
          </cell>
          <cell r="AL179" t="str">
            <v>경기도 성남시 분당구 판교로 255번길 46 SK(주) C&amp;C 판교캠퍼스 A동 1층</v>
          </cell>
          <cell r="AM179" t="str">
            <v>13504</v>
          </cell>
          <cell r="AN179" t="str">
            <v>경기도 성남시 분당구 벌말로 43, 203호 (야탑동, 대경오피스텔)</v>
          </cell>
          <cell r="AO179" t="str">
            <v>CloudControlCenter팀</v>
          </cell>
          <cell r="AP179" t="str">
            <v>판교 DC 운영</v>
          </cell>
          <cell r="AQ179" t="str">
            <v>H/W 육안점검, 시스템 모니터링 및 장애 전파</v>
          </cell>
          <cell r="AS179" t="str">
            <v>고객사 공통 / 2026년_VDI_01_1분기(4500302906-01)</v>
          </cell>
          <cell r="AT179" t="str">
            <v>스케줄</v>
          </cell>
          <cell r="AU179" t="str">
            <v>정직원</v>
          </cell>
          <cell r="AV179" t="str">
            <v>씨앤토트플러스㈜</v>
          </cell>
          <cell r="AW179">
            <v>4480000</v>
          </cell>
          <cell r="AX179">
            <v>4480000</v>
          </cell>
          <cell r="AY179">
            <v>12</v>
          </cell>
          <cell r="AZ179">
            <v>53760000</v>
          </cell>
          <cell r="BA179"/>
          <cell r="BB179"/>
          <cell r="BC179">
            <v>45839</v>
          </cell>
          <cell r="BD179">
            <v>29823480</v>
          </cell>
          <cell r="BE179">
            <v>31909200</v>
          </cell>
          <cell r="BF179">
            <v>31909200</v>
          </cell>
          <cell r="BG179">
            <v>2659100</v>
          </cell>
          <cell r="BH179">
            <v>1948500</v>
          </cell>
          <cell r="BI179">
            <v>11676.63</v>
          </cell>
          <cell r="BJ179">
            <v>184</v>
          </cell>
          <cell r="BK179">
            <v>38.020000000000003</v>
          </cell>
          <cell r="BL179">
            <v>49.43</v>
          </cell>
          <cell r="BM179">
            <v>222000</v>
          </cell>
          <cell r="BN179">
            <v>288600</v>
          </cell>
          <cell r="BO179">
            <v>200000</v>
          </cell>
          <cell r="BP179">
            <v>2114930</v>
          </cell>
          <cell r="BQ179" t="str">
            <v>적합</v>
          </cell>
          <cell r="BR179"/>
          <cell r="BS179">
            <v>1167663</v>
          </cell>
          <cell r="BT179">
            <v>2756405.25</v>
          </cell>
          <cell r="BU179">
            <v>1401687</v>
          </cell>
          <cell r="BV179">
            <v>1201921.5196799999</v>
          </cell>
          <cell r="BW179">
            <v>457392.6</v>
          </cell>
          <cell r="BX179">
            <v>194760.72</v>
          </cell>
          <cell r="BY179">
            <v>3323875</v>
          </cell>
          <cell r="BZ179">
            <v>35833268.25</v>
          </cell>
          <cell r="CA179">
            <v>3255761.8396800002</v>
          </cell>
          <cell r="CB179">
            <v>39886500</v>
          </cell>
          <cell r="CC179">
            <v>11314434.699999999</v>
          </cell>
          <cell r="CD179">
            <v>21.046195498511903</v>
          </cell>
        </row>
        <row r="180">
          <cell r="F180" t="str">
            <v>배민국</v>
          </cell>
          <cell r="G180" t="str">
            <v>사원</v>
          </cell>
          <cell r="H180" t="str">
            <v>초급하</v>
          </cell>
          <cell r="I180" t="str">
            <v>초급기술자</v>
          </cell>
          <cell r="J180" t="str">
            <v>하도급(M/M)</v>
          </cell>
          <cell r="K180" t="str">
            <v>안전관리원</v>
          </cell>
          <cell r="L180" t="str">
            <v>2025_신규</v>
          </cell>
          <cell r="M180"/>
          <cell r="N180" t="str">
            <v>010-8752-5146</v>
          </cell>
          <cell r="O180" t="str">
            <v>minkuk@cnthoth.com</v>
          </cell>
          <cell r="P180" t="str">
            <v>990912-1</v>
          </cell>
          <cell r="Q180">
            <v>45124</v>
          </cell>
          <cell r="R180">
            <v>45124</v>
          </cell>
          <cell r="S180"/>
          <cell r="T180" t="str">
            <v>가락고등학교</v>
          </cell>
          <cell r="U180"/>
          <cell r="V180" t="str">
            <v>고졸</v>
          </cell>
          <cell r="Z180">
            <v>1029</v>
          </cell>
          <cell r="AA180">
            <v>1029</v>
          </cell>
          <cell r="AB180"/>
          <cell r="AD180" t="str">
            <v>이천HN_OP_주간</v>
          </cell>
          <cell r="AE180" t="str">
            <v>경기도</v>
          </cell>
          <cell r="AF180" t="str">
            <v>4. SKB/SK하이닉스 Infra 운영</v>
          </cell>
          <cell r="AG180" t="str">
            <v>4. SKB/SK하이닉스 Infra 운영</v>
          </cell>
          <cell r="AH180" t="str">
            <v>SK AX</v>
          </cell>
          <cell r="AI180" t="str">
            <v>SK하이닉스(이천)</v>
          </cell>
          <cell r="AJ180" t="str">
            <v>임봉영</v>
          </cell>
          <cell r="AK180" t="str">
            <v>17336</v>
          </cell>
          <cell r="AL180" t="str">
            <v xml:space="preserve">경기도 이천시 부발읍 경충대로 2091, SK하이닉스 기술지원센터 2층 SKHDC2 </v>
          </cell>
          <cell r="AM180" t="str">
            <v>17338</v>
          </cell>
          <cell r="AN180" t="str">
            <v>경기도 이천시 대월면 사동로 160-1, 1동 305호 (대월면, 더 팰리스)</v>
          </cell>
          <cell r="AO180" t="str">
            <v>Hynix Cloud팀</v>
          </cell>
          <cell r="AP180" t="str">
            <v>이천 DC 운영</v>
          </cell>
          <cell r="AQ180" t="str">
            <v>일반 안전관리</v>
          </cell>
          <cell r="AR180" t="str">
            <v>/ 장비 반입반출 안전관리</v>
          </cell>
          <cell r="AS180" t="str">
            <v>에스케이하이닉스(주) / SKHy '26년 ITO_데이타관제_1분기(4500303464-01)</v>
          </cell>
          <cell r="AT180" t="str">
            <v>통상</v>
          </cell>
          <cell r="AU180" t="str">
            <v>정직원</v>
          </cell>
          <cell r="AV180" t="str">
            <v>씨앤토트플러스㈜</v>
          </cell>
          <cell r="AW180">
            <v>5353000</v>
          </cell>
          <cell r="AX180">
            <v>5353000</v>
          </cell>
          <cell r="AY180">
            <v>12</v>
          </cell>
          <cell r="AZ180">
            <v>64236000</v>
          </cell>
          <cell r="BA180"/>
          <cell r="BB180"/>
          <cell r="BC180">
            <v>45809</v>
          </cell>
          <cell r="BD180">
            <v>32004000</v>
          </cell>
          <cell r="BE180">
            <v>32004000</v>
          </cell>
          <cell r="BF180">
            <v>32004000</v>
          </cell>
          <cell r="BG180">
            <v>2667000</v>
          </cell>
          <cell r="BH180">
            <v>2207700</v>
          </cell>
          <cell r="BI180">
            <v>11520.1</v>
          </cell>
          <cell r="BJ180">
            <v>209</v>
          </cell>
          <cell r="BK180">
            <v>15</v>
          </cell>
          <cell r="BL180">
            <v>0</v>
          </cell>
          <cell r="BM180">
            <v>259300</v>
          </cell>
          <cell r="BN180">
            <v>0</v>
          </cell>
          <cell r="BO180">
            <v>200000</v>
          </cell>
          <cell r="BP180">
            <v>0</v>
          </cell>
          <cell r="BQ180" t="str">
            <v>적합</v>
          </cell>
          <cell r="BR180"/>
          <cell r="BS180">
            <v>460804</v>
          </cell>
          <cell r="BT180">
            <v>2705400.3333333335</v>
          </cell>
          <cell r="BU180">
            <v>1406190</v>
          </cell>
          <cell r="BV180">
            <v>1205782.7616000001</v>
          </cell>
          <cell r="BW180">
            <v>458862</v>
          </cell>
          <cell r="BX180">
            <v>195386.4</v>
          </cell>
          <cell r="BY180">
            <v>3333750</v>
          </cell>
          <cell r="BZ180">
            <v>35170204.333333336</v>
          </cell>
          <cell r="CA180">
            <v>3266221.1615999998</v>
          </cell>
          <cell r="CB180">
            <v>40005000</v>
          </cell>
          <cell r="CC180">
            <v>24231000</v>
          </cell>
          <cell r="CD180">
            <v>37.721838221558009</v>
          </cell>
        </row>
        <row r="181">
          <cell r="F181" t="str">
            <v>엄진용</v>
          </cell>
          <cell r="G181" t="str">
            <v>과장</v>
          </cell>
          <cell r="H181" t="str">
            <v>초급하</v>
          </cell>
          <cell r="I181" t="str">
            <v>초급기술자</v>
          </cell>
          <cell r="J181" t="str">
            <v>하도급(M/M)</v>
          </cell>
          <cell r="K181" t="str">
            <v>안전관리원</v>
          </cell>
          <cell r="L181" t="str">
            <v>2025_신규</v>
          </cell>
          <cell r="M181" t="str">
            <v>043-907-5802</v>
          </cell>
          <cell r="N181" t="str">
            <v>010-4604-4644</v>
          </cell>
          <cell r="O181" t="str">
            <v>bigbird043@cnthoth.com</v>
          </cell>
          <cell r="P181" t="str">
            <v>900425-1</v>
          </cell>
          <cell r="Q181">
            <v>42912</v>
          </cell>
          <cell r="R181">
            <v>42912</v>
          </cell>
          <cell r="S181"/>
          <cell r="T181" t="str">
            <v>충청북도대학교</v>
          </cell>
          <cell r="U181" t="str">
            <v>체육학과</v>
          </cell>
          <cell r="V181" t="str">
            <v>대졸</v>
          </cell>
          <cell r="W181" t="str">
            <v>리눅스마스터2급</v>
          </cell>
          <cell r="X181" t="str">
            <v>네트워크관리사2급</v>
          </cell>
          <cell r="Z181">
            <v>3241</v>
          </cell>
          <cell r="AA181">
            <v>3241</v>
          </cell>
          <cell r="AB181"/>
          <cell r="AC181"/>
          <cell r="AD181" t="str">
            <v>청주HN_OP_주간</v>
          </cell>
          <cell r="AE181" t="str">
            <v>경기도외</v>
          </cell>
          <cell r="AF181" t="str">
            <v>4. SKB/SK하이닉스 Infra 운영</v>
          </cell>
          <cell r="AG181" t="str">
            <v>4. SKB/SK하이닉스 Infra 운영</v>
          </cell>
          <cell r="AH181" t="str">
            <v>SK AX</v>
          </cell>
          <cell r="AI181" t="str">
            <v>SK하이닉스(청주)</v>
          </cell>
          <cell r="AJ181" t="str">
            <v>곽경석</v>
          </cell>
          <cell r="AK181" t="str">
            <v>28436</v>
          </cell>
          <cell r="AL181" t="str">
            <v>충청북도 청주시 흥덕구 직지대로 337 (향정동) , SKHDC4 (M11 3F)</v>
          </cell>
          <cell r="AM181">
            <v>28787</v>
          </cell>
          <cell r="AN181" t="str">
            <v>충청북도 청주시 상당구 2순환로 2031, 109동 1103호 (방서동, 청주 하트리움 리버파크)</v>
          </cell>
          <cell r="AO181" t="str">
            <v>Hynix Cloud팀</v>
          </cell>
          <cell r="AP181" t="str">
            <v>청주 DC 운영</v>
          </cell>
          <cell r="AQ181" t="str">
            <v>일반 안전관리</v>
          </cell>
          <cell r="AR181" t="str">
            <v>/ 장비 반입반출 안전관리</v>
          </cell>
          <cell r="AS181" t="str">
            <v>에스케이하이닉스(주) / SKHy '26년 ITO_데이타관제_1분기(4500303464-01)</v>
          </cell>
          <cell r="AT181" t="str">
            <v>통상</v>
          </cell>
          <cell r="AU181" t="str">
            <v>정직원</v>
          </cell>
          <cell r="AV181" t="str">
            <v>씨앤토트플러스㈜</v>
          </cell>
          <cell r="AW181">
            <v>5353000</v>
          </cell>
          <cell r="AX181">
            <v>5353000</v>
          </cell>
          <cell r="AY181">
            <v>12</v>
          </cell>
          <cell r="AZ181">
            <v>64236000</v>
          </cell>
          <cell r="BC181">
            <v>45839</v>
          </cell>
          <cell r="BD181">
            <v>35004000</v>
          </cell>
          <cell r="BE181">
            <v>35604000</v>
          </cell>
          <cell r="BF181">
            <v>35604000</v>
          </cell>
          <cell r="BG181">
            <v>2967000</v>
          </cell>
          <cell r="BH181">
            <v>2478600</v>
          </cell>
          <cell r="BI181">
            <v>12816.27</v>
          </cell>
          <cell r="BJ181">
            <v>209</v>
          </cell>
          <cell r="BK181">
            <v>15</v>
          </cell>
          <cell r="BL181">
            <v>0</v>
          </cell>
          <cell r="BM181">
            <v>288400</v>
          </cell>
          <cell r="BN181">
            <v>0</v>
          </cell>
          <cell r="BO181">
            <v>200000</v>
          </cell>
          <cell r="BP181">
            <v>0</v>
          </cell>
          <cell r="BQ181" t="str">
            <v>적합</v>
          </cell>
          <cell r="BR181"/>
          <cell r="BS181">
            <v>512650.80000000005</v>
          </cell>
          <cell r="BT181">
            <v>3009720.9</v>
          </cell>
          <cell r="BU181">
            <v>1577190</v>
          </cell>
          <cell r="BV181">
            <v>1352412.2016</v>
          </cell>
          <cell r="BW181">
            <v>514662</v>
          </cell>
          <cell r="BX181">
            <v>219146.4</v>
          </cell>
          <cell r="BY181">
            <v>3708750</v>
          </cell>
          <cell r="BZ181">
            <v>39126371.699999996</v>
          </cell>
          <cell r="CA181">
            <v>3663410.6016000002</v>
          </cell>
          <cell r="CB181">
            <v>44505000</v>
          </cell>
          <cell r="CC181">
            <v>19731000</v>
          </cell>
          <cell r="CD181">
            <v>30.716420698673641</v>
          </cell>
        </row>
        <row r="182">
          <cell r="F182" t="str">
            <v>심재용</v>
          </cell>
          <cell r="G182" t="str">
            <v>사원</v>
          </cell>
          <cell r="H182" t="str">
            <v>초급하</v>
          </cell>
          <cell r="I182" t="str">
            <v>초급기술자</v>
          </cell>
          <cell r="J182" t="str">
            <v>하도급(M/M)</v>
          </cell>
          <cell r="K182" t="str">
            <v>서비스 관제 엔지니어</v>
          </cell>
          <cell r="L182" t="str">
            <v>홍진만 후임</v>
          </cell>
          <cell r="M182"/>
          <cell r="N182" t="str">
            <v>010-8945-6042</v>
          </cell>
          <cell r="O182" t="str">
            <v>sim6042@cnthoth.com</v>
          </cell>
          <cell r="P182" t="str">
            <v>981223-1</v>
          </cell>
          <cell r="Q182">
            <v>45824</v>
          </cell>
          <cell r="R182">
            <v>45824</v>
          </cell>
          <cell r="S182"/>
          <cell r="T182" t="str">
            <v>청주대학교</v>
          </cell>
          <cell r="U182" t="str">
            <v>디지털보안학과</v>
          </cell>
          <cell r="V182" t="str">
            <v>졸업</v>
          </cell>
          <cell r="W182"/>
          <cell r="X182"/>
          <cell r="Y182"/>
          <cell r="Z182">
            <v>329</v>
          </cell>
          <cell r="AA182">
            <v>329</v>
          </cell>
          <cell r="AB182"/>
          <cell r="AC182"/>
          <cell r="AD182" t="str">
            <v>청주HN_OP</v>
          </cell>
          <cell r="AE182" t="str">
            <v>경기도외</v>
          </cell>
          <cell r="AF182" t="str">
            <v>4. SKB/SK하이닉스 Infra 운영</v>
          </cell>
          <cell r="AG182" t="str">
            <v>4. SKB/SK하이닉스 Infra 운영</v>
          </cell>
          <cell r="AH182" t="str">
            <v>SK AX</v>
          </cell>
          <cell r="AI182" t="str">
            <v>SK하이닉스(청주)</v>
          </cell>
          <cell r="AJ182" t="str">
            <v>곽경석</v>
          </cell>
          <cell r="AK182" t="str">
            <v>28436</v>
          </cell>
          <cell r="AL182" t="str">
            <v>충청북도 청주시 흥덕구 직지대로 337 (향정동) , SKHDC4 (M11 3F)</v>
          </cell>
          <cell r="AM182" t="str">
            <v>28717</v>
          </cell>
          <cell r="AN182" t="str">
            <v>충청북도 청주시 상당구 용담로 50, 212동 2203호 (탑동, 센트럴 힐데스하임)</v>
          </cell>
          <cell r="AO182" t="str">
            <v>Hynix Cloud팀</v>
          </cell>
          <cell r="AP182" t="str">
            <v>청주 DC 운영</v>
          </cell>
          <cell r="AQ182" t="str">
            <v>H/W 육안점검, 시스템 모니터링 및 장애 전파</v>
          </cell>
          <cell r="AS182" t="str">
            <v>에스케이하이닉스(주) / SKHy '26년 ITO_데이타관제_1분기(4500303464-01)</v>
          </cell>
          <cell r="AT182" t="str">
            <v>스케줄</v>
          </cell>
          <cell r="AU182" t="str">
            <v>정직원</v>
          </cell>
          <cell r="AV182" t="str">
            <v>씨앤토트플러스㈜</v>
          </cell>
          <cell r="AW182">
            <v>4097000</v>
          </cell>
          <cell r="AX182">
            <v>4097000</v>
          </cell>
          <cell r="AY182">
            <v>12</v>
          </cell>
          <cell r="AZ182">
            <v>49164000</v>
          </cell>
          <cell r="BA182"/>
          <cell r="BB182"/>
          <cell r="BC182">
            <v>46023</v>
          </cell>
          <cell r="BD182">
            <v>27500040</v>
          </cell>
          <cell r="BE182">
            <v>27500400</v>
          </cell>
          <cell r="BF182">
            <v>27727200</v>
          </cell>
          <cell r="BG182">
            <v>2310600</v>
          </cell>
          <cell r="BH182">
            <v>1824700</v>
          </cell>
          <cell r="BI182">
            <v>10320.1</v>
          </cell>
          <cell r="BJ182">
            <v>196.19</v>
          </cell>
          <cell r="BK182">
            <v>2.17</v>
          </cell>
          <cell r="BL182">
            <v>53.23</v>
          </cell>
          <cell r="BM182">
            <v>11200</v>
          </cell>
          <cell r="BN182">
            <v>274700</v>
          </cell>
          <cell r="BO182">
            <v>200000</v>
          </cell>
          <cell r="BP182">
            <v>1869229</v>
          </cell>
          <cell r="BQ182" t="str">
            <v>적합</v>
          </cell>
          <cell r="BR182"/>
          <cell r="BS182">
            <v>1032010</v>
          </cell>
          <cell r="BT182">
            <v>2396600.8333333335</v>
          </cell>
          <cell r="BU182">
            <v>1203042</v>
          </cell>
          <cell r="BV182">
            <v>1031586.98688</v>
          </cell>
          <cell r="BW182">
            <v>392571.6</v>
          </cell>
          <cell r="BX182">
            <v>167159.51999999999</v>
          </cell>
          <cell r="BY182">
            <v>2888250</v>
          </cell>
          <cell r="BZ182">
            <v>31155810.833333332</v>
          </cell>
          <cell r="CA182">
            <v>2794360.1068799999</v>
          </cell>
          <cell r="CB182">
            <v>34659000</v>
          </cell>
          <cell r="CC182">
            <v>12243232.91</v>
          </cell>
          <cell r="CD182">
            <v>24.902841326987225</v>
          </cell>
        </row>
        <row r="183">
          <cell r="F183" t="str">
            <v>양석규</v>
          </cell>
          <cell r="G183" t="str">
            <v>대리</v>
          </cell>
          <cell r="H183" t="str">
            <v>초급하</v>
          </cell>
          <cell r="I183" t="str">
            <v>초급기술자</v>
          </cell>
          <cell r="J183" t="str">
            <v>하도급(FTE)</v>
          </cell>
          <cell r="K183" t="str">
            <v>VDI 엔지니어</v>
          </cell>
          <cell r="L183" t="str">
            <v>서정관 후임</v>
          </cell>
          <cell r="M183"/>
          <cell r="N183" t="str">
            <v>010-4173-3500</v>
          </cell>
          <cell r="O183" t="str">
            <v>yang266@cnthoth.com</v>
          </cell>
          <cell r="P183" t="str">
            <v>950913-1</v>
          </cell>
          <cell r="Q183">
            <v>43269</v>
          </cell>
          <cell r="R183">
            <v>45826</v>
          </cell>
          <cell r="S183"/>
          <cell r="T183" t="str">
            <v>수원정보과학고등학교</v>
          </cell>
          <cell r="U183" t="str">
            <v>네트워크과</v>
          </cell>
          <cell r="V183" t="str">
            <v>고졸</v>
          </cell>
          <cell r="W183" t="str">
            <v>네트워크관리사2급</v>
          </cell>
          <cell r="X183"/>
          <cell r="Y183"/>
          <cell r="Z183">
            <v>2884</v>
          </cell>
          <cell r="AA183">
            <v>327</v>
          </cell>
          <cell r="AB183"/>
          <cell r="AC183"/>
          <cell r="AD183" t="str">
            <v>SK㈜ U타워_정자</v>
          </cell>
          <cell r="AE183" t="str">
            <v>경기도</v>
          </cell>
          <cell r="AF183" t="str">
            <v>1. Infra 운영</v>
          </cell>
          <cell r="AG183" t="str">
            <v>1. Infra 운영</v>
          </cell>
          <cell r="AH183" t="str">
            <v>SK AX</v>
          </cell>
          <cell r="AI183" t="str">
            <v>SK그룹사(공통)</v>
          </cell>
          <cell r="AJ183" t="str">
            <v>최종범</v>
          </cell>
          <cell r="AK183">
            <v>13558</v>
          </cell>
          <cell r="AL183" t="str">
            <v>경기도 성남시 분당구 성남대로 343번길 9 SK U 타워 19층 VDI 센터</v>
          </cell>
          <cell r="AM183" t="str">
            <v>17779</v>
          </cell>
          <cell r="AN183" t="str">
            <v>경기도 평택시 탄현로 84, 402호 (서정동, 서정메트로하임)</v>
          </cell>
          <cell r="AO183" t="str">
            <v>Cloud VDI팀</v>
          </cell>
          <cell r="AP183" t="str">
            <v>SKT/SKI VDI 운영</v>
          </cell>
          <cell r="AQ183" t="str">
            <v>VDI 구축 및 운영</v>
          </cell>
          <cell r="AR183" t="str">
            <v>SKSQ담당</v>
          </cell>
          <cell r="AS183" t="str">
            <v>고객사 공통 / 2026년_VDI_01_1분기 (4500303359-01)</v>
          </cell>
          <cell r="AT183" t="str">
            <v>통상</v>
          </cell>
          <cell r="AU183" t="str">
            <v>정직원</v>
          </cell>
          <cell r="AV183" t="str">
            <v>씨앤토트플러스㈜</v>
          </cell>
          <cell r="AW183">
            <v>4635000</v>
          </cell>
          <cell r="AX183">
            <v>4635000</v>
          </cell>
          <cell r="AY183">
            <v>12</v>
          </cell>
          <cell r="AZ183">
            <v>55620000</v>
          </cell>
          <cell r="BC183">
            <v>45839</v>
          </cell>
          <cell r="BD183">
            <v>35004000</v>
          </cell>
          <cell r="BE183">
            <v>35005200</v>
          </cell>
          <cell r="BF183">
            <v>35005200</v>
          </cell>
          <cell r="BG183">
            <v>2917100</v>
          </cell>
          <cell r="BH183">
            <v>2433500</v>
          </cell>
          <cell r="BI183">
            <v>12600.48</v>
          </cell>
          <cell r="BJ183">
            <v>209</v>
          </cell>
          <cell r="BK183">
            <v>15</v>
          </cell>
          <cell r="BL183">
            <v>0</v>
          </cell>
          <cell r="BM183">
            <v>283600</v>
          </cell>
          <cell r="BN183">
            <v>0</v>
          </cell>
          <cell r="BO183">
            <v>200000</v>
          </cell>
          <cell r="BP183">
            <v>0</v>
          </cell>
          <cell r="BQ183" t="str">
            <v>적합</v>
          </cell>
          <cell r="BR183"/>
          <cell r="BS183">
            <v>504019.19999999995</v>
          </cell>
          <cell r="BT183">
            <v>2959101.6</v>
          </cell>
          <cell r="BU183">
            <v>1548747</v>
          </cell>
          <cell r="BV183">
            <v>1328022.8380799999</v>
          </cell>
          <cell r="BW183">
            <v>505380.6</v>
          </cell>
          <cell r="BX183">
            <v>215194.32</v>
          </cell>
          <cell r="BY183">
            <v>3646375</v>
          </cell>
          <cell r="BZ183">
            <v>38468320.800000004</v>
          </cell>
          <cell r="CA183">
            <v>3597344.7580800001</v>
          </cell>
          <cell r="CB183">
            <v>43756500</v>
          </cell>
          <cell r="CC183">
            <v>11863500</v>
          </cell>
          <cell r="CD183">
            <v>21.329557713052857</v>
          </cell>
        </row>
        <row r="184">
          <cell r="F184" t="str">
            <v>구본영</v>
          </cell>
          <cell r="G184" t="str">
            <v>대리</v>
          </cell>
          <cell r="H184" t="str">
            <v>초급하</v>
          </cell>
          <cell r="I184" t="str">
            <v>초급기술자</v>
          </cell>
          <cell r="J184" t="str">
            <v>하도급(M/M)</v>
          </cell>
          <cell r="K184" t="str">
            <v>서비스 관제 엔지니어</v>
          </cell>
          <cell r="L184" t="str">
            <v>이기예 후임</v>
          </cell>
          <cell r="M184"/>
          <cell r="N184" t="str">
            <v>010-3168-4229</v>
          </cell>
          <cell r="O184" t="str">
            <v>pangpang@cnthoth.com</v>
          </cell>
          <cell r="P184" t="str">
            <v>860310-1</v>
          </cell>
          <cell r="Q184">
            <v>44136</v>
          </cell>
          <cell r="R184">
            <v>44991</v>
          </cell>
          <cell r="S184"/>
          <cell r="T184" t="str">
            <v>명지대학교</v>
          </cell>
          <cell r="U184" t="str">
            <v>바둑학과</v>
          </cell>
          <cell r="V184" t="str">
            <v>대졸</v>
          </cell>
          <cell r="W184"/>
          <cell r="X184"/>
          <cell r="Y184"/>
          <cell r="Z184">
            <v>2017</v>
          </cell>
          <cell r="AA184">
            <v>1162</v>
          </cell>
          <cell r="AB184"/>
          <cell r="AC184"/>
          <cell r="AD184" t="str">
            <v>이천HN_OP</v>
          </cell>
          <cell r="AE184" t="str">
            <v>경기도</v>
          </cell>
          <cell r="AF184" t="str">
            <v>3. 콜센터 &amp; 금융 &amp; 기타</v>
          </cell>
          <cell r="AG184" t="str">
            <v>4. SKB/SK하이닉스 Infra 운영</v>
          </cell>
          <cell r="AH184" t="str">
            <v>SK AX</v>
          </cell>
          <cell r="AI184" t="str">
            <v>SK하이닉스(이천)</v>
          </cell>
          <cell r="AJ184" t="str">
            <v>임봉영</v>
          </cell>
          <cell r="AK184" t="str">
            <v>17336</v>
          </cell>
          <cell r="AL184" t="str">
            <v xml:space="preserve">경기도 이천시 부발읍 경충대로 2091, SK하이닉스 기술지원센터 2층 SKHDC2 </v>
          </cell>
          <cell r="AM184" t="str">
            <v>04106</v>
          </cell>
          <cell r="AN184" t="str">
            <v>서울특별시 마포구 고산16길 9, 301호 (대흥동)</v>
          </cell>
          <cell r="AO184" t="str">
            <v>Hynix Cloud팀</v>
          </cell>
          <cell r="AP184" t="str">
            <v>이천 DC 운영</v>
          </cell>
          <cell r="AQ184" t="str">
            <v>H/W 육안점검, 시스템 모니터링 및 장애 전파</v>
          </cell>
          <cell r="AS184"/>
          <cell r="AT184" t="str">
            <v>스케줄</v>
          </cell>
          <cell r="AU184" t="str">
            <v>정직원</v>
          </cell>
          <cell r="AV184" t="str">
            <v>씨앤토트플러스㈜</v>
          </cell>
          <cell r="AW184">
            <v>4097000</v>
          </cell>
          <cell r="AX184">
            <v>4097000</v>
          </cell>
          <cell r="AY184">
            <v>12</v>
          </cell>
          <cell r="AZ184">
            <v>49164000</v>
          </cell>
          <cell r="BA184"/>
          <cell r="BB184"/>
          <cell r="BC184">
            <v>45839</v>
          </cell>
          <cell r="BD184">
            <v>29509080</v>
          </cell>
          <cell r="BE184">
            <v>28344000</v>
          </cell>
          <cell r="BF184">
            <v>30829200</v>
          </cell>
          <cell r="BG184">
            <v>2569100</v>
          </cell>
          <cell r="BH184">
            <v>1893200</v>
          </cell>
          <cell r="BI184">
            <v>11376.09</v>
          </cell>
          <cell r="BJ184">
            <v>184</v>
          </cell>
          <cell r="BK184">
            <v>38.020000000000003</v>
          </cell>
          <cell r="BL184">
            <v>45.63</v>
          </cell>
          <cell r="BM184">
            <v>216300</v>
          </cell>
          <cell r="BN184">
            <v>259600</v>
          </cell>
          <cell r="BO184">
            <v>200000</v>
          </cell>
          <cell r="BP184">
            <v>2060495</v>
          </cell>
          <cell r="BQ184" t="str">
            <v>적합</v>
          </cell>
          <cell r="BR184"/>
          <cell r="BS184">
            <v>1137609</v>
          </cell>
          <cell r="BT184">
            <v>2663900.75</v>
          </cell>
          <cell r="BU184">
            <v>1350387</v>
          </cell>
          <cell r="BV184">
            <v>1157932.68768</v>
          </cell>
          <cell r="BW184">
            <v>440652.6</v>
          </cell>
          <cell r="BX184">
            <v>187632.72</v>
          </cell>
          <cell r="BY184">
            <v>3211375</v>
          </cell>
          <cell r="BZ184">
            <v>34630709.75</v>
          </cell>
          <cell r="CA184">
            <v>3136605.0076800003</v>
          </cell>
          <cell r="CB184">
            <v>38536500</v>
          </cell>
          <cell r="CC184">
            <v>8134301.0500000007</v>
          </cell>
          <cell r="CD184">
            <v>16.545238487511188</v>
          </cell>
        </row>
        <row r="185">
          <cell r="F185" t="str">
            <v>남기진</v>
          </cell>
          <cell r="G185" t="str">
            <v>사원</v>
          </cell>
          <cell r="H185" t="str">
            <v>초급하</v>
          </cell>
          <cell r="I185" t="str">
            <v>초급기술자</v>
          </cell>
          <cell r="J185" t="str">
            <v>하도급(M/M)</v>
          </cell>
          <cell r="K185" t="str">
            <v>Backup/Storage 엔지니어</v>
          </cell>
          <cell r="L185" t="str">
            <v>김경민 후임</v>
          </cell>
          <cell r="N185" t="str">
            <v>010-8623-9187</v>
          </cell>
          <cell r="O185" t="str">
            <v>everday@cnthoth.com</v>
          </cell>
          <cell r="P185" t="str">
            <v>981206-1</v>
          </cell>
          <cell r="Q185">
            <v>45833</v>
          </cell>
          <cell r="R185">
            <v>45833</v>
          </cell>
          <cell r="T185" t="str">
            <v>신구대학교</v>
          </cell>
          <cell r="U185" t="str">
            <v>소프트웨어공학과</v>
          </cell>
          <cell r="V185" t="str">
            <v>대졸</v>
          </cell>
          <cell r="W185"/>
          <cell r="X185"/>
          <cell r="Y185"/>
          <cell r="Z185">
            <v>320</v>
          </cell>
          <cell r="AA185">
            <v>320</v>
          </cell>
          <cell r="AB185"/>
          <cell r="AC185"/>
          <cell r="AD185" t="str">
            <v>SK AX_판교 B동</v>
          </cell>
          <cell r="AE185" t="str">
            <v>경기도</v>
          </cell>
          <cell r="AF185" t="str">
            <v>1. Infra 운영</v>
          </cell>
          <cell r="AG185" t="str">
            <v>1. Infra 운영</v>
          </cell>
          <cell r="AH185" t="str">
            <v>SK AX</v>
          </cell>
          <cell r="AI185" t="str">
            <v>SK그룹사(공통)</v>
          </cell>
          <cell r="AJ185" t="str">
            <v>김부강</v>
          </cell>
          <cell r="AK185">
            <v>13486</v>
          </cell>
          <cell r="AL185" t="str">
            <v>경기도 성남시 분당구 판교로 255번길 38 SK C&amp;C 판교캠퍼스 B동 5층</v>
          </cell>
          <cell r="AM185" t="str">
            <v>13187</v>
          </cell>
          <cell r="AN185" t="str">
            <v>경기도 성남시 중원구 금광로 72, 506동 805호 (금광동, e편한세상금빛그랑메종5단지)</v>
          </cell>
          <cell r="AO185" t="str">
            <v>Global Cloud 팀</v>
          </cell>
          <cell r="AP185" t="str">
            <v>Backup/Storage</v>
          </cell>
          <cell r="AQ185" t="str">
            <v>Backup/Restore 관리</v>
          </cell>
          <cell r="AR185" t="str">
            <v>/ Storage 구축 지원, 운영</v>
          </cell>
          <cell r="AS185" t="str">
            <v>고객사 공통 / 2026년_인프라운영_HC10_37_1분기(4500303364-01)</v>
          </cell>
          <cell r="AT185" t="str">
            <v>통상</v>
          </cell>
          <cell r="AU185" t="str">
            <v>정직원</v>
          </cell>
          <cell r="AV185" t="str">
            <v>씨앤토트플러스㈜</v>
          </cell>
          <cell r="AW185">
            <v>4264000</v>
          </cell>
          <cell r="AX185">
            <v>4264000</v>
          </cell>
          <cell r="AY185">
            <v>12</v>
          </cell>
          <cell r="AZ185">
            <v>51168000</v>
          </cell>
          <cell r="BC185">
            <v>45833</v>
          </cell>
          <cell r="BD185">
            <v>29400000</v>
          </cell>
          <cell r="BE185">
            <v>29400000</v>
          </cell>
          <cell r="BF185">
            <v>29400000</v>
          </cell>
          <cell r="BG185">
            <v>2450000</v>
          </cell>
          <cell r="BH185">
            <v>2011800</v>
          </cell>
          <cell r="BI185">
            <v>10582.78</v>
          </cell>
          <cell r="BJ185">
            <v>209</v>
          </cell>
          <cell r="BK185">
            <v>15</v>
          </cell>
          <cell r="BL185">
            <v>0</v>
          </cell>
          <cell r="BM185">
            <v>238200</v>
          </cell>
          <cell r="BN185">
            <v>0</v>
          </cell>
          <cell r="BO185">
            <v>200000</v>
          </cell>
          <cell r="BP185">
            <v>0</v>
          </cell>
          <cell r="BQ185" t="str">
            <v>적합</v>
          </cell>
          <cell r="BR185"/>
          <cell r="BS185">
            <v>423311.2</v>
          </cell>
          <cell r="BT185">
            <v>2485275.9333333331</v>
          </cell>
          <cell r="BU185">
            <v>1282500</v>
          </cell>
          <cell r="BV185">
            <v>1099720.7999999998</v>
          </cell>
          <cell r="BW185">
            <v>418500</v>
          </cell>
          <cell r="BX185">
            <v>178200</v>
          </cell>
          <cell r="BY185">
            <v>3062500</v>
          </cell>
          <cell r="BZ185">
            <v>32308587.133333333</v>
          </cell>
          <cell r="CA185">
            <v>2978920.8</v>
          </cell>
          <cell r="CB185">
            <v>36750000</v>
          </cell>
          <cell r="CC185">
            <v>14418000</v>
          </cell>
          <cell r="CD185">
            <v>28.177767354596622</v>
          </cell>
        </row>
        <row r="186">
          <cell r="F186" t="str">
            <v>박규한</v>
          </cell>
          <cell r="G186" t="str">
            <v>사원</v>
          </cell>
          <cell r="H186" t="str">
            <v>초급하</v>
          </cell>
          <cell r="I186" t="str">
            <v>초급기술자</v>
          </cell>
          <cell r="J186" t="str">
            <v>하도급(M/M)</v>
          </cell>
          <cell r="K186" t="str">
            <v>네트워크엔지니어</v>
          </cell>
          <cell r="L186" t="str">
            <v>박우진 후임</v>
          </cell>
          <cell r="M186"/>
          <cell r="N186" t="str">
            <v>010-6339-6401</v>
          </cell>
          <cell r="O186" t="str">
            <v>rbgks@cnthoth.com</v>
          </cell>
          <cell r="P186" t="str">
            <v>970328-1</v>
          </cell>
          <cell r="Q186">
            <v>45170</v>
          </cell>
          <cell r="R186">
            <v>45839</v>
          </cell>
          <cell r="S186"/>
          <cell r="T186" t="str">
            <v>학점은행제</v>
          </cell>
          <cell r="U186" t="str">
            <v>컴퓨터공학과</v>
          </cell>
          <cell r="V186" t="str">
            <v>졸업예정</v>
          </cell>
          <cell r="W186" t="str">
            <v>SMAT 1급</v>
          </cell>
          <cell r="Z186">
            <v>983</v>
          </cell>
          <cell r="AA186">
            <v>314</v>
          </cell>
          <cell r="AB186"/>
          <cell r="AC186"/>
          <cell r="AD186" t="str">
            <v>SK AX B동 4F_판교</v>
          </cell>
          <cell r="AE186" t="str">
            <v>경기도</v>
          </cell>
          <cell r="AF186" t="str">
            <v>2. Network Service</v>
          </cell>
          <cell r="AG186" t="str">
            <v>2. Network Service</v>
          </cell>
          <cell r="AH186" t="str">
            <v>SK AX</v>
          </cell>
          <cell r="AI186" t="str">
            <v>SK그룹사(공통)</v>
          </cell>
          <cell r="AJ186" t="str">
            <v>최재유</v>
          </cell>
          <cell r="AK186">
            <v>13486</v>
          </cell>
          <cell r="AL186" t="str">
            <v xml:space="preserve">경기도 성남시 분당구 판교로 255번길 38 SK C&amp;C 판교캠퍼스 B동 </v>
          </cell>
          <cell r="AM186" t="str">
            <v>26441</v>
          </cell>
          <cell r="AN186" t="str">
            <v>강원특별자치도 원주시 향교길 107-32 (명륜동)</v>
          </cell>
          <cell r="AO186" t="str">
            <v>Network Service팀</v>
          </cell>
          <cell r="AP186" t="str">
            <v>SKT 고객지원</v>
          </cell>
          <cell r="AQ186" t="str">
            <v>N/W 고객요청 처리</v>
          </cell>
          <cell r="AS186" t="str">
            <v>고객사 공통 / SKIX 26년 온프렘(HW,SW) 운영_1분기 (4500303678-01)</v>
          </cell>
          <cell r="AT186" t="str">
            <v>통상</v>
          </cell>
          <cell r="AU186" t="str">
            <v>정직원</v>
          </cell>
          <cell r="AV186" t="str">
            <v>씨앤토트플러스㈜</v>
          </cell>
          <cell r="AW186">
            <v>4447000</v>
          </cell>
          <cell r="AX186">
            <v>4447000</v>
          </cell>
          <cell r="AY186">
            <v>12</v>
          </cell>
          <cell r="AZ186">
            <v>53364000</v>
          </cell>
          <cell r="BA186"/>
          <cell r="BB186"/>
          <cell r="BC186">
            <v>45839</v>
          </cell>
          <cell r="BD186">
            <v>30000000</v>
          </cell>
          <cell r="BE186">
            <v>30000000</v>
          </cell>
          <cell r="BF186">
            <v>30000000</v>
          </cell>
          <cell r="BG186">
            <v>2500000</v>
          </cell>
          <cell r="BH186">
            <v>2057000</v>
          </cell>
          <cell r="BI186">
            <v>10799.04</v>
          </cell>
          <cell r="BJ186">
            <v>209</v>
          </cell>
          <cell r="BK186">
            <v>15</v>
          </cell>
          <cell r="BL186">
            <v>0</v>
          </cell>
          <cell r="BM186">
            <v>243000</v>
          </cell>
          <cell r="BN186">
            <v>0</v>
          </cell>
          <cell r="BO186">
            <v>200000</v>
          </cell>
          <cell r="BP186">
            <v>0</v>
          </cell>
          <cell r="BQ186" t="str">
            <v>적합</v>
          </cell>
          <cell r="BR186"/>
          <cell r="BS186">
            <v>431961.60000000003</v>
          </cell>
          <cell r="BT186">
            <v>2535996.7999999998</v>
          </cell>
          <cell r="BU186">
            <v>1311000</v>
          </cell>
          <cell r="BV186">
            <v>1124159.0399999998</v>
          </cell>
          <cell r="BW186">
            <v>427800</v>
          </cell>
          <cell r="BX186">
            <v>182160</v>
          </cell>
          <cell r="BY186">
            <v>3125000</v>
          </cell>
          <cell r="BZ186">
            <v>32967958.400000002</v>
          </cell>
          <cell r="CA186">
            <v>3045119.04</v>
          </cell>
          <cell r="CB186">
            <v>37500000</v>
          </cell>
          <cell r="CC186">
            <v>15864000</v>
          </cell>
          <cell r="CD186">
            <v>29.727906453789071</v>
          </cell>
        </row>
        <row r="187">
          <cell r="F187" t="str">
            <v>송진수</v>
          </cell>
          <cell r="G187" t="str">
            <v>사원</v>
          </cell>
          <cell r="H187" t="str">
            <v>초급하</v>
          </cell>
          <cell r="I187" t="str">
            <v>초급기술자</v>
          </cell>
          <cell r="J187" t="str">
            <v>하도급(FTE)</v>
          </cell>
          <cell r="K187" t="str">
            <v>서버엔지니어</v>
          </cell>
          <cell r="L187" t="str">
            <v>안용진 후임</v>
          </cell>
          <cell r="M187"/>
          <cell r="N187" t="str">
            <v>010-2480-7591</v>
          </cell>
          <cell r="O187" t="str">
            <v>js0891@cnthoth.com</v>
          </cell>
          <cell r="P187" t="str">
            <v>960929-1</v>
          </cell>
          <cell r="Q187">
            <v>44621</v>
          </cell>
          <cell r="R187">
            <v>45839</v>
          </cell>
          <cell r="S187"/>
          <cell r="T187" t="str">
            <v>학점은행제</v>
          </cell>
          <cell r="U187" t="str">
            <v>정보통신공학과</v>
          </cell>
          <cell r="V187" t="str">
            <v>대졸</v>
          </cell>
          <cell r="W187" t="str">
            <v>리눅스마스터2급</v>
          </cell>
          <cell r="X187" t="str">
            <v>정보처리기능사</v>
          </cell>
          <cell r="Y187" t="str">
            <v>네트워크관리사2급</v>
          </cell>
          <cell r="Z187">
            <v>1532</v>
          </cell>
          <cell r="AA187">
            <v>314</v>
          </cell>
          <cell r="AB187"/>
          <cell r="AC187"/>
          <cell r="AD187" t="str">
            <v>SK C타워_충무로</v>
          </cell>
          <cell r="AE187" t="str">
            <v>서울특별시</v>
          </cell>
          <cell r="AF187" t="str">
            <v>1. Infra 운영</v>
          </cell>
          <cell r="AG187" t="str">
            <v>1. Infra 운영</v>
          </cell>
          <cell r="AH187" t="str">
            <v>SK AX</v>
          </cell>
          <cell r="AI187" t="str">
            <v>SK그룹사(공통)</v>
          </cell>
          <cell r="AJ187" t="str">
            <v>임정재</v>
          </cell>
          <cell r="AK187" t="str">
            <v>04554</v>
          </cell>
          <cell r="AL187" t="str">
            <v>서울 중구 충무로 3가 43 6층 (SK C 타워)</v>
          </cell>
          <cell r="AM187" t="str">
            <v>05567</v>
          </cell>
          <cell r="AN187" t="str">
            <v>서울특별시 송파구 삼전로7길 10, 102호 (잠실동, 현대빌라)</v>
          </cell>
          <cell r="AO187" t="str">
            <v>에너지 Cloud팀</v>
          </cell>
          <cell r="AP187" t="str">
            <v>SKI 서버 운영</v>
          </cell>
          <cell r="AQ187" t="str">
            <v>Linux 서버 운영</v>
          </cell>
          <cell r="AR187" t="str">
            <v>/ Window 서버 운영</v>
          </cell>
          <cell r="AS187" t="str">
            <v>고객사 공통 / 2026년_인프라운영_HC21_01_1분기(4500302919-01)</v>
          </cell>
          <cell r="AT187" t="str">
            <v>통상</v>
          </cell>
          <cell r="AU187" t="str">
            <v>정직원</v>
          </cell>
          <cell r="AV187" t="str">
            <v>씨앤토트플러스㈜</v>
          </cell>
          <cell r="AW187">
            <v>4900000</v>
          </cell>
          <cell r="AX187">
            <v>4900000</v>
          </cell>
          <cell r="AY187">
            <v>12</v>
          </cell>
          <cell r="AZ187">
            <v>58800000</v>
          </cell>
          <cell r="BA187"/>
          <cell r="BB187"/>
          <cell r="BC187">
            <v>45839</v>
          </cell>
          <cell r="BD187">
            <v>33000000</v>
          </cell>
          <cell r="BE187">
            <v>33000000</v>
          </cell>
          <cell r="BF187">
            <v>33000000</v>
          </cell>
          <cell r="BG187">
            <v>2750000</v>
          </cell>
          <cell r="BH187">
            <v>2282700</v>
          </cell>
          <cell r="BI187">
            <v>11878.95</v>
          </cell>
          <cell r="BJ187">
            <v>209</v>
          </cell>
          <cell r="BK187">
            <v>15</v>
          </cell>
          <cell r="BL187">
            <v>0</v>
          </cell>
          <cell r="BM187">
            <v>267300</v>
          </cell>
          <cell r="BN187">
            <v>0</v>
          </cell>
          <cell r="BO187">
            <v>200000</v>
          </cell>
          <cell r="BP187">
            <v>0</v>
          </cell>
          <cell r="BQ187" t="str">
            <v>적합</v>
          </cell>
          <cell r="BR187"/>
          <cell r="BS187">
            <v>475158</v>
          </cell>
          <cell r="BT187">
            <v>2789596.5</v>
          </cell>
          <cell r="BU187">
            <v>1453500</v>
          </cell>
          <cell r="BV187">
            <v>1246350.24</v>
          </cell>
          <cell r="BW187">
            <v>474300</v>
          </cell>
          <cell r="BX187">
            <v>201960</v>
          </cell>
          <cell r="BY187">
            <v>3437500</v>
          </cell>
          <cell r="BZ187">
            <v>36264754.5</v>
          </cell>
          <cell r="CA187">
            <v>3376110.24</v>
          </cell>
          <cell r="CB187">
            <v>41250000</v>
          </cell>
          <cell r="CC187">
            <v>17550000</v>
          </cell>
          <cell r="CD187">
            <v>29.846938775510207</v>
          </cell>
        </row>
        <row r="188">
          <cell r="F188" t="str">
            <v>김현중</v>
          </cell>
          <cell r="G188" t="str">
            <v>대리</v>
          </cell>
          <cell r="H188" t="str">
            <v>고능</v>
          </cell>
          <cell r="I188" t="str">
            <v>고급기능사</v>
          </cell>
          <cell r="J188" t="str">
            <v>하도급(M/M)</v>
          </cell>
          <cell r="K188" t="str">
            <v>IT 데스크탑 엔지니어</v>
          </cell>
          <cell r="L188" t="str">
            <v>2025_신규</v>
          </cell>
          <cell r="N188" t="str">
            <v>010-9423-1870</v>
          </cell>
          <cell r="O188" t="str">
            <v>maker1@cnthoth.com</v>
          </cell>
          <cell r="P188" t="str">
            <v>820810-1</v>
          </cell>
          <cell r="Q188">
            <v>43722</v>
          </cell>
          <cell r="R188">
            <v>45852</v>
          </cell>
          <cell r="T188" t="str">
            <v>경동대학교</v>
          </cell>
          <cell r="U188" t="str">
            <v>스포츠마케팅</v>
          </cell>
          <cell r="V188" t="str">
            <v>대졸</v>
          </cell>
          <cell r="X188"/>
          <cell r="Z188">
            <v>2431</v>
          </cell>
          <cell r="AA188">
            <v>301</v>
          </cell>
          <cell r="AB188"/>
          <cell r="AD188" t="str">
            <v>파라다이스시티</v>
          </cell>
          <cell r="AE188" t="str">
            <v>경기도</v>
          </cell>
          <cell r="AF188" t="str">
            <v>3. 콜센터 &amp; 금융 &amp; 기타</v>
          </cell>
          <cell r="AG188" t="str">
            <v>3. 콜센터 &amp; 금융 &amp; 기타</v>
          </cell>
          <cell r="AH188" t="str">
            <v>SK AX</v>
          </cell>
          <cell r="AI188" t="str">
            <v>파라다이스ITO</v>
          </cell>
          <cell r="AJ188" t="str">
            <v>본사 관리</v>
          </cell>
          <cell r="AK188">
            <v>22376</v>
          </cell>
          <cell r="AL188" t="str">
            <v>인천시 중구 영종해안남로321번길 186 (파라다이스시티)</v>
          </cell>
          <cell r="AM188" t="str">
            <v>22376</v>
          </cell>
          <cell r="AN188" t="str">
            <v>인천광역시 중구 흰바위로 277, 266동 601호 (운남동, 운서역푸르지오더스카이)</v>
          </cell>
          <cell r="AO188" t="str">
            <v>Cloud서비스 2팀</v>
          </cell>
          <cell r="AP188" t="str">
            <v>파라다이스CT OA운영</v>
          </cell>
          <cell r="AQ188" t="str">
            <v>PC, 키오스크, POS 장비 운용</v>
          </cell>
          <cell r="AS188" t="str">
            <v>고객사 공통  2026년_대외운영3(4500303729-01)</v>
          </cell>
          <cell r="AT188" t="str">
            <v>스케줄_파라</v>
          </cell>
          <cell r="AU188" t="str">
            <v>정직원</v>
          </cell>
          <cell r="AV188" t="str">
            <v>씨앤토트플러스㈜</v>
          </cell>
          <cell r="AW188">
            <v>4300000</v>
          </cell>
          <cell r="AX188">
            <v>4300000</v>
          </cell>
          <cell r="AY188">
            <v>12</v>
          </cell>
          <cell r="AZ188">
            <v>51600000</v>
          </cell>
          <cell r="BC188">
            <v>45852</v>
          </cell>
          <cell r="BD188">
            <v>30000000</v>
          </cell>
          <cell r="BE188">
            <v>30000000</v>
          </cell>
          <cell r="BF188">
            <v>30000000</v>
          </cell>
          <cell r="BG188">
            <v>2500000</v>
          </cell>
          <cell r="BH188">
            <v>2057000.0000000002</v>
          </cell>
          <cell r="BI188">
            <v>10799.04</v>
          </cell>
          <cell r="BJ188">
            <v>209</v>
          </cell>
          <cell r="BK188">
            <v>15</v>
          </cell>
          <cell r="BL188">
            <v>0</v>
          </cell>
          <cell r="BM188">
            <v>243000</v>
          </cell>
          <cell r="BN188">
            <v>0</v>
          </cell>
          <cell r="BO188">
            <v>200000</v>
          </cell>
          <cell r="BP188">
            <v>1676551</v>
          </cell>
          <cell r="BQ188" t="str">
            <v>적합</v>
          </cell>
          <cell r="BR188"/>
          <cell r="BS188">
            <v>1079904</v>
          </cell>
          <cell r="BT188">
            <v>2589992</v>
          </cell>
          <cell r="BU188">
            <v>1311000</v>
          </cell>
          <cell r="BV188">
            <v>1124159.0399999998</v>
          </cell>
          <cell r="BW188">
            <v>427800</v>
          </cell>
          <cell r="BX188">
            <v>182160</v>
          </cell>
          <cell r="BY188">
            <v>3125000</v>
          </cell>
          <cell r="BZ188">
            <v>33669896</v>
          </cell>
          <cell r="CA188">
            <v>3045119.04</v>
          </cell>
          <cell r="CB188">
            <v>37500000</v>
          </cell>
          <cell r="CC188">
            <v>12071373.289999999</v>
          </cell>
          <cell r="CD188">
            <v>23.394134282945735</v>
          </cell>
        </row>
        <row r="189">
          <cell r="F189" t="str">
            <v>김용철</v>
          </cell>
          <cell r="G189" t="str">
            <v>부장</v>
          </cell>
          <cell r="H189" t="str">
            <v>고급하</v>
          </cell>
          <cell r="I189" t="str">
            <v>고급기술자</v>
          </cell>
          <cell r="J189" t="str">
            <v>하도급(M/M)</v>
          </cell>
          <cell r="K189" t="str">
            <v>서버엔지니어</v>
          </cell>
          <cell r="L189" t="str">
            <v>유효준 후임</v>
          </cell>
          <cell r="M189"/>
          <cell r="N189" t="str">
            <v>010-4089-0497</v>
          </cell>
          <cell r="O189" t="str">
            <v>kyc@cnthoth.com</v>
          </cell>
          <cell r="P189" t="str">
            <v>740215-1</v>
          </cell>
          <cell r="Q189">
            <v>37734</v>
          </cell>
          <cell r="R189">
            <v>45861</v>
          </cell>
          <cell r="S189"/>
          <cell r="T189" t="str">
            <v>경기대학교</v>
          </cell>
          <cell r="U189" t="str">
            <v>전자계산학</v>
          </cell>
          <cell r="V189" t="str">
            <v>대졸</v>
          </cell>
          <cell r="W189" t="str">
            <v>정보처리기사</v>
          </cell>
          <cell r="X189"/>
          <cell r="Y189"/>
          <cell r="Z189">
            <v>8419</v>
          </cell>
          <cell r="AA189">
            <v>292</v>
          </cell>
          <cell r="AB189"/>
          <cell r="AC189"/>
          <cell r="AD189" t="str">
            <v>파라다이스_송도</v>
          </cell>
          <cell r="AE189" t="str">
            <v>경기도</v>
          </cell>
          <cell r="AF189" t="str">
            <v>3. 콜센터 &amp; 금융 &amp; 기타</v>
          </cell>
          <cell r="AG189" t="str">
            <v>3. 콜센터 &amp; 금융 &amp; 기타</v>
          </cell>
          <cell r="AH189" t="str">
            <v>SK AX</v>
          </cell>
          <cell r="AI189" t="str">
            <v>파라다이스ITO</v>
          </cell>
          <cell r="AJ189" t="str">
            <v>본사 관리</v>
          </cell>
          <cell r="AK189">
            <v>22011</v>
          </cell>
          <cell r="AL189" t="str">
            <v>인천 연수구 벤처로 14 교보데이터센터</v>
          </cell>
          <cell r="AM189" t="str">
            <v>14246</v>
          </cell>
          <cell r="AN189" t="str">
            <v>경기도 광명시 하안로 364, 914동 1107호 (하안동, 하안9단지고층주공아파트)</v>
          </cell>
          <cell r="AO189" t="str">
            <v>Cloud서비스 2팀</v>
          </cell>
          <cell r="AP189" t="str">
            <v>파라다이스ITO 서버 운영</v>
          </cell>
          <cell r="AQ189" t="str">
            <v>AIX, Linux 운영</v>
          </cell>
          <cell r="AS189" t="str">
            <v>고객사 공통  2026년_대외운영3(4500303729-01)</v>
          </cell>
          <cell r="AT189" t="str">
            <v>통상</v>
          </cell>
          <cell r="AU189" t="str">
            <v>정직원</v>
          </cell>
          <cell r="AV189" t="str">
            <v>씨앤토트플러스㈜</v>
          </cell>
          <cell r="AW189">
            <v>8100000</v>
          </cell>
          <cell r="AX189">
            <v>8100000</v>
          </cell>
          <cell r="AY189">
            <v>12</v>
          </cell>
          <cell r="AZ189">
            <v>97200000</v>
          </cell>
          <cell r="BA189"/>
          <cell r="BB189"/>
          <cell r="BC189">
            <v>45861</v>
          </cell>
          <cell r="BD189"/>
          <cell r="BE189">
            <v>68004000</v>
          </cell>
          <cell r="BF189">
            <v>68004000</v>
          </cell>
          <cell r="BG189">
            <v>5667000</v>
          </cell>
          <cell r="BH189">
            <v>4916200</v>
          </cell>
          <cell r="BI189">
            <v>24479.43</v>
          </cell>
          <cell r="BJ189">
            <v>209</v>
          </cell>
          <cell r="BK189">
            <v>15</v>
          </cell>
          <cell r="BL189">
            <v>0</v>
          </cell>
          <cell r="BM189">
            <v>550800</v>
          </cell>
          <cell r="BN189">
            <v>0</v>
          </cell>
          <cell r="BO189">
            <v>200000</v>
          </cell>
          <cell r="BP189">
            <v>0</v>
          </cell>
          <cell r="BQ189" t="str">
            <v>적합</v>
          </cell>
          <cell r="BR189"/>
          <cell r="BS189">
            <v>979177.2</v>
          </cell>
          <cell r="BT189">
            <v>5748598.0999999996</v>
          </cell>
          <cell r="BU189">
            <v>3116190</v>
          </cell>
          <cell r="BV189">
            <v>2672077.1616000002</v>
          </cell>
          <cell r="BW189">
            <v>1016862</v>
          </cell>
          <cell r="BX189">
            <v>432986.4</v>
          </cell>
          <cell r="BY189">
            <v>7083750</v>
          </cell>
          <cell r="BZ189">
            <v>74731775.299999997</v>
          </cell>
          <cell r="CA189">
            <v>7238115.5616000006</v>
          </cell>
          <cell r="CB189">
            <v>85005000</v>
          </cell>
          <cell r="CC189">
            <v>12195000</v>
          </cell>
          <cell r="CD189">
            <v>12.546296296296298</v>
          </cell>
        </row>
        <row r="190">
          <cell r="F190" t="str">
            <v>엄세정</v>
          </cell>
          <cell r="G190" t="str">
            <v>사원</v>
          </cell>
          <cell r="H190" t="str">
            <v>고능</v>
          </cell>
          <cell r="I190" t="str">
            <v>고급기능사</v>
          </cell>
          <cell r="J190" t="str">
            <v>하도급(M/M)</v>
          </cell>
          <cell r="K190" t="str">
            <v>네트워크엔지니어</v>
          </cell>
          <cell r="L190" t="str">
            <v>조현하 후임</v>
          </cell>
          <cell r="M190"/>
          <cell r="N190" t="str">
            <v>010-3879-1693</v>
          </cell>
          <cell r="O190" t="str">
            <v>sjuhm99@cnthoth.com</v>
          </cell>
          <cell r="P190" t="str">
            <v>991231-1</v>
          </cell>
          <cell r="Q190">
            <v>45870</v>
          </cell>
          <cell r="R190">
            <v>45870</v>
          </cell>
          <cell r="S190"/>
          <cell r="T190" t="str">
            <v>신한대학교</v>
          </cell>
          <cell r="U190" t="str">
            <v>소프트웨어융합학과</v>
          </cell>
          <cell r="V190" t="str">
            <v>대졸</v>
          </cell>
          <cell r="W190" t="str">
            <v>정보처리기사</v>
          </cell>
          <cell r="Z190">
            <v>283</v>
          </cell>
          <cell r="AA190">
            <v>283</v>
          </cell>
          <cell r="AB190"/>
          <cell r="AC190"/>
          <cell r="AD190" t="str">
            <v>SKB 7층_동작</v>
          </cell>
          <cell r="AE190" t="str">
            <v>서울특별시</v>
          </cell>
          <cell r="AF190" t="str">
            <v>4. SKB/SK하이닉스 Infra 운영</v>
          </cell>
          <cell r="AG190" t="str">
            <v>4. SKB/SK하이닉스 Infra 운영</v>
          </cell>
          <cell r="AH190" t="str">
            <v>SK AX</v>
          </cell>
          <cell r="AI190" t="str">
            <v>SKB(동작)</v>
          </cell>
          <cell r="AJ190" t="str">
            <v>박규성</v>
          </cell>
          <cell r="AK190" t="str">
            <v>07063</v>
          </cell>
          <cell r="AL190" t="str">
            <v>서울시 동작구 여의대방로 74 (신대방동) SK브로드밴드 7층</v>
          </cell>
          <cell r="AM190" t="str">
            <v>02835</v>
          </cell>
          <cell r="AN190" t="str">
            <v>서울특별시 성북구 성북로14나길 10-1, 301호 (성북동)</v>
          </cell>
          <cell r="AO190" t="str">
            <v>ICT Cloud팀</v>
          </cell>
          <cell r="AP190" t="str">
            <v>SKB N/W 운영</v>
          </cell>
          <cell r="AQ190" t="str">
            <v>N/W 구축 및 유지보수</v>
          </cell>
          <cell r="AS190" t="str">
            <v>에스케이브로드밴드(주) / SKB 26년 IT장비 및 소프트웨어 유지보수_1분기(4500302989-01)</v>
          </cell>
          <cell r="AT190" t="str">
            <v>통상</v>
          </cell>
          <cell r="AU190" t="str">
            <v>정직원</v>
          </cell>
          <cell r="AV190" t="str">
            <v>씨앤토트플러스㈜</v>
          </cell>
          <cell r="AW190">
            <v>3875000</v>
          </cell>
          <cell r="AX190">
            <v>4000000</v>
          </cell>
          <cell r="AY190">
            <v>12</v>
          </cell>
          <cell r="AZ190">
            <v>48000000</v>
          </cell>
          <cell r="BC190">
            <v>45962</v>
          </cell>
          <cell r="BD190">
            <v>27513600</v>
          </cell>
          <cell r="BE190">
            <v>29400000</v>
          </cell>
          <cell r="BF190">
            <v>29400000</v>
          </cell>
          <cell r="BG190">
            <v>2450000</v>
          </cell>
          <cell r="BH190">
            <v>2011800.0000000002</v>
          </cell>
          <cell r="BI190">
            <v>10582.78</v>
          </cell>
          <cell r="BJ190">
            <v>209</v>
          </cell>
          <cell r="BK190">
            <v>15</v>
          </cell>
          <cell r="BL190">
            <v>0</v>
          </cell>
          <cell r="BM190">
            <v>238200</v>
          </cell>
          <cell r="BN190">
            <v>0</v>
          </cell>
          <cell r="BO190">
            <v>200000</v>
          </cell>
          <cell r="BP190">
            <v>0</v>
          </cell>
          <cell r="BQ190" t="str">
            <v>적합</v>
          </cell>
          <cell r="BR190"/>
          <cell r="BS190">
            <v>423311.2</v>
          </cell>
          <cell r="BT190">
            <v>2485275.9333333331</v>
          </cell>
          <cell r="BU190">
            <v>1282500</v>
          </cell>
          <cell r="BV190">
            <v>1099720.7999999998</v>
          </cell>
          <cell r="BW190">
            <v>418500</v>
          </cell>
          <cell r="BX190">
            <v>178200</v>
          </cell>
          <cell r="BY190">
            <v>3062500</v>
          </cell>
          <cell r="BZ190">
            <v>32308587.133333333</v>
          </cell>
          <cell r="CA190">
            <v>2978920.8</v>
          </cell>
          <cell r="CB190">
            <v>36750000</v>
          </cell>
          <cell r="CC190">
            <v>11250000</v>
          </cell>
          <cell r="CD190">
            <v>23.4375</v>
          </cell>
        </row>
        <row r="191">
          <cell r="F191" t="str">
            <v>최정환</v>
          </cell>
          <cell r="G191" t="str">
            <v>사원</v>
          </cell>
          <cell r="H191" t="str">
            <v>초급하</v>
          </cell>
          <cell r="I191" t="str">
            <v>초급기술자</v>
          </cell>
          <cell r="J191" t="str">
            <v>하도급(M/M)</v>
          </cell>
          <cell r="K191" t="str">
            <v>서비스 관제 엔지니어</v>
          </cell>
          <cell r="L191" t="str">
            <v>우현용 후임</v>
          </cell>
          <cell r="M191"/>
          <cell r="N191" t="str">
            <v>010-3466-0336</v>
          </cell>
          <cell r="O191" t="str">
            <v>kclj3000@cnthoth.com</v>
          </cell>
          <cell r="P191" t="str">
            <v>020403-3</v>
          </cell>
          <cell r="Q191">
            <v>45887</v>
          </cell>
          <cell r="R191">
            <v>45887</v>
          </cell>
          <cell r="S191"/>
          <cell r="T191" t="str">
            <v>강남대학교</v>
          </cell>
          <cell r="U191" t="str">
            <v>ict공학부 가상현실</v>
          </cell>
          <cell r="V191" t="str">
            <v>대졸</v>
          </cell>
          <cell r="X191"/>
          <cell r="Y191"/>
          <cell r="Z191">
            <v>266</v>
          </cell>
          <cell r="AA191">
            <v>266</v>
          </cell>
          <cell r="AB191"/>
          <cell r="AC191"/>
          <cell r="AD191" t="str">
            <v>이천HN_OP</v>
          </cell>
          <cell r="AE191" t="str">
            <v>경기도</v>
          </cell>
          <cell r="AF191" t="str">
            <v>4. SKB/SK하이닉스 Infra 운영</v>
          </cell>
          <cell r="AG191" t="str">
            <v>4. SKB/SK하이닉스 Infra 운영</v>
          </cell>
          <cell r="AH191" t="str">
            <v>SK AX</v>
          </cell>
          <cell r="AI191" t="str">
            <v>SK하이닉스(이천)</v>
          </cell>
          <cell r="AJ191" t="str">
            <v>임봉영</v>
          </cell>
          <cell r="AK191" t="str">
            <v>17336</v>
          </cell>
          <cell r="AL191" t="str">
            <v xml:space="preserve">경기도 이천시 부발읍 경충대로 2091, SK하이닉스 기술지원센터 2층 SKHDC2 </v>
          </cell>
          <cell r="AM191" t="str">
            <v>17354</v>
          </cell>
          <cell r="AN191" t="str">
            <v>경기도 이천시 영창로 53, 106동 2401호 (관고동, 이천자이더파크)</v>
          </cell>
          <cell r="AO191" t="str">
            <v>Hynix Cloud팀</v>
          </cell>
          <cell r="AP191" t="str">
            <v>이천 DC 운영</v>
          </cell>
          <cell r="AQ191" t="str">
            <v>H/W 육안점검, 시스템 모니터링 및 장애 전파</v>
          </cell>
          <cell r="AS191" t="str">
            <v>에스케이하이닉스(주) / SKHy '26년 ITO_데이타관제_1분기(4500303464-01)</v>
          </cell>
          <cell r="AT191" t="str">
            <v>스케줄</v>
          </cell>
          <cell r="AU191" t="str">
            <v>정직원</v>
          </cell>
          <cell r="AV191" t="str">
            <v>씨앤토트플러스㈜</v>
          </cell>
          <cell r="AW191">
            <v>4056000</v>
          </cell>
          <cell r="AX191">
            <v>4056000</v>
          </cell>
          <cell r="AY191">
            <v>12</v>
          </cell>
          <cell r="AZ191">
            <v>48672000</v>
          </cell>
          <cell r="BA191"/>
          <cell r="BB191"/>
          <cell r="BC191">
            <v>46023</v>
          </cell>
          <cell r="BD191"/>
          <cell r="BE191">
            <v>27499200</v>
          </cell>
          <cell r="BF191">
            <v>27967200</v>
          </cell>
          <cell r="BG191">
            <v>2330600</v>
          </cell>
          <cell r="BH191">
            <v>1698899.9999999998</v>
          </cell>
          <cell r="BI191">
            <v>10320.11</v>
          </cell>
          <cell r="BJ191">
            <v>184</v>
          </cell>
          <cell r="BK191">
            <v>38.020000000000003</v>
          </cell>
          <cell r="BL191">
            <v>45.63</v>
          </cell>
          <cell r="BM191">
            <v>196200</v>
          </cell>
          <cell r="BN191">
            <v>235500</v>
          </cell>
          <cell r="BO191">
            <v>200000</v>
          </cell>
          <cell r="BP191">
            <v>1869230</v>
          </cell>
          <cell r="BQ191" t="str">
            <v>적합</v>
          </cell>
          <cell r="BR191"/>
          <cell r="BS191">
            <v>1032011</v>
          </cell>
          <cell r="BT191">
            <v>2416600.9166666665</v>
          </cell>
          <cell r="BU191">
            <v>1214442</v>
          </cell>
          <cell r="BV191">
            <v>1041362.28288</v>
          </cell>
          <cell r="BW191">
            <v>396291.6</v>
          </cell>
          <cell r="BX191">
            <v>168743.52</v>
          </cell>
          <cell r="BY191">
            <v>2913250</v>
          </cell>
          <cell r="BZ191">
            <v>31415811.916666668</v>
          </cell>
          <cell r="CA191">
            <v>2820839.40288</v>
          </cell>
          <cell r="CB191">
            <v>34959000</v>
          </cell>
          <cell r="CC191">
            <v>11451231.699999999</v>
          </cell>
          <cell r="CD191">
            <v>23.527349810979619</v>
          </cell>
        </row>
        <row r="192">
          <cell r="F192" t="str">
            <v>강현성</v>
          </cell>
          <cell r="G192" t="str">
            <v>사원</v>
          </cell>
          <cell r="H192" t="str">
            <v>고능</v>
          </cell>
          <cell r="I192" t="str">
            <v>고급기능사</v>
          </cell>
          <cell r="J192" t="str">
            <v>하도급(M/M)</v>
          </cell>
          <cell r="K192" t="str">
            <v>서비스 관제 엔지니어</v>
          </cell>
          <cell r="L192" t="str">
            <v>2025_신규</v>
          </cell>
          <cell r="M192"/>
          <cell r="N192" t="str">
            <v>010-8894-7716</v>
          </cell>
          <cell r="O192" t="str">
            <v>hyun485@cnthoth.com</v>
          </cell>
          <cell r="P192" t="str">
            <v>020924-3</v>
          </cell>
          <cell r="Q192">
            <v>45874</v>
          </cell>
          <cell r="R192">
            <v>45931</v>
          </cell>
          <cell r="S192"/>
          <cell r="T192" t="str">
            <v>신안산대학교</v>
          </cell>
          <cell r="U192" t="str">
            <v>컴퓨터정보과</v>
          </cell>
          <cell r="V192" t="str">
            <v>전문대졸</v>
          </cell>
          <cell r="W192" t="str">
            <v>정보처리기능사</v>
          </cell>
          <cell r="X192"/>
          <cell r="Y192"/>
          <cell r="Z192">
            <v>279</v>
          </cell>
          <cell r="AA192">
            <v>222</v>
          </cell>
          <cell r="AB192"/>
          <cell r="AC192"/>
          <cell r="AD192" t="str">
            <v>보라매DC</v>
          </cell>
          <cell r="AE192" t="str">
            <v>서울특별시</v>
          </cell>
          <cell r="AF192" t="str">
            <v>1. Infra 운영</v>
          </cell>
          <cell r="AG192" t="str">
            <v>1. Infra 운영</v>
          </cell>
          <cell r="AH192" t="str">
            <v>SK AX</v>
          </cell>
          <cell r="AI192" t="str">
            <v>SKT(보라매)</v>
          </cell>
          <cell r="AJ192" t="str">
            <v>조원석</v>
          </cell>
          <cell r="AK192" t="str">
            <v>08708</v>
          </cell>
          <cell r="AL192" t="str">
            <v>서울시 관악구 보라매로5길 1  SK텔레콤빌딩 7F (봉천동)</v>
          </cell>
          <cell r="AM192" t="str">
            <v>13994</v>
          </cell>
          <cell r="AN192" t="str">
            <v>경기도 안양시 만안구 안양천서로 289, 102동 302호 (안양동, 주공뜨란채)</v>
          </cell>
          <cell r="AO192" t="str">
            <v>T Biz. Cloud팀</v>
          </cell>
          <cell r="AP192" t="str">
            <v>보라매 DC 운영</v>
          </cell>
          <cell r="AQ192" t="str">
            <v>H/W 육안점검, 시스템 모니터링 및 장애 전파</v>
          </cell>
          <cell r="AS192" t="str">
            <v>고객사 공통 / 2026년_인프라운영_HC12_1분기(4500303380-01)</v>
          </cell>
          <cell r="AT192" t="str">
            <v>스케줄</v>
          </cell>
          <cell r="AU192" t="str">
            <v>정직원</v>
          </cell>
          <cell r="AV192" t="str">
            <v>씨앤토트플러스㈜</v>
          </cell>
          <cell r="AW192">
            <v>3810000</v>
          </cell>
          <cell r="AX192">
            <v>3810000</v>
          </cell>
          <cell r="AY192">
            <v>12</v>
          </cell>
          <cell r="AZ192">
            <v>45720000</v>
          </cell>
          <cell r="BA192"/>
          <cell r="BB192"/>
          <cell r="BC192">
            <v>46023</v>
          </cell>
          <cell r="BD192"/>
          <cell r="BE192">
            <v>30666000</v>
          </cell>
          <cell r="BF192">
            <v>31554000</v>
          </cell>
          <cell r="BG192">
            <v>2629500</v>
          </cell>
          <cell r="BH192">
            <v>1921200</v>
          </cell>
          <cell r="BI192">
            <v>10320.629999999999</v>
          </cell>
          <cell r="BJ192">
            <v>205.53</v>
          </cell>
          <cell r="BK192">
            <v>32.590000000000003</v>
          </cell>
          <cell r="BL192">
            <v>65.900000000000006</v>
          </cell>
          <cell r="BM192">
            <v>168200</v>
          </cell>
          <cell r="BN192">
            <v>340100</v>
          </cell>
          <cell r="BO192">
            <v>200000</v>
          </cell>
          <cell r="BP192">
            <v>1013081</v>
          </cell>
          <cell r="BQ192" t="str">
            <v>적합</v>
          </cell>
          <cell r="BR192"/>
          <cell r="BS192">
            <v>1032062.9999999999</v>
          </cell>
          <cell r="BT192">
            <v>2715505.25</v>
          </cell>
          <cell r="BU192">
            <v>1384815</v>
          </cell>
          <cell r="BV192">
            <v>1187454.0815999999</v>
          </cell>
          <cell r="BW192">
            <v>451887</v>
          </cell>
          <cell r="BX192">
            <v>192416.4</v>
          </cell>
          <cell r="BY192">
            <v>3286875</v>
          </cell>
          <cell r="BZ192">
            <v>35301568.25</v>
          </cell>
          <cell r="CA192">
            <v>3216572.4816000001</v>
          </cell>
          <cell r="CB192">
            <v>39442500</v>
          </cell>
          <cell r="CC192">
            <v>5051671.99</v>
          </cell>
          <cell r="CD192">
            <v>11.049151334208226</v>
          </cell>
        </row>
        <row r="193">
          <cell r="F193" t="str">
            <v>임송묵</v>
          </cell>
          <cell r="G193" t="str">
            <v>사원</v>
          </cell>
          <cell r="H193" t="str">
            <v>중급상</v>
          </cell>
          <cell r="I193" t="str">
            <v>중급기술자</v>
          </cell>
          <cell r="J193" t="str">
            <v>하도급(M/M)</v>
          </cell>
          <cell r="K193" t="str">
            <v>네트워크보안엔지니어</v>
          </cell>
          <cell r="L193" t="str">
            <v>이규범 후임</v>
          </cell>
          <cell r="M193"/>
          <cell r="N193" t="str">
            <v>010-9384-0454</v>
          </cell>
          <cell r="O193" t="str">
            <v>lsm0982@cnthoth.com</v>
          </cell>
          <cell r="P193" t="str">
            <v>980222-1</v>
          </cell>
          <cell r="Q193">
            <v>45940</v>
          </cell>
          <cell r="R193">
            <v>45940</v>
          </cell>
          <cell r="S193"/>
          <cell r="T193" t="str">
            <v>단국대학교</v>
          </cell>
          <cell r="U193" t="str">
            <v>소프트웨어학과</v>
          </cell>
          <cell r="V193" t="str">
            <v>대졸</v>
          </cell>
          <cell r="W193" t="str">
            <v>정보처리산업기사</v>
          </cell>
          <cell r="Z193">
            <v>213</v>
          </cell>
          <cell r="AA193">
            <v>213</v>
          </cell>
          <cell r="AB193"/>
          <cell r="AC193"/>
          <cell r="AD193" t="str">
            <v>SKT_수내</v>
          </cell>
          <cell r="AE193" t="str">
            <v>경기도</v>
          </cell>
          <cell r="AF193" t="str">
            <v>1. Infra 운영</v>
          </cell>
          <cell r="AG193" t="str">
            <v>1. Infra 운영</v>
          </cell>
          <cell r="AH193" t="str">
            <v>SK AX</v>
          </cell>
          <cell r="AI193" t="str">
            <v>SKT(수내)</v>
          </cell>
          <cell r="AJ193" t="str">
            <v>명승일</v>
          </cell>
          <cell r="AK193">
            <v>13595</v>
          </cell>
          <cell r="AL193" t="str">
            <v xml:space="preserve">경기도 분당구 황새울로 258번길 6 SKT </v>
          </cell>
          <cell r="AM193" t="str">
            <v>06243</v>
          </cell>
          <cell r="AN193" t="str">
            <v>서울특별시 강남구 역삼로5길 5, 라임하우스 원룸텔 (역삼동)</v>
          </cell>
          <cell r="AO193" t="str">
            <v>보안사업개발팀</v>
          </cell>
          <cell r="AP193" t="str">
            <v>SKT N/W 보안 운영</v>
          </cell>
          <cell r="AQ193" t="str">
            <v>N/W 보안 운영</v>
          </cell>
          <cell r="AS193" t="str">
            <v>에스케이텔레콤(주)  SKT 25년 SDN 보안장비 기술지원 용역_1분기(4500304018-01)</v>
          </cell>
          <cell r="AT193" t="str">
            <v>통상</v>
          </cell>
          <cell r="AU193" t="str">
            <v>정직원</v>
          </cell>
          <cell r="AV193" t="str">
            <v>씨앤토트플러스㈜</v>
          </cell>
          <cell r="AW193">
            <v>5412000</v>
          </cell>
          <cell r="AX193">
            <v>5412000</v>
          </cell>
          <cell r="AY193">
            <v>12</v>
          </cell>
          <cell r="AZ193">
            <v>64944000</v>
          </cell>
          <cell r="BC193">
            <v>45940</v>
          </cell>
          <cell r="BD193"/>
          <cell r="BE193">
            <v>29400000</v>
          </cell>
          <cell r="BF193">
            <v>29400000</v>
          </cell>
          <cell r="BG193">
            <v>2450000</v>
          </cell>
          <cell r="BH193">
            <v>2011800</v>
          </cell>
          <cell r="BI193">
            <v>10582.78</v>
          </cell>
          <cell r="BJ193">
            <v>209</v>
          </cell>
          <cell r="BK193">
            <v>15</v>
          </cell>
          <cell r="BL193">
            <v>0</v>
          </cell>
          <cell r="BM193">
            <v>238200</v>
          </cell>
          <cell r="BN193">
            <v>0</v>
          </cell>
          <cell r="BO193">
            <v>200000</v>
          </cell>
          <cell r="BP193">
            <v>0</v>
          </cell>
          <cell r="BQ193" t="str">
            <v>적합</v>
          </cell>
          <cell r="BR193"/>
          <cell r="BS193">
            <v>423311.2</v>
          </cell>
          <cell r="BT193">
            <v>2485275.9333333331</v>
          </cell>
          <cell r="BU193">
            <v>1282500</v>
          </cell>
          <cell r="BV193">
            <v>1099720.7999999998</v>
          </cell>
          <cell r="BW193">
            <v>418500</v>
          </cell>
          <cell r="BX193">
            <v>178200</v>
          </cell>
          <cell r="BY193">
            <v>3062500</v>
          </cell>
          <cell r="BZ193">
            <v>32308587.133333333</v>
          </cell>
          <cell r="CA193">
            <v>2978920.8</v>
          </cell>
          <cell r="CB193">
            <v>36750000</v>
          </cell>
          <cell r="CC193">
            <v>28194000</v>
          </cell>
          <cell r="CD193">
            <v>43.41278640059128</v>
          </cell>
        </row>
        <row r="194">
          <cell r="F194" t="str">
            <v>유병주</v>
          </cell>
          <cell r="G194" t="str">
            <v>대리</v>
          </cell>
          <cell r="H194" t="str">
            <v>중급하</v>
          </cell>
          <cell r="I194" t="str">
            <v>중급기술자</v>
          </cell>
          <cell r="J194" t="str">
            <v>하도급(M/M)</v>
          </cell>
          <cell r="K194" t="str">
            <v>네트워크보안엔지니어</v>
          </cell>
          <cell r="L194" t="str">
            <v>2025_신규</v>
          </cell>
          <cell r="M194"/>
          <cell r="N194" t="str">
            <v>010-4843-6539</v>
          </cell>
          <cell r="O194" t="str">
            <v>ybj6539@cnthoth.com</v>
          </cell>
          <cell r="P194" t="str">
            <v>970107-1</v>
          </cell>
          <cell r="Q194">
            <v>44225</v>
          </cell>
          <cell r="R194">
            <v>45959</v>
          </cell>
          <cell r="S194"/>
          <cell r="T194" t="str">
            <v>학점은행제</v>
          </cell>
          <cell r="U194" t="str">
            <v>컴퓨터공학과</v>
          </cell>
          <cell r="V194" t="str">
            <v>대졸</v>
          </cell>
          <cell r="W194" t="str">
            <v>네트워크관리사2급</v>
          </cell>
          <cell r="Z194">
            <v>1928</v>
          </cell>
          <cell r="AA194">
            <v>194</v>
          </cell>
          <cell r="AB194"/>
          <cell r="AC194"/>
          <cell r="AD194" t="str">
            <v>SK AX B동 2F_판교</v>
          </cell>
          <cell r="AE194" t="str">
            <v>경기도</v>
          </cell>
          <cell r="AF194" t="str">
            <v>5. 신규사업</v>
          </cell>
          <cell r="AG194" t="str">
            <v>1. Infra 운영</v>
          </cell>
          <cell r="AH194" t="str">
            <v>SK AX</v>
          </cell>
          <cell r="AI194" t="str">
            <v>SKT</v>
          </cell>
          <cell r="AJ194" t="str">
            <v>유병주</v>
          </cell>
          <cell r="AK194">
            <v>13486</v>
          </cell>
          <cell r="AL194" t="str">
            <v>경기도 성남시 분당구 판교로 255번길 38 SK C&amp;C 판교캠퍼스 B동 2층</v>
          </cell>
          <cell r="AM194" t="str">
            <v>02780</v>
          </cell>
          <cell r="AN194" t="str">
            <v>서울특별시 성북구 화랑로48길 16, 109동 1003호 (석관동, 두산아파트)</v>
          </cell>
          <cell r="AO194" t="str">
            <v>보안사업개발팀</v>
          </cell>
          <cell r="AQ194" t="str">
            <v>SKT 보안 방화벽 정책 적용</v>
          </cell>
          <cell r="AR194" t="str">
            <v>SKT 보안 장애 대응</v>
          </cell>
          <cell r="AS194" t="str">
            <v>에스케이텔레콤(주) / SKT 25년 통합네트워크센터 보안정책 운영 용역_26년1분기 (4500302143-01)</v>
          </cell>
          <cell r="AT194" t="str">
            <v>통상</v>
          </cell>
          <cell r="AU194" t="str">
            <v>정직원</v>
          </cell>
          <cell r="AV194" t="str">
            <v>씨앤토트플러스㈜</v>
          </cell>
          <cell r="AW194">
            <v>5300000</v>
          </cell>
          <cell r="AX194">
            <v>5300000</v>
          </cell>
          <cell r="AY194">
            <v>12</v>
          </cell>
          <cell r="AZ194">
            <v>63600000</v>
          </cell>
          <cell r="BC194">
            <v>45959</v>
          </cell>
          <cell r="BD194"/>
          <cell r="BE194">
            <v>42000000</v>
          </cell>
          <cell r="BF194">
            <v>42000000</v>
          </cell>
          <cell r="BG194">
            <v>3500000</v>
          </cell>
          <cell r="BH194">
            <v>2959800</v>
          </cell>
          <cell r="BI194">
            <v>15118.66</v>
          </cell>
          <cell r="BJ194">
            <v>209</v>
          </cell>
          <cell r="BK194">
            <v>15</v>
          </cell>
          <cell r="BL194">
            <v>0</v>
          </cell>
          <cell r="BM194">
            <v>340200</v>
          </cell>
          <cell r="BN194">
            <v>0</v>
          </cell>
          <cell r="BO194">
            <v>200000</v>
          </cell>
          <cell r="BP194">
            <v>0</v>
          </cell>
          <cell r="BQ194" t="str">
            <v>적합</v>
          </cell>
          <cell r="BR194"/>
          <cell r="BS194">
            <v>604746.4</v>
          </cell>
          <cell r="BT194">
            <v>3550395.5333333332</v>
          </cell>
          <cell r="BU194">
            <v>1881000</v>
          </cell>
          <cell r="BV194">
            <v>1612923.84</v>
          </cell>
          <cell r="BW194">
            <v>613800</v>
          </cell>
          <cell r="BX194">
            <v>261360</v>
          </cell>
          <cell r="BY194">
            <v>4375000</v>
          </cell>
          <cell r="BZ194">
            <v>46155141.93333333</v>
          </cell>
          <cell r="CA194">
            <v>4369083.84</v>
          </cell>
          <cell r="CB194">
            <v>52500000</v>
          </cell>
          <cell r="CC194">
            <v>11100000</v>
          </cell>
          <cell r="CD194">
            <v>17.452830188679243</v>
          </cell>
        </row>
        <row r="195">
          <cell r="F195" t="str">
            <v>이준석</v>
          </cell>
          <cell r="G195" t="str">
            <v>사원</v>
          </cell>
          <cell r="H195" t="str">
            <v>초급상</v>
          </cell>
          <cell r="I195" t="str">
            <v>초급기술자</v>
          </cell>
          <cell r="J195" t="str">
            <v>하도급(M/M)</v>
          </cell>
          <cell r="K195" t="str">
            <v>서버엔지니어</v>
          </cell>
          <cell r="L195" t="str">
            <v>2025_신규</v>
          </cell>
          <cell r="M195"/>
          <cell r="N195" t="str">
            <v>010-8082-9443</v>
          </cell>
          <cell r="O195" t="str">
            <v>LJS0501@cnthoth.com</v>
          </cell>
          <cell r="P195" t="str">
            <v>001216-3</v>
          </cell>
          <cell r="Q195">
            <v>45022</v>
          </cell>
          <cell r="R195">
            <v>45966</v>
          </cell>
          <cell r="S195"/>
          <cell r="T195" t="str">
            <v>학점은행제</v>
          </cell>
          <cell r="U195" t="str">
            <v>정보통신공학</v>
          </cell>
          <cell r="V195" t="str">
            <v>대졸</v>
          </cell>
          <cell r="W195" t="str">
            <v>정보처리산업기사</v>
          </cell>
          <cell r="X195" t="str">
            <v>리눅스마스터2급</v>
          </cell>
          <cell r="Y195" t="str">
            <v>정보기술자격 아래한글B등급</v>
          </cell>
          <cell r="Z195">
            <v>1131</v>
          </cell>
          <cell r="AA195">
            <v>187</v>
          </cell>
          <cell r="AB195"/>
          <cell r="AC195"/>
          <cell r="AD195" t="str">
            <v>SKT_보라매 B1F</v>
          </cell>
          <cell r="AE195" t="str">
            <v>경기도</v>
          </cell>
          <cell r="AF195" t="str">
            <v>1. Infra 운영</v>
          </cell>
          <cell r="AG195" t="str">
            <v>1. Infra 운영</v>
          </cell>
          <cell r="AH195" t="str">
            <v>SK AX</v>
          </cell>
          <cell r="AI195" t="str">
            <v>SKT(보라매)</v>
          </cell>
          <cell r="AJ195" t="str">
            <v>조원석</v>
          </cell>
          <cell r="AK195" t="str">
            <v>08708</v>
          </cell>
          <cell r="AL195" t="str">
            <v>서울시 관악구 보라매로5길 1  SK텔레콤빌딩 B1F (봉천동)</v>
          </cell>
          <cell r="AM195" t="str">
            <v>08308</v>
          </cell>
          <cell r="AN195" t="str">
            <v>서울특별시 구로구 구로동로28길 33-4, 502호 (구로동, 글로리)</v>
          </cell>
          <cell r="AO195" t="str">
            <v>ICT Cloud팀</v>
          </cell>
          <cell r="AP195" t="str">
            <v>SKT 서버 운영</v>
          </cell>
          <cell r="AQ195" t="str">
            <v>Linux 서버 운영</v>
          </cell>
          <cell r="AS195" t="str">
            <v>에스케이텔레콤(주) / SKT 25년 부가문자음성 유지보수_26년1분기(4500302136-01)</v>
          </cell>
          <cell r="AT195" t="str">
            <v>통상</v>
          </cell>
          <cell r="AU195" t="str">
            <v>정직원</v>
          </cell>
          <cell r="AV195" t="str">
            <v>씨앤토트플러스㈜</v>
          </cell>
          <cell r="AW195">
            <v>4600000</v>
          </cell>
          <cell r="AX195">
            <v>4600000</v>
          </cell>
          <cell r="AY195">
            <v>12</v>
          </cell>
          <cell r="AZ195">
            <v>55200000</v>
          </cell>
          <cell r="BA195"/>
          <cell r="BB195"/>
          <cell r="BC195">
            <v>45966</v>
          </cell>
          <cell r="BD195"/>
          <cell r="BE195">
            <v>32004000</v>
          </cell>
          <cell r="BF195">
            <v>32004000</v>
          </cell>
          <cell r="BG195">
            <v>2667000</v>
          </cell>
          <cell r="BH195">
            <v>2207700</v>
          </cell>
          <cell r="BI195">
            <v>11520.1</v>
          </cell>
          <cell r="BJ195">
            <v>209</v>
          </cell>
          <cell r="BK195">
            <v>15</v>
          </cell>
          <cell r="BL195">
            <v>0</v>
          </cell>
          <cell r="BM195">
            <v>259300</v>
          </cell>
          <cell r="BN195">
            <v>0</v>
          </cell>
          <cell r="BO195">
            <v>200000</v>
          </cell>
          <cell r="BP195">
            <v>0</v>
          </cell>
          <cell r="BQ195" t="str">
            <v>적합</v>
          </cell>
          <cell r="BR195"/>
          <cell r="BS195">
            <v>460804</v>
          </cell>
          <cell r="BT195">
            <v>2705400.3333333335</v>
          </cell>
          <cell r="BU195">
            <v>1406190</v>
          </cell>
          <cell r="BV195">
            <v>1205782.7616000001</v>
          </cell>
          <cell r="BW195">
            <v>458862</v>
          </cell>
          <cell r="BX195">
            <v>195386.4</v>
          </cell>
          <cell r="BY195">
            <v>3333750</v>
          </cell>
          <cell r="BZ195">
            <v>35170204.333333336</v>
          </cell>
          <cell r="CA195">
            <v>3266221.1615999998</v>
          </cell>
          <cell r="CB195">
            <v>40005000</v>
          </cell>
          <cell r="CC195">
            <v>15195000</v>
          </cell>
          <cell r="CD195">
            <v>27.52717391304348</v>
          </cell>
        </row>
        <row r="196">
          <cell r="F196" t="str">
            <v>김민혁</v>
          </cell>
          <cell r="G196" t="str">
            <v>사원</v>
          </cell>
          <cell r="H196" t="str">
            <v>중급하</v>
          </cell>
          <cell r="I196" t="str">
            <v>중급기술자</v>
          </cell>
          <cell r="J196" t="str">
            <v>하도급(M/M)</v>
          </cell>
          <cell r="K196" t="str">
            <v>네트워크보안엔지니어</v>
          </cell>
          <cell r="L196" t="str">
            <v>2025_신규</v>
          </cell>
          <cell r="M196"/>
          <cell r="N196" t="str">
            <v>010-4057-1990</v>
          </cell>
          <cell r="O196" t="str">
            <v>mhkim@cnthoth.com</v>
          </cell>
          <cell r="P196" t="str">
            <v>980312-1</v>
          </cell>
          <cell r="Q196">
            <v>44692</v>
          </cell>
          <cell r="R196">
            <v>45974</v>
          </cell>
          <cell r="S196"/>
          <cell r="T196" t="str">
            <v>한국IT직업전문학교</v>
          </cell>
          <cell r="U196" t="str">
            <v>정보보안학과</v>
          </cell>
          <cell r="V196" t="str">
            <v>전문대졸</v>
          </cell>
          <cell r="Z196">
            <v>1461</v>
          </cell>
          <cell r="AA196">
            <v>179</v>
          </cell>
          <cell r="AB196"/>
          <cell r="AC196"/>
          <cell r="AD196" t="str">
            <v>SK AX B동 2F_판교</v>
          </cell>
          <cell r="AE196" t="str">
            <v>경기도</v>
          </cell>
          <cell r="AF196" t="str">
            <v>5. 신규사업</v>
          </cell>
          <cell r="AG196" t="str">
            <v>1. Infra 운영</v>
          </cell>
          <cell r="AH196" t="str">
            <v>SK AX</v>
          </cell>
          <cell r="AI196" t="str">
            <v>SKT</v>
          </cell>
          <cell r="AJ196" t="str">
            <v>유병주</v>
          </cell>
          <cell r="AK196">
            <v>13486</v>
          </cell>
          <cell r="AL196" t="str">
            <v>경기도 성남시 분당구 판교로 255번길 38 SK C&amp;C 판교캠퍼스 B동 2층</v>
          </cell>
          <cell r="AM196" t="str">
            <v>05018</v>
          </cell>
          <cell r="AN196" t="str">
            <v>서울특별시 광진구 동일로22길 69-5, 203호 (화양동)</v>
          </cell>
          <cell r="AO196" t="str">
            <v>보안사업개발팀</v>
          </cell>
          <cell r="AQ196" t="str">
            <v>SKT 보안 방화벽 정책 적용</v>
          </cell>
          <cell r="AR196" t="str">
            <v>SKT 보안 장애 대응</v>
          </cell>
          <cell r="AS196" t="str">
            <v>에스케이텔레콤(주) / SKT 25년 통합네트워크센터 보안정책 운영 용역_26년1분기 (4500302143-01)</v>
          </cell>
          <cell r="AT196" t="str">
            <v>통상</v>
          </cell>
          <cell r="AU196" t="str">
            <v>정직원</v>
          </cell>
          <cell r="AV196" t="str">
            <v>씨앤토트플러스㈜</v>
          </cell>
          <cell r="AW196">
            <v>5300000</v>
          </cell>
          <cell r="AX196">
            <v>5300000</v>
          </cell>
          <cell r="AY196">
            <v>12</v>
          </cell>
          <cell r="AZ196">
            <v>63600000</v>
          </cell>
          <cell r="BC196">
            <v>45974</v>
          </cell>
          <cell r="BD196"/>
          <cell r="BE196">
            <v>38000400</v>
          </cell>
          <cell r="BF196">
            <v>38000400</v>
          </cell>
          <cell r="BG196">
            <v>3166700</v>
          </cell>
          <cell r="BH196">
            <v>2658900</v>
          </cell>
          <cell r="BI196">
            <v>13678.95</v>
          </cell>
          <cell r="BJ196">
            <v>209</v>
          </cell>
          <cell r="BK196">
            <v>15</v>
          </cell>
          <cell r="BL196">
            <v>0</v>
          </cell>
          <cell r="BM196">
            <v>307800</v>
          </cell>
          <cell r="BN196">
            <v>0</v>
          </cell>
          <cell r="BO196">
            <v>200000</v>
          </cell>
          <cell r="BP196">
            <v>0</v>
          </cell>
          <cell r="BQ196" t="str">
            <v>적합</v>
          </cell>
          <cell r="BR196"/>
          <cell r="BS196">
            <v>547158</v>
          </cell>
          <cell r="BT196">
            <v>3212296.5</v>
          </cell>
          <cell r="BU196">
            <v>1691019</v>
          </cell>
          <cell r="BV196">
            <v>1450018.5321599999</v>
          </cell>
          <cell r="BW196">
            <v>551806.19999999995</v>
          </cell>
          <cell r="BX196">
            <v>234962.63999999998</v>
          </cell>
          <cell r="BY196">
            <v>3958375</v>
          </cell>
          <cell r="BZ196">
            <v>41759854.5</v>
          </cell>
          <cell r="CA196">
            <v>3927806.3721600003</v>
          </cell>
          <cell r="CB196">
            <v>47500500</v>
          </cell>
          <cell r="CC196">
            <v>16099500</v>
          </cell>
          <cell r="CD196">
            <v>25.313679245283016</v>
          </cell>
        </row>
        <row r="197">
          <cell r="F197" t="str">
            <v>원동희</v>
          </cell>
          <cell r="G197" t="str">
            <v>대리</v>
          </cell>
          <cell r="H197" t="str">
            <v>중급하</v>
          </cell>
          <cell r="I197" t="str">
            <v>중급기술자</v>
          </cell>
          <cell r="J197" t="str">
            <v>하도급(M/M)</v>
          </cell>
          <cell r="K197" t="str">
            <v>네트워크보안엔지니어</v>
          </cell>
          <cell r="L197" t="str">
            <v>2025_신규</v>
          </cell>
          <cell r="M197"/>
          <cell r="N197" t="str">
            <v>010-5559-2782</v>
          </cell>
          <cell r="O197" t="str">
            <v>donghee@cnthoth.com</v>
          </cell>
          <cell r="P197" t="str">
            <v>910823-1</v>
          </cell>
          <cell r="Q197">
            <v>44007</v>
          </cell>
          <cell r="R197">
            <v>45986</v>
          </cell>
          <cell r="S197"/>
          <cell r="T197" t="str">
            <v>동원대학교</v>
          </cell>
          <cell r="U197" t="str">
            <v>컴퓨터영상디자인과</v>
          </cell>
          <cell r="V197" t="str">
            <v>전문대졸</v>
          </cell>
          <cell r="Z197">
            <v>2146</v>
          </cell>
          <cell r="AA197">
            <v>167</v>
          </cell>
          <cell r="AB197"/>
          <cell r="AC197"/>
          <cell r="AD197" t="str">
            <v>SK AX B동 2F_판교</v>
          </cell>
          <cell r="AE197" t="str">
            <v>경기도</v>
          </cell>
          <cell r="AF197" t="str">
            <v>5. 신규사업</v>
          </cell>
          <cell r="AG197" t="str">
            <v>1. Infra 운영</v>
          </cell>
          <cell r="AH197" t="str">
            <v>SK AX</v>
          </cell>
          <cell r="AI197" t="str">
            <v>SKT</v>
          </cell>
          <cell r="AJ197" t="str">
            <v>유병주</v>
          </cell>
          <cell r="AK197">
            <v>13486</v>
          </cell>
          <cell r="AL197" t="str">
            <v>경기도 성남시 분당구 판교로 255번길 38 SK C&amp;C 판교캠퍼스 B동 2층</v>
          </cell>
          <cell r="AM197" t="str">
            <v>13395</v>
          </cell>
          <cell r="AN197" t="str">
            <v>경기도 성남시 중원구 금상로57번길 7-18, 2층 (상대원동)</v>
          </cell>
          <cell r="AO197" t="str">
            <v>보안사업개발팀</v>
          </cell>
          <cell r="AQ197" t="str">
            <v>SKT 보안 방화벽 정책 적용</v>
          </cell>
          <cell r="AR197" t="str">
            <v>SKT 보안 장애 대응</v>
          </cell>
          <cell r="AS197" t="str">
            <v>에스케이텔레콤(주) / SKT 25년 통합네트워크센터 보안정책 운영 용역_26년1분기 (4500302143-01)</v>
          </cell>
          <cell r="AT197" t="str">
            <v>통상</v>
          </cell>
          <cell r="AU197" t="str">
            <v>정직원</v>
          </cell>
          <cell r="AV197" t="str">
            <v>씨앤토트플러스㈜</v>
          </cell>
          <cell r="AW197">
            <v>5300000</v>
          </cell>
          <cell r="AX197">
            <v>5300000</v>
          </cell>
          <cell r="AY197">
            <v>12</v>
          </cell>
          <cell r="AZ197">
            <v>63600000</v>
          </cell>
          <cell r="BC197">
            <v>45986</v>
          </cell>
          <cell r="BD197"/>
          <cell r="BE197">
            <v>40007999.999999993</v>
          </cell>
          <cell r="BF197">
            <v>40007999.999999993</v>
          </cell>
          <cell r="BG197">
            <v>3333999.9999999995</v>
          </cell>
          <cell r="BH197">
            <v>2809899.9999999995</v>
          </cell>
          <cell r="BI197">
            <v>14401.44</v>
          </cell>
          <cell r="BJ197">
            <v>209</v>
          </cell>
          <cell r="BK197">
            <v>15</v>
          </cell>
          <cell r="BL197">
            <v>0</v>
          </cell>
          <cell r="BM197">
            <v>324100</v>
          </cell>
          <cell r="BN197">
            <v>0</v>
          </cell>
          <cell r="BO197">
            <v>200000</v>
          </cell>
          <cell r="BP197">
            <v>0</v>
          </cell>
          <cell r="BQ197" t="str">
            <v>적합</v>
          </cell>
          <cell r="BR197"/>
          <cell r="BS197">
            <v>576057.59999999998</v>
          </cell>
          <cell r="BT197">
            <v>3382004.7999999993</v>
          </cell>
          <cell r="BU197">
            <v>1786379.9999999998</v>
          </cell>
          <cell r="BV197">
            <v>1531788.8831999996</v>
          </cell>
          <cell r="BW197">
            <v>582923.99999999988</v>
          </cell>
          <cell r="BX197">
            <v>248212.79999999996</v>
          </cell>
          <cell r="BY197">
            <v>4167499.9999999995</v>
          </cell>
          <cell r="BZ197">
            <v>43966062.399999991</v>
          </cell>
          <cell r="CA197">
            <v>4149305.6831999989</v>
          </cell>
          <cell r="CB197">
            <v>50009999.999999993</v>
          </cell>
          <cell r="CC197">
            <v>13590000.000000007</v>
          </cell>
          <cell r="CD197">
            <v>21.367924528301899</v>
          </cell>
        </row>
        <row r="198">
          <cell r="F198" t="str">
            <v>김현빈</v>
          </cell>
          <cell r="G198" t="str">
            <v>사원</v>
          </cell>
          <cell r="H198" t="str">
            <v>초급상</v>
          </cell>
          <cell r="I198" t="str">
            <v>초급기술자</v>
          </cell>
          <cell r="J198" t="str">
            <v>하도급(FTE)</v>
          </cell>
          <cell r="K198" t="str">
            <v>네트워크엔지니어</v>
          </cell>
          <cell r="L198" t="str">
            <v>박준범 후임</v>
          </cell>
          <cell r="M198"/>
          <cell r="N198" t="str">
            <v>010-5557-4469</v>
          </cell>
          <cell r="O198" t="str">
            <v>dlslke1@cnthoth.com</v>
          </cell>
          <cell r="P198" t="str">
            <v>991109-1</v>
          </cell>
          <cell r="Q198">
            <v>44228</v>
          </cell>
          <cell r="R198">
            <v>45992</v>
          </cell>
          <cell r="S198"/>
          <cell r="T198" t="str">
            <v>구미대학교</v>
          </cell>
          <cell r="U198" t="str">
            <v>항공정비과</v>
          </cell>
          <cell r="V198" t="str">
            <v>전문대졸</v>
          </cell>
          <cell r="W198" t="str">
            <v>정보처리기능사</v>
          </cell>
          <cell r="X198"/>
          <cell r="Y198"/>
          <cell r="Z198">
            <v>1925</v>
          </cell>
          <cell r="AA198">
            <v>161</v>
          </cell>
          <cell r="AB198"/>
          <cell r="AC198"/>
          <cell r="AD198" t="str">
            <v>SK AX A동 4F_판교</v>
          </cell>
          <cell r="AE198" t="str">
            <v>경기도</v>
          </cell>
          <cell r="AF198" t="str">
            <v>2. Network Service</v>
          </cell>
          <cell r="AG198" t="str">
            <v>2. Network Service</v>
          </cell>
          <cell r="AH198" t="str">
            <v>SK AX</v>
          </cell>
          <cell r="AI198" t="str">
            <v>SK그룹사(공통)</v>
          </cell>
          <cell r="AJ198" t="str">
            <v>최재유</v>
          </cell>
          <cell r="AK198">
            <v>13486</v>
          </cell>
          <cell r="AL198" t="str">
            <v>경기도 성남시 분당구 판교로 255번길 46 SK C&amp;C 판교캠퍼스 A동 4층</v>
          </cell>
          <cell r="AM198" t="str">
            <v>24550</v>
          </cell>
          <cell r="AN198" t="str">
            <v>강원특별자치도 양구군 양구읍 박수근로285번길 37-32 (양구읍)</v>
          </cell>
          <cell r="AO198" t="str">
            <v>Network Service팀</v>
          </cell>
          <cell r="AP198" t="str">
            <v>SK랜터카, SK매직, SK플래닛, PS&amp;M 고객지원</v>
          </cell>
          <cell r="AQ198" t="str">
            <v>N/W 운영 및 자산 관리</v>
          </cell>
          <cell r="AS198" t="str">
            <v>고객사 공통 / 2026년_인프라운영_HC11_1분기(4500303149-01)</v>
          </cell>
          <cell r="AT198" t="str">
            <v>통상</v>
          </cell>
          <cell r="AU198" t="str">
            <v>정직원</v>
          </cell>
          <cell r="AV198" t="str">
            <v>씨앤토트플러스㈜</v>
          </cell>
          <cell r="AW198">
            <v>4223000</v>
          </cell>
          <cell r="AX198">
            <v>4223000</v>
          </cell>
          <cell r="AY198">
            <v>12</v>
          </cell>
          <cell r="AZ198">
            <v>50676000</v>
          </cell>
          <cell r="BA198"/>
          <cell r="BB198"/>
          <cell r="BC198">
            <v>45992</v>
          </cell>
          <cell r="BD198"/>
          <cell r="BE198">
            <v>31000800</v>
          </cell>
          <cell r="BF198">
            <v>31000800</v>
          </cell>
          <cell r="BG198">
            <v>2583400</v>
          </cell>
          <cell r="BH198">
            <v>2132300</v>
          </cell>
          <cell r="BI198">
            <v>11159.33</v>
          </cell>
          <cell r="BJ198">
            <v>209</v>
          </cell>
          <cell r="BK198">
            <v>15</v>
          </cell>
          <cell r="BL198">
            <v>0</v>
          </cell>
          <cell r="BM198">
            <v>251100</v>
          </cell>
          <cell r="BN198">
            <v>0</v>
          </cell>
          <cell r="BO198">
            <v>200000</v>
          </cell>
          <cell r="BP198">
            <v>0</v>
          </cell>
          <cell r="BQ198" t="str">
            <v>적합</v>
          </cell>
          <cell r="BR198"/>
          <cell r="BS198">
            <v>446373.2</v>
          </cell>
          <cell r="BT198">
            <v>2620597.7666666666</v>
          </cell>
          <cell r="BU198">
            <v>1358538</v>
          </cell>
          <cell r="BV198">
            <v>1164922.0243199999</v>
          </cell>
          <cell r="BW198">
            <v>443312.4</v>
          </cell>
          <cell r="BX198">
            <v>188765.28</v>
          </cell>
          <cell r="BY198">
            <v>3229250</v>
          </cell>
          <cell r="BZ198">
            <v>34067770.966666669</v>
          </cell>
          <cell r="CA198">
            <v>3155537.7043199996</v>
          </cell>
          <cell r="CB198">
            <v>38751000</v>
          </cell>
          <cell r="CC198">
            <v>11925000</v>
          </cell>
          <cell r="CD198">
            <v>23.531849396163864</v>
          </cell>
        </row>
        <row r="199">
          <cell r="F199" t="str">
            <v>이은동</v>
          </cell>
          <cell r="G199" t="str">
            <v>과장</v>
          </cell>
          <cell r="H199" t="str">
            <v>초급상</v>
          </cell>
          <cell r="I199" t="str">
            <v>초급기술자</v>
          </cell>
          <cell r="J199" t="str">
            <v>하도급(M/M)</v>
          </cell>
          <cell r="K199" t="str">
            <v>IT 데스크탑 엔지니어</v>
          </cell>
          <cell r="L199" t="str">
            <v>박철민 후임</v>
          </cell>
          <cell r="N199" t="str">
            <v>010-2674-7317</v>
          </cell>
          <cell r="O199" t="str">
            <v>edlee@cnthoth.com</v>
          </cell>
          <cell r="P199" t="str">
            <v>781227-1</v>
          </cell>
          <cell r="Q199">
            <v>38930</v>
          </cell>
          <cell r="R199">
            <v>45992</v>
          </cell>
          <cell r="T199" t="str">
            <v>금오공과대학교 대학원</v>
          </cell>
          <cell r="U199" t="str">
            <v>기계공학과</v>
          </cell>
          <cell r="V199" t="str">
            <v>대졸</v>
          </cell>
          <cell r="X199"/>
          <cell r="Z199">
            <v>7223</v>
          </cell>
          <cell r="AA199">
            <v>161</v>
          </cell>
          <cell r="AB199"/>
          <cell r="AD199" t="str">
            <v>파라다이스시티</v>
          </cell>
          <cell r="AE199" t="str">
            <v>경기도</v>
          </cell>
          <cell r="AF199" t="str">
            <v>3. 콜센터 &amp; 금융 &amp; 기타</v>
          </cell>
          <cell r="AG199" t="str">
            <v>3. 콜센터 &amp; 금융 &amp; 기타</v>
          </cell>
          <cell r="AH199" t="str">
            <v>SK AX</v>
          </cell>
          <cell r="AI199" t="str">
            <v>파라다이스ITO</v>
          </cell>
          <cell r="AJ199" t="str">
            <v>본사 관리</v>
          </cell>
          <cell r="AK199">
            <v>22382</v>
          </cell>
          <cell r="AL199" t="str">
            <v>인천시 중구 영종해안남로321번길 186 (파라다이스시티)</v>
          </cell>
          <cell r="AM199" t="str">
            <v>22881</v>
          </cell>
          <cell r="AN199" t="str">
            <v>인천광역시 서구 이음2로 70, 407동 102호 (당하동, 호반써밋 프라임뷰)</v>
          </cell>
          <cell r="AO199" t="str">
            <v>Cloud서비스 2팀</v>
          </cell>
          <cell r="AP199" t="str">
            <v>파라다이스CT OA운영</v>
          </cell>
          <cell r="AQ199" t="str">
            <v>PC, POS 장비 운용</v>
          </cell>
          <cell r="AS199" t="str">
            <v>고객사 공통  2026년_대외운영3(4500303729-01)</v>
          </cell>
          <cell r="AT199" t="str">
            <v>스케줄_파라</v>
          </cell>
          <cell r="AU199" t="str">
            <v>정직원</v>
          </cell>
          <cell r="AV199" t="str">
            <v>씨앤토트플러스㈜</v>
          </cell>
          <cell r="AW199">
            <v>5500000</v>
          </cell>
          <cell r="AX199">
            <v>5500000</v>
          </cell>
          <cell r="AY199">
            <v>12</v>
          </cell>
          <cell r="AZ199">
            <v>66000000</v>
          </cell>
          <cell r="BC199">
            <v>45992</v>
          </cell>
          <cell r="BD199"/>
          <cell r="BE199">
            <v>38000400</v>
          </cell>
          <cell r="BF199">
            <v>38000400</v>
          </cell>
          <cell r="BG199">
            <v>3166700.0000000005</v>
          </cell>
          <cell r="BH199">
            <v>2658900.0000000005</v>
          </cell>
          <cell r="BI199">
            <v>13678.95</v>
          </cell>
          <cell r="BJ199">
            <v>209</v>
          </cell>
          <cell r="BK199">
            <v>15</v>
          </cell>
          <cell r="BL199">
            <v>0</v>
          </cell>
          <cell r="BM199">
            <v>307800</v>
          </cell>
          <cell r="BN199">
            <v>0</v>
          </cell>
          <cell r="BO199">
            <v>200000</v>
          </cell>
          <cell r="BP199">
            <v>2123657</v>
          </cell>
          <cell r="BQ199" t="str">
            <v>적합</v>
          </cell>
          <cell r="BR199"/>
          <cell r="BS199">
            <v>1367895</v>
          </cell>
          <cell r="BT199">
            <v>3280691.2500000005</v>
          </cell>
          <cell r="BU199">
            <v>1691019</v>
          </cell>
          <cell r="BV199">
            <v>1450018.5321599999</v>
          </cell>
          <cell r="BW199">
            <v>551806.19999999995</v>
          </cell>
          <cell r="BX199">
            <v>234962.63999999998</v>
          </cell>
          <cell r="BY199">
            <v>3958375</v>
          </cell>
          <cell r="BZ199">
            <v>42648986.25</v>
          </cell>
          <cell r="CA199">
            <v>3927806.3721600003</v>
          </cell>
          <cell r="CB199">
            <v>47500500</v>
          </cell>
          <cell r="CC199">
            <v>15929875.030000001</v>
          </cell>
          <cell r="CD199">
            <v>24.136174287878788</v>
          </cell>
        </row>
        <row r="200">
          <cell r="F200" t="str">
            <v>이승현</v>
          </cell>
          <cell r="G200" t="str">
            <v>사원</v>
          </cell>
          <cell r="H200" t="str">
            <v>초급하</v>
          </cell>
          <cell r="I200" t="str">
            <v>초급기술자</v>
          </cell>
          <cell r="J200" t="str">
            <v>하도급(M/M)</v>
          </cell>
          <cell r="K200" t="str">
            <v>서비스 관제 엔지니어</v>
          </cell>
          <cell r="L200" t="str">
            <v>위성구 후임</v>
          </cell>
          <cell r="M200"/>
          <cell r="N200" t="str">
            <v>010-2279-1497</v>
          </cell>
          <cell r="O200" t="str">
            <v>shyeon@cnthoth.com</v>
          </cell>
          <cell r="P200" t="str">
            <v>970924-1</v>
          </cell>
          <cell r="Q200">
            <v>46006</v>
          </cell>
          <cell r="R200">
            <v>46006</v>
          </cell>
          <cell r="S200"/>
          <cell r="T200" t="str">
            <v>여주대학교</v>
          </cell>
          <cell r="U200" t="str">
            <v>지능로봇과</v>
          </cell>
          <cell r="V200" t="str">
            <v>전문대졸</v>
          </cell>
          <cell r="X200"/>
          <cell r="Y200"/>
          <cell r="Z200">
            <v>147</v>
          </cell>
          <cell r="AA200">
            <v>147</v>
          </cell>
          <cell r="AB200"/>
          <cell r="AC200"/>
          <cell r="AD200" t="str">
            <v>이천HN_OP</v>
          </cell>
          <cell r="AE200" t="str">
            <v>경기도</v>
          </cell>
          <cell r="AF200" t="str">
            <v>4. SKB/SK하이닉스 Infra 운영</v>
          </cell>
          <cell r="AG200" t="str">
            <v>4. SKB/SK하이닉스 Infra 운영</v>
          </cell>
          <cell r="AH200" t="str">
            <v>SK AX</v>
          </cell>
          <cell r="AI200" t="str">
            <v>SK하이닉스(이천)</v>
          </cell>
          <cell r="AJ200" t="str">
            <v>임봉영</v>
          </cell>
          <cell r="AK200" t="str">
            <v>17336</v>
          </cell>
          <cell r="AL200" t="str">
            <v xml:space="preserve">경기도 이천시 부발읍 경충대로 2091, SK하이닉스 기술지원센터 2층 SKHDC2 </v>
          </cell>
          <cell r="AM200" t="str">
            <v>12644</v>
          </cell>
          <cell r="AN200" t="str">
            <v>경기도 여주시 향교로 92, 105동 905호 (교동, 여주역 센트레빌 트리니체)</v>
          </cell>
          <cell r="AO200" t="str">
            <v>Hynix Cloud팀</v>
          </cell>
          <cell r="AP200" t="str">
            <v>이천 DC 운영</v>
          </cell>
          <cell r="AQ200" t="str">
            <v>H/W 육안점검, 시스템 모니터링 및 장애 전파</v>
          </cell>
          <cell r="AS200" t="str">
            <v>에스케이하이닉스(주) / SKHy '26년 ITO_데이타관제_1분기(4500303464-01)</v>
          </cell>
          <cell r="AT200" t="str">
            <v>스케줄</v>
          </cell>
          <cell r="AU200" t="str">
            <v>정직원</v>
          </cell>
          <cell r="AV200" t="str">
            <v>씨앤토트플러스㈜</v>
          </cell>
          <cell r="AW200">
            <v>4056000</v>
          </cell>
          <cell r="AX200">
            <v>4056000</v>
          </cell>
          <cell r="AY200">
            <v>12</v>
          </cell>
          <cell r="AZ200">
            <v>48672000</v>
          </cell>
          <cell r="BA200"/>
          <cell r="BB200"/>
          <cell r="BC200">
            <v>46006</v>
          </cell>
          <cell r="BD200"/>
          <cell r="BE200">
            <v>27967200</v>
          </cell>
          <cell r="BF200">
            <v>27967200</v>
          </cell>
          <cell r="BG200">
            <v>2330600</v>
          </cell>
          <cell r="BH200">
            <v>1698900.0000000002</v>
          </cell>
          <cell r="BI200">
            <v>10320.11</v>
          </cell>
          <cell r="BJ200">
            <v>184</v>
          </cell>
          <cell r="BK200">
            <v>38.020000000000003</v>
          </cell>
          <cell r="BL200">
            <v>45.63</v>
          </cell>
          <cell r="BM200">
            <v>196200</v>
          </cell>
          <cell r="BN200">
            <v>235500</v>
          </cell>
          <cell r="BO200">
            <v>200000</v>
          </cell>
          <cell r="BP200">
            <v>1869230</v>
          </cell>
          <cell r="BQ200" t="str">
            <v>적합</v>
          </cell>
          <cell r="BR200"/>
          <cell r="BS200">
            <v>1032011</v>
          </cell>
          <cell r="BT200">
            <v>2416600.9166666665</v>
          </cell>
          <cell r="BU200">
            <v>1214442</v>
          </cell>
          <cell r="BV200">
            <v>1041362.28288</v>
          </cell>
          <cell r="BW200">
            <v>396291.6</v>
          </cell>
          <cell r="BX200">
            <v>168743.52</v>
          </cell>
          <cell r="BY200">
            <v>2913250</v>
          </cell>
          <cell r="BZ200">
            <v>31415811.916666668</v>
          </cell>
          <cell r="CA200">
            <v>2820839.40288</v>
          </cell>
          <cell r="CB200">
            <v>34959000</v>
          </cell>
          <cell r="CC200">
            <v>11451231.699999999</v>
          </cell>
          <cell r="CD200">
            <v>23.527349810979619</v>
          </cell>
        </row>
        <row r="201">
          <cell r="F201" t="str">
            <v>장은진</v>
          </cell>
          <cell r="G201" t="str">
            <v>사원</v>
          </cell>
          <cell r="H201" t="str">
            <v>중급하</v>
          </cell>
          <cell r="I201" t="str">
            <v>중급기술자</v>
          </cell>
          <cell r="J201" t="str">
            <v>하도급(M/M)</v>
          </cell>
          <cell r="K201" t="str">
            <v>네트워크보안엔지니어</v>
          </cell>
          <cell r="L201" t="str">
            <v>2025_신규</v>
          </cell>
          <cell r="M201"/>
          <cell r="N201" t="str">
            <v>010-3910-0846</v>
          </cell>
          <cell r="O201" t="str">
            <v>jejin00@cnthoth.com</v>
          </cell>
          <cell r="P201" t="str">
            <v>950923-2</v>
          </cell>
          <cell r="Q201">
            <v>44888</v>
          </cell>
          <cell r="R201">
            <v>46014</v>
          </cell>
          <cell r="S201"/>
          <cell r="T201" t="str">
            <v>안양대학교</v>
          </cell>
          <cell r="U201" t="str">
            <v>정보통신공학과</v>
          </cell>
          <cell r="V201" t="str">
            <v>대졸</v>
          </cell>
          <cell r="W201" t="str">
            <v>정보처리기사</v>
          </cell>
          <cell r="Z201">
            <v>1265</v>
          </cell>
          <cell r="AA201">
            <v>139</v>
          </cell>
          <cell r="AB201"/>
          <cell r="AC201"/>
          <cell r="AD201" t="str">
            <v>SK AX B동 2F_판교</v>
          </cell>
          <cell r="AE201" t="str">
            <v>경기도</v>
          </cell>
          <cell r="AF201" t="str">
            <v>5. 신규사업</v>
          </cell>
          <cell r="AG201" t="str">
            <v>1. Infra 운영</v>
          </cell>
          <cell r="AH201" t="str">
            <v>SK AX</v>
          </cell>
          <cell r="AI201" t="str">
            <v>SKT</v>
          </cell>
          <cell r="AJ201" t="str">
            <v>유병주</v>
          </cell>
          <cell r="AK201">
            <v>13486</v>
          </cell>
          <cell r="AL201" t="str">
            <v>경기도 성남시 분당구 판교로 255번길 38 SK C&amp;C 판교캠퍼스 B동 2층</v>
          </cell>
          <cell r="AM201" t="str">
            <v>04590</v>
          </cell>
          <cell r="AN201" t="str">
            <v>서울특별시 중구 다산로14길 17, 504호 (신당동, 한스하우스)</v>
          </cell>
          <cell r="AO201" t="str">
            <v>보안사업개발팀</v>
          </cell>
          <cell r="AQ201" t="str">
            <v>SKT 보안 방화벽 정책 적용</v>
          </cell>
          <cell r="AR201" t="str">
            <v>SKT 보안 장애 대응</v>
          </cell>
          <cell r="AS201" t="str">
            <v>에스케이텔레콤(주) / SKT 25년 통합네트워크센터 보안정책 운영 용역_26년1분기 (4500302143-01)</v>
          </cell>
          <cell r="AT201" t="str">
            <v>통상</v>
          </cell>
          <cell r="AU201" t="str">
            <v>정직원</v>
          </cell>
          <cell r="AV201" t="str">
            <v>씨앤토트플러스㈜</v>
          </cell>
          <cell r="AW201">
            <v>5300000</v>
          </cell>
          <cell r="AX201">
            <v>5300000</v>
          </cell>
          <cell r="AY201">
            <v>12</v>
          </cell>
          <cell r="AZ201">
            <v>63600000</v>
          </cell>
          <cell r="BC201">
            <v>45974</v>
          </cell>
          <cell r="BD201"/>
          <cell r="BE201">
            <v>38000400</v>
          </cell>
          <cell r="BF201">
            <v>38000400</v>
          </cell>
          <cell r="BG201">
            <v>3166700</v>
          </cell>
          <cell r="BH201">
            <v>2658900</v>
          </cell>
          <cell r="BI201">
            <v>13678.95</v>
          </cell>
          <cell r="BJ201">
            <v>209</v>
          </cell>
          <cell r="BK201">
            <v>15</v>
          </cell>
          <cell r="BL201">
            <v>0</v>
          </cell>
          <cell r="BM201">
            <v>307800</v>
          </cell>
          <cell r="BN201">
            <v>0</v>
          </cell>
          <cell r="BO201">
            <v>200000</v>
          </cell>
          <cell r="BP201">
            <v>0</v>
          </cell>
          <cell r="BQ201" t="str">
            <v>적합</v>
          </cell>
          <cell r="BR201"/>
          <cell r="BS201">
            <v>547158</v>
          </cell>
          <cell r="BT201">
            <v>3212296.5</v>
          </cell>
          <cell r="BU201">
            <v>1691019</v>
          </cell>
          <cell r="BV201">
            <v>1450018.5321599999</v>
          </cell>
          <cell r="BW201">
            <v>551806.19999999995</v>
          </cell>
          <cell r="BX201">
            <v>234962.63999999998</v>
          </cell>
          <cell r="BY201">
            <v>3958375</v>
          </cell>
          <cell r="BZ201">
            <v>41759854.5</v>
          </cell>
          <cell r="CA201">
            <v>3927806.3721600003</v>
          </cell>
          <cell r="CB201">
            <v>47500500</v>
          </cell>
          <cell r="CC201">
            <v>16099500</v>
          </cell>
          <cell r="CD201">
            <v>25.313679245283016</v>
          </cell>
        </row>
        <row r="202">
          <cell r="F202" t="str">
            <v>조민귀</v>
          </cell>
          <cell r="G202" t="str">
            <v>사원</v>
          </cell>
          <cell r="H202" t="str">
            <v>중급하</v>
          </cell>
          <cell r="I202" t="str">
            <v>중급기술자</v>
          </cell>
          <cell r="J202" t="str">
            <v>하도급(M/M)</v>
          </cell>
          <cell r="K202" t="str">
            <v>네트워크보안엔지니어</v>
          </cell>
          <cell r="L202" t="str">
            <v>2025_신규</v>
          </cell>
          <cell r="M202"/>
          <cell r="N202" t="str">
            <v>010-7317-7695</v>
          </cell>
          <cell r="O202" t="str">
            <v>chmk26@cnthoth.com</v>
          </cell>
          <cell r="P202" t="str">
            <v>940317-1</v>
          </cell>
          <cell r="Q202">
            <v>44649</v>
          </cell>
          <cell r="R202">
            <v>46020</v>
          </cell>
          <cell r="S202"/>
          <cell r="T202" t="str">
            <v>가림고등학교</v>
          </cell>
          <cell r="U202" t="str">
            <v>이과</v>
          </cell>
          <cell r="V202" t="str">
            <v>고졸</v>
          </cell>
          <cell r="W202" t="str">
            <v>네트워크관리사2급</v>
          </cell>
          <cell r="X202" t="str">
            <v>리눅스마스터2급</v>
          </cell>
          <cell r="Z202">
            <v>1504</v>
          </cell>
          <cell r="AA202">
            <v>133</v>
          </cell>
          <cell r="AB202"/>
          <cell r="AC202"/>
          <cell r="AD202" t="str">
            <v>SKT_수내</v>
          </cell>
          <cell r="AE202" t="str">
            <v>경기도</v>
          </cell>
          <cell r="AF202" t="str">
            <v>5. 신규사업</v>
          </cell>
          <cell r="AG202" t="str">
            <v>1. Infra 운영</v>
          </cell>
          <cell r="AH202" t="str">
            <v>SK AX</v>
          </cell>
          <cell r="AI202" t="str">
            <v>SKT</v>
          </cell>
          <cell r="AJ202" t="str">
            <v>유병주</v>
          </cell>
          <cell r="AK202">
            <v>13595</v>
          </cell>
          <cell r="AL202" t="str">
            <v xml:space="preserve">경기도 분당구 황새울로 258번길 6 SKT </v>
          </cell>
          <cell r="AM202" t="str">
            <v>22832</v>
          </cell>
          <cell r="AN202" t="str">
            <v>인천광역시 서구 건지로250번길 29-7, 나동 101호 (가좌동, 중앙빌라)</v>
          </cell>
          <cell r="AO202" t="str">
            <v>보안사업개발팀</v>
          </cell>
          <cell r="AQ202" t="str">
            <v>SKT 보안 방화벽 정책 적용</v>
          </cell>
          <cell r="AR202" t="str">
            <v>SKT 보안 장애 대응</v>
          </cell>
          <cell r="AS202" t="str">
            <v>에스케이텔레콤(주) / SKT 25년 통합네트워크센터 보안정책 운영 용역_26년1분기 (4500302143-01)</v>
          </cell>
          <cell r="AT202" t="str">
            <v>통상</v>
          </cell>
          <cell r="AU202" t="str">
            <v>정직원</v>
          </cell>
          <cell r="AV202" t="str">
            <v>씨앤토트플러스㈜</v>
          </cell>
          <cell r="AW202"/>
          <cell r="AX202">
            <v>5300000</v>
          </cell>
          <cell r="AY202">
            <v>12</v>
          </cell>
          <cell r="AZ202">
            <v>63600000</v>
          </cell>
          <cell r="BC202">
            <v>46020</v>
          </cell>
          <cell r="BD202"/>
          <cell r="BE202">
            <v>35000400</v>
          </cell>
          <cell r="BF202">
            <v>35000400</v>
          </cell>
          <cell r="BG202">
            <v>2916700</v>
          </cell>
          <cell r="BH202">
            <v>2433200</v>
          </cell>
          <cell r="BI202">
            <v>12599.04</v>
          </cell>
          <cell r="BJ202">
            <v>209</v>
          </cell>
          <cell r="BK202">
            <v>15</v>
          </cell>
          <cell r="BL202">
            <v>0</v>
          </cell>
          <cell r="BM202">
            <v>283500</v>
          </cell>
          <cell r="BN202">
            <v>0</v>
          </cell>
          <cell r="BO202">
            <v>200000</v>
          </cell>
          <cell r="BP202">
            <v>0</v>
          </cell>
          <cell r="BQ202" t="str">
            <v>적합</v>
          </cell>
          <cell r="BR202"/>
          <cell r="BS202">
            <v>503961.60000000003</v>
          </cell>
          <cell r="BT202">
            <v>2958696.8</v>
          </cell>
          <cell r="BU202">
            <v>1548519</v>
          </cell>
          <cell r="BV202">
            <v>1327827.3321599998</v>
          </cell>
          <cell r="BW202">
            <v>505306.2</v>
          </cell>
          <cell r="BX202">
            <v>215162.63999999998</v>
          </cell>
          <cell r="BY202">
            <v>3645875</v>
          </cell>
          <cell r="BZ202">
            <v>38463058.399999999</v>
          </cell>
          <cell r="CA202">
            <v>3596815.1721600001</v>
          </cell>
          <cell r="CB202">
            <v>43750500</v>
          </cell>
          <cell r="CC202">
            <v>19849500</v>
          </cell>
          <cell r="CD202">
            <v>31.209905660377359</v>
          </cell>
        </row>
        <row r="203">
          <cell r="F203" t="str">
            <v>차현욱</v>
          </cell>
          <cell r="G203" t="str">
            <v>대리</v>
          </cell>
          <cell r="H203" t="str">
            <v>중급하</v>
          </cell>
          <cell r="I203" t="str">
            <v>중급기술자</v>
          </cell>
          <cell r="J203" t="str">
            <v>하도급(M/M)</v>
          </cell>
          <cell r="K203" t="str">
            <v>네트워크보안엔지니어</v>
          </cell>
          <cell r="L203" t="str">
            <v>2026_추가</v>
          </cell>
          <cell r="M203"/>
          <cell r="N203" t="str">
            <v>010-9005-3029</v>
          </cell>
          <cell r="O203" t="str">
            <v>hwcha21@cnthoth.com</v>
          </cell>
          <cell r="P203" t="str">
            <v>900421-1</v>
          </cell>
          <cell r="Q203">
            <v>44256</v>
          </cell>
          <cell r="R203">
            <v>46023</v>
          </cell>
          <cell r="S203"/>
          <cell r="T203" t="str">
            <v>가천대학교 경원캠퍼스</v>
          </cell>
          <cell r="U203" t="str">
            <v>동양어문학과</v>
          </cell>
          <cell r="V203" t="str">
            <v>대졸</v>
          </cell>
          <cell r="W203" t="str">
            <v>CCNP</v>
          </cell>
          <cell r="X203" t="str">
            <v>네트워크관리사2급</v>
          </cell>
          <cell r="Z203">
            <v>1897</v>
          </cell>
          <cell r="AA203">
            <v>130</v>
          </cell>
          <cell r="AB203"/>
          <cell r="AC203"/>
          <cell r="AD203" t="str">
            <v>SKT_수내</v>
          </cell>
          <cell r="AE203" t="str">
            <v>경기도</v>
          </cell>
          <cell r="AG203" t="str">
            <v>1. Infra 운영</v>
          </cell>
          <cell r="AH203" t="str">
            <v>SK AX</v>
          </cell>
          <cell r="AI203" t="str">
            <v>SKT</v>
          </cell>
          <cell r="AJ203" t="str">
            <v>유병주</v>
          </cell>
          <cell r="AK203">
            <v>13595</v>
          </cell>
          <cell r="AL203" t="str">
            <v xml:space="preserve">경기도 분당구 황새울로 258번길 6 SKT </v>
          </cell>
          <cell r="AM203" t="str">
            <v>14995</v>
          </cell>
          <cell r="AN203" t="str">
            <v>경기도 시흥시 시흥대로268번길 75, 1402동 1302호 (능곡동, 우남퍼스트빌)</v>
          </cell>
          <cell r="AO203" t="str">
            <v>보안사업개발팀</v>
          </cell>
          <cell r="AQ203" t="str">
            <v>SKT 보안 방화벽 정책 적용</v>
          </cell>
          <cell r="AR203" t="str">
            <v>SKT 보안 장애 대응</v>
          </cell>
          <cell r="AS203" t="str">
            <v>에스케이텔레콤(주) / SKT 25년 통합네트워크센터 보안정책 운영 용역_26년1분기 (4500302143-01)</v>
          </cell>
          <cell r="AT203" t="str">
            <v>통상</v>
          </cell>
          <cell r="AU203" t="str">
            <v>정직원</v>
          </cell>
          <cell r="AV203" t="str">
            <v>씨앤토트플러스㈜</v>
          </cell>
          <cell r="AW203"/>
          <cell r="AX203">
            <v>5300000</v>
          </cell>
          <cell r="AY203">
            <v>12</v>
          </cell>
          <cell r="AZ203">
            <v>63600000</v>
          </cell>
          <cell r="BB203"/>
          <cell r="BC203">
            <v>46023</v>
          </cell>
          <cell r="BD203"/>
          <cell r="BE203">
            <v>35000399.999999993</v>
          </cell>
          <cell r="BF203">
            <v>35000399.999999993</v>
          </cell>
          <cell r="BG203">
            <v>2916699.9999999995</v>
          </cell>
          <cell r="BH203">
            <v>2433199.9999999995</v>
          </cell>
          <cell r="BI203">
            <v>12599.04</v>
          </cell>
          <cell r="BJ203">
            <v>209</v>
          </cell>
          <cell r="BK203">
            <v>15</v>
          </cell>
          <cell r="BL203">
            <v>0</v>
          </cell>
          <cell r="BM203">
            <v>283500</v>
          </cell>
          <cell r="BN203">
            <v>0</v>
          </cell>
          <cell r="BO203">
            <v>200000</v>
          </cell>
          <cell r="BP203">
            <v>0</v>
          </cell>
          <cell r="BQ203" t="str">
            <v>적합</v>
          </cell>
          <cell r="BR203"/>
          <cell r="BS203">
            <v>503961.60000000003</v>
          </cell>
          <cell r="BT203">
            <v>2958696.7999999993</v>
          </cell>
          <cell r="BU203">
            <v>1548518.9999999998</v>
          </cell>
          <cell r="BV203">
            <v>1327827.3321599995</v>
          </cell>
          <cell r="BW203">
            <v>505306.1999999999</v>
          </cell>
          <cell r="BX203">
            <v>215162.63999999996</v>
          </cell>
          <cell r="BY203">
            <v>3645874.9999999995</v>
          </cell>
          <cell r="BZ203">
            <v>38463058.399999991</v>
          </cell>
          <cell r="CA203">
            <v>3596815.1721599991</v>
          </cell>
          <cell r="CB203">
            <v>43750499.999999993</v>
          </cell>
          <cell r="CC203">
            <v>19849500.000000007</v>
          </cell>
          <cell r="CD203">
            <v>31.20990566037737</v>
          </cell>
        </row>
        <row r="204">
          <cell r="F204" t="str">
            <v>강태원</v>
          </cell>
          <cell r="G204" t="str">
            <v>대리</v>
          </cell>
          <cell r="H204" t="str">
            <v>중급하</v>
          </cell>
          <cell r="I204" t="str">
            <v>중급기술자</v>
          </cell>
          <cell r="J204" t="str">
            <v>하도급(M/M)</v>
          </cell>
          <cell r="K204" t="str">
            <v>네트워크엔지니어</v>
          </cell>
          <cell r="L204" t="str">
            <v>정슬기 후임</v>
          </cell>
          <cell r="M204"/>
          <cell r="N204" t="str">
            <v>010-3952-2686</v>
          </cell>
          <cell r="O204" t="str">
            <v>kang712@cnthoth.com</v>
          </cell>
          <cell r="P204" t="str">
            <v>970712-1</v>
          </cell>
          <cell r="Q204">
            <v>44321</v>
          </cell>
          <cell r="R204">
            <v>46027</v>
          </cell>
          <cell r="S204"/>
          <cell r="T204" t="str">
            <v>서울현대직업전문학교</v>
          </cell>
          <cell r="U204" t="str">
            <v>정보처리</v>
          </cell>
          <cell r="V204" t="str">
            <v>전문대졸</v>
          </cell>
          <cell r="W204"/>
          <cell r="X204"/>
          <cell r="Y204"/>
          <cell r="Z204">
            <v>1832</v>
          </cell>
          <cell r="AA204">
            <v>126</v>
          </cell>
          <cell r="AB204"/>
          <cell r="AC204"/>
          <cell r="AD204" t="str">
            <v>SK AX A동 4F_판교</v>
          </cell>
          <cell r="AE204" t="str">
            <v>경기도</v>
          </cell>
          <cell r="AF204" t="str">
            <v>1. Infra 운영</v>
          </cell>
          <cell r="AG204" t="str">
            <v>1. Infra 운영</v>
          </cell>
          <cell r="AH204" t="str">
            <v>SK AX</v>
          </cell>
          <cell r="AI204" t="str">
            <v>SKT(분당)</v>
          </cell>
          <cell r="AJ204" t="str">
            <v>개인</v>
          </cell>
          <cell r="AK204">
            <v>13486</v>
          </cell>
          <cell r="AL204" t="str">
            <v>경기도 성남시 분당구 판교로 255번길 46 SK C&amp;C 판교캠퍼스 A동 4층</v>
          </cell>
          <cell r="AM204" t="str">
            <v>24253</v>
          </cell>
          <cell r="AN204" t="str">
            <v>강원특별자치도 춘천시 삭주로 125, 301동 1501호 (후평동, 세경3차아파트,상가)</v>
          </cell>
          <cell r="AO204" t="str">
            <v>Network Service팀</v>
          </cell>
          <cell r="AP204" t="str">
            <v>SKT N/W 구축 및 MA</v>
          </cell>
          <cell r="AQ204" t="str">
            <v>N/W 구축 지원 및 유지보수</v>
          </cell>
          <cell r="AR204"/>
          <cell r="AS204" t="str">
            <v>에스케이텔레콤(주) / SKT 25년 SDN IP장비 유지보수 용역계약_26년1분기 (4500302287-01)</v>
          </cell>
          <cell r="AT204" t="str">
            <v>통상</v>
          </cell>
          <cell r="AU204" t="str">
            <v>정직원</v>
          </cell>
          <cell r="AV204" t="str">
            <v>씨앤토트플러스㈜</v>
          </cell>
          <cell r="AW204"/>
          <cell r="AX204">
            <v>5500000</v>
          </cell>
          <cell r="AY204">
            <v>12</v>
          </cell>
          <cell r="AZ204">
            <v>66000000</v>
          </cell>
          <cell r="BA204"/>
          <cell r="BB204"/>
          <cell r="BC204">
            <v>46027</v>
          </cell>
          <cell r="BD204"/>
          <cell r="BE204">
            <v>33000000</v>
          </cell>
          <cell r="BF204">
            <v>33000000</v>
          </cell>
          <cell r="BG204">
            <v>2750000</v>
          </cell>
          <cell r="BH204">
            <v>2282700</v>
          </cell>
          <cell r="BI204">
            <v>11878.95</v>
          </cell>
          <cell r="BJ204">
            <v>209</v>
          </cell>
          <cell r="BK204">
            <v>15</v>
          </cell>
          <cell r="BL204">
            <v>0</v>
          </cell>
          <cell r="BM204">
            <v>267300</v>
          </cell>
          <cell r="BN204">
            <v>0</v>
          </cell>
          <cell r="BO204">
            <v>200000</v>
          </cell>
          <cell r="BP204">
            <v>0</v>
          </cell>
          <cell r="BQ204" t="str">
            <v>적합</v>
          </cell>
          <cell r="BR204"/>
          <cell r="BS204">
            <v>475158</v>
          </cell>
          <cell r="BT204">
            <v>2789596.5</v>
          </cell>
          <cell r="BU204">
            <v>1453500</v>
          </cell>
          <cell r="BV204">
            <v>1246350.24</v>
          </cell>
          <cell r="BW204">
            <v>474300</v>
          </cell>
          <cell r="BX204">
            <v>201960</v>
          </cell>
          <cell r="BY204">
            <v>3437500</v>
          </cell>
          <cell r="BZ204">
            <v>36264754.5</v>
          </cell>
          <cell r="CA204">
            <v>3376110.24</v>
          </cell>
          <cell r="CB204">
            <v>41250000</v>
          </cell>
          <cell r="CC204">
            <v>24750000</v>
          </cell>
          <cell r="CD204">
            <v>37.5</v>
          </cell>
        </row>
        <row r="205">
          <cell r="F205" t="str">
            <v>김예담</v>
          </cell>
          <cell r="G205" t="str">
            <v>대리</v>
          </cell>
          <cell r="H205" t="str">
            <v>중급하</v>
          </cell>
          <cell r="I205" t="str">
            <v>중급기술자</v>
          </cell>
          <cell r="J205" t="str">
            <v>하도급(FTE)</v>
          </cell>
          <cell r="K205" t="str">
            <v>네트워크보안엔지니어</v>
          </cell>
          <cell r="L205" t="str">
            <v>박지용 후임</v>
          </cell>
          <cell r="M205"/>
          <cell r="N205" t="str">
            <v>010-2436-8769</v>
          </cell>
          <cell r="O205" t="str">
            <v>ydkim@cnthoth.com</v>
          </cell>
          <cell r="P205" t="str">
            <v>980328-1</v>
          </cell>
          <cell r="Q205">
            <v>44444</v>
          </cell>
          <cell r="R205">
            <v>46027</v>
          </cell>
          <cell r="S205"/>
          <cell r="T205" t="str">
            <v>한국폴리텍대학</v>
          </cell>
          <cell r="U205" t="str">
            <v>자동화시스템과</v>
          </cell>
          <cell r="V205" t="str">
            <v>전문대졸</v>
          </cell>
          <cell r="W205" t="str">
            <v>네트워크관리사</v>
          </cell>
          <cell r="X205" t="str">
            <v>컴퓨터활용능력</v>
          </cell>
          <cell r="Z205">
            <v>1709</v>
          </cell>
          <cell r="AA205">
            <v>126</v>
          </cell>
          <cell r="AB205"/>
          <cell r="AC205"/>
          <cell r="AD205" t="str">
            <v>SK AX A동 1F_판교</v>
          </cell>
          <cell r="AE205" t="str">
            <v>경기도</v>
          </cell>
          <cell r="AF205" t="str">
            <v>2. Network Service</v>
          </cell>
          <cell r="AG205" t="str">
            <v>2. Network Service</v>
          </cell>
          <cell r="AH205" t="str">
            <v>SK AX</v>
          </cell>
          <cell r="AI205" t="str">
            <v>SK그룹사(공통)</v>
          </cell>
          <cell r="AJ205" t="str">
            <v>최재유</v>
          </cell>
          <cell r="AK205">
            <v>13486</v>
          </cell>
          <cell r="AL205" t="str">
            <v>경기도 성남시 분당구 판교로 255번길 46 SK C&amp;C 판교캠퍼스 A동 1층</v>
          </cell>
          <cell r="AM205" t="str">
            <v>13347</v>
          </cell>
          <cell r="AN205" t="str">
            <v>경기도 성남시 수정구 수정로220번길 16-1, 101호 (신흥동)</v>
          </cell>
          <cell r="AO205" t="str">
            <v>Network Service팀</v>
          </cell>
          <cell r="AP205" t="str">
            <v>SK공통 N/W 보안 운영</v>
          </cell>
          <cell r="AQ205" t="str">
            <v>N/W 보안 운영</v>
          </cell>
          <cell r="AS205" t="str">
            <v>고객사 공통 / 2026년_인프라운영_HC14_1분기(4500303329-01)</v>
          </cell>
          <cell r="AT205" t="str">
            <v>통상</v>
          </cell>
          <cell r="AU205" t="str">
            <v>정직원</v>
          </cell>
          <cell r="AV205" t="str">
            <v>씨앤토트플러스㈜</v>
          </cell>
          <cell r="AW205"/>
          <cell r="AX205">
            <v>4738000</v>
          </cell>
          <cell r="AY205">
            <v>12</v>
          </cell>
          <cell r="AZ205">
            <v>56856000</v>
          </cell>
          <cell r="BA205"/>
          <cell r="BB205"/>
          <cell r="BC205">
            <v>46027</v>
          </cell>
          <cell r="BD205"/>
          <cell r="BE205">
            <v>34008000</v>
          </cell>
          <cell r="BF205">
            <v>34008000</v>
          </cell>
          <cell r="BG205">
            <v>2834000</v>
          </cell>
          <cell r="BH205">
            <v>2358500</v>
          </cell>
          <cell r="BI205">
            <v>12241.63</v>
          </cell>
          <cell r="BJ205">
            <v>209</v>
          </cell>
          <cell r="BK205">
            <v>15</v>
          </cell>
          <cell r="BL205">
            <v>0</v>
          </cell>
          <cell r="BM205">
            <v>275500</v>
          </cell>
          <cell r="BN205">
            <v>0</v>
          </cell>
          <cell r="BO205">
            <v>200000</v>
          </cell>
          <cell r="BP205">
            <v>0</v>
          </cell>
          <cell r="BQ205" t="str">
            <v>적합</v>
          </cell>
          <cell r="BR205"/>
          <cell r="BS205">
            <v>489665.19999999995</v>
          </cell>
          <cell r="BT205">
            <v>2874805.4333333331</v>
          </cell>
          <cell r="BU205">
            <v>1501380</v>
          </cell>
          <cell r="BV205">
            <v>1287406.4831999999</v>
          </cell>
          <cell r="BW205">
            <v>489924</v>
          </cell>
          <cell r="BX205">
            <v>208612.8</v>
          </cell>
          <cell r="BY205">
            <v>3542500</v>
          </cell>
          <cell r="BZ205">
            <v>37372470.633333333</v>
          </cell>
          <cell r="CA205">
            <v>3487323.2831999995</v>
          </cell>
          <cell r="CB205">
            <v>42510000</v>
          </cell>
          <cell r="CC205">
            <v>14346000</v>
          </cell>
          <cell r="CD205">
            <v>25.232165470662725</v>
          </cell>
        </row>
        <row r="206">
          <cell r="F206" t="str">
            <v>한성훈</v>
          </cell>
          <cell r="G206" t="str">
            <v>대리</v>
          </cell>
          <cell r="H206" t="str">
            <v>초급하</v>
          </cell>
          <cell r="I206" t="str">
            <v>초급기술자</v>
          </cell>
          <cell r="J206" t="str">
            <v>하도급(M/M)</v>
          </cell>
          <cell r="K206" t="str">
            <v>네트워크엔지니어</v>
          </cell>
          <cell r="L206" t="str">
            <v>차현욱 후임</v>
          </cell>
          <cell r="M206"/>
          <cell r="N206" t="str">
            <v>010-4145-3434</v>
          </cell>
          <cell r="O206" t="str">
            <v>kktjdgns41@cnthoth.com</v>
          </cell>
          <cell r="P206" t="str">
            <v>910128-1</v>
          </cell>
          <cell r="Q206">
            <v>43849</v>
          </cell>
          <cell r="R206">
            <v>46042</v>
          </cell>
          <cell r="S206"/>
          <cell r="T206" t="str">
            <v>학점은행제</v>
          </cell>
          <cell r="U206" t="str">
            <v>컴퓨터공학과</v>
          </cell>
          <cell r="V206" t="str">
            <v>전문대졸</v>
          </cell>
          <cell r="W206" t="str">
            <v>CCNA</v>
          </cell>
          <cell r="X206" t="str">
            <v>정보처리산업기사</v>
          </cell>
          <cell r="Z206">
            <v>2304</v>
          </cell>
          <cell r="AA206">
            <v>111</v>
          </cell>
          <cell r="AB206"/>
          <cell r="AC206"/>
          <cell r="AD206" t="str">
            <v>SKB 7층_동작</v>
          </cell>
          <cell r="AE206" t="str">
            <v>서울특별시</v>
          </cell>
          <cell r="AF206" t="str">
            <v>4. SKB/SK하이닉스 Infra 운영</v>
          </cell>
          <cell r="AG206" t="str">
            <v>4. SKB/SK하이닉스 Infra 운영</v>
          </cell>
          <cell r="AH206" t="str">
            <v>SK AX</v>
          </cell>
          <cell r="AI206" t="str">
            <v>SKB(동작)</v>
          </cell>
          <cell r="AJ206" t="str">
            <v>박규성</v>
          </cell>
          <cell r="AK206" t="str">
            <v>07063</v>
          </cell>
          <cell r="AL206" t="str">
            <v>서울시 동작구 여의대방로 74 (신대방동) SK브로드밴드 7층</v>
          </cell>
          <cell r="AM206" t="str">
            <v>08563</v>
          </cell>
          <cell r="AN206" t="str">
            <v>서울특별시 금천구 독산로50길 57-2, 101동 505호 (시흥동, 금강아파트)</v>
          </cell>
          <cell r="AO206" t="str">
            <v>ICT Cloud팀</v>
          </cell>
          <cell r="AP206" t="str">
            <v>SKB N/W 구축</v>
          </cell>
          <cell r="AQ206" t="str">
            <v>L2 구축</v>
          </cell>
          <cell r="AS206" t="str">
            <v>에스케이브로드밴드(주) / SKB 26년 IT장비 및 소프트웨어 유지보수_1분기(4500302989-01)</v>
          </cell>
          <cell r="AT206" t="str">
            <v>통상</v>
          </cell>
          <cell r="AU206" t="str">
            <v>정직원</v>
          </cell>
          <cell r="AV206" t="str">
            <v>씨앤토트플러스㈜</v>
          </cell>
          <cell r="AW206"/>
          <cell r="AX206">
            <v>4300000</v>
          </cell>
          <cell r="AY206">
            <v>12</v>
          </cell>
          <cell r="AZ206">
            <v>51600000</v>
          </cell>
          <cell r="BB206"/>
          <cell r="BC206">
            <v>46023</v>
          </cell>
          <cell r="BD206"/>
          <cell r="BE206">
            <v>35000399.999999993</v>
          </cell>
          <cell r="BF206">
            <v>34008000</v>
          </cell>
          <cell r="BG206">
            <v>2834000</v>
          </cell>
          <cell r="BH206">
            <v>2358500</v>
          </cell>
          <cell r="BI206">
            <v>12241.63</v>
          </cell>
          <cell r="BJ206">
            <v>209</v>
          </cell>
          <cell r="BK206">
            <v>15</v>
          </cell>
          <cell r="BL206">
            <v>0</v>
          </cell>
          <cell r="BM206">
            <v>275500</v>
          </cell>
          <cell r="BN206">
            <v>0</v>
          </cell>
          <cell r="BO206">
            <v>200000</v>
          </cell>
          <cell r="BP206">
            <v>0</v>
          </cell>
          <cell r="BQ206" t="str">
            <v>적합</v>
          </cell>
          <cell r="BR206"/>
          <cell r="BS206">
            <v>489665.19999999995</v>
          </cell>
          <cell r="BT206">
            <v>2874805.4333333331</v>
          </cell>
          <cell r="BU206">
            <v>1501380</v>
          </cell>
          <cell r="BV206">
            <v>1287406.4831999999</v>
          </cell>
          <cell r="BW206">
            <v>489924</v>
          </cell>
          <cell r="BX206">
            <v>208612.8</v>
          </cell>
          <cell r="BY206">
            <v>3542500</v>
          </cell>
          <cell r="BZ206">
            <v>37372470.633333333</v>
          </cell>
          <cell r="CA206">
            <v>3487323.2831999995</v>
          </cell>
          <cell r="CB206">
            <v>42510000</v>
          </cell>
          <cell r="CC206">
            <v>9090000</v>
          </cell>
          <cell r="CD206">
            <v>17.616279069767444</v>
          </cell>
        </row>
        <row r="207">
          <cell r="F207" t="str">
            <v>강지민</v>
          </cell>
          <cell r="G207" t="str">
            <v>대리</v>
          </cell>
          <cell r="H207" t="str">
            <v>중급하</v>
          </cell>
          <cell r="I207" t="str">
            <v>중급기술자</v>
          </cell>
          <cell r="J207" t="str">
            <v>하도급(M/M)</v>
          </cell>
          <cell r="K207" t="str">
            <v>네트워크보안엔지니어</v>
          </cell>
          <cell r="L207" t="str">
            <v>2026_추가</v>
          </cell>
          <cell r="M207"/>
          <cell r="N207" t="str">
            <v>010-4788-0988</v>
          </cell>
          <cell r="O207" t="str">
            <v>kangjm@cnthoth.com</v>
          </cell>
          <cell r="P207" t="str">
            <v>960120-2</v>
          </cell>
          <cell r="Q207">
            <v>43911</v>
          </cell>
          <cell r="R207">
            <v>46043</v>
          </cell>
          <cell r="S207"/>
          <cell r="T207" t="str">
            <v>극동대학교</v>
          </cell>
          <cell r="U207" t="str">
            <v>산업보안학과</v>
          </cell>
          <cell r="V207" t="str">
            <v>대졸</v>
          </cell>
          <cell r="W207" t="str">
            <v>리눅스마스터2급</v>
          </cell>
          <cell r="X207" t="str">
            <v>네트워크관리사2급</v>
          </cell>
          <cell r="Y207" t="str">
            <v>보안관제사</v>
          </cell>
          <cell r="Z207">
            <v>2242</v>
          </cell>
          <cell r="AA207">
            <v>110</v>
          </cell>
          <cell r="AB207"/>
          <cell r="AC207"/>
          <cell r="AD207" t="str">
            <v>SK AX B동 2F_판교</v>
          </cell>
          <cell r="AE207" t="str">
            <v>경기도</v>
          </cell>
          <cell r="AG207" t="str">
            <v>1. Infra 운영</v>
          </cell>
          <cell r="AH207" t="str">
            <v>SK AX</v>
          </cell>
          <cell r="AI207" t="str">
            <v>SKT</v>
          </cell>
          <cell r="AJ207" t="str">
            <v>유병주</v>
          </cell>
          <cell r="AK207">
            <v>13486</v>
          </cell>
          <cell r="AL207" t="str">
            <v>경기도 성남시 분당구 판교로 255번길 38 SK C&amp;C 판교캠퍼스 B동 2층</v>
          </cell>
          <cell r="AM207" t="str">
            <v>13640</v>
          </cell>
          <cell r="AN207" t="str">
            <v>경기도 성남시 수정구 위례광장로 104, 103-411호 (창곡동, 위례 한화 오벨리스크 센트럴스퀘어)</v>
          </cell>
          <cell r="AO207" t="str">
            <v>보안사업개발팀</v>
          </cell>
          <cell r="AQ207" t="str">
            <v>SKT 보안 방화벽 정책 적용</v>
          </cell>
          <cell r="AR207" t="str">
            <v>SKT 보안 장애 대응</v>
          </cell>
          <cell r="AS207" t="str">
            <v>에스케이텔레콤(주) / SKT 25년 통합네트워크센터 보안정책 운영 용역_26년1분기 (4500302143-01)</v>
          </cell>
          <cell r="AT207" t="str">
            <v>통상</v>
          </cell>
          <cell r="AU207" t="str">
            <v>정직원</v>
          </cell>
          <cell r="AV207" t="str">
            <v>씨앤토트플러스㈜</v>
          </cell>
          <cell r="AW207"/>
          <cell r="AX207">
            <v>5300000</v>
          </cell>
          <cell r="AY207">
            <v>12</v>
          </cell>
          <cell r="AZ207">
            <v>63600000</v>
          </cell>
          <cell r="BC207"/>
          <cell r="BD207"/>
          <cell r="BE207">
            <v>38000400</v>
          </cell>
          <cell r="BF207">
            <v>43000800</v>
          </cell>
          <cell r="BG207">
            <v>3583400</v>
          </cell>
          <cell r="BH207">
            <v>3035100</v>
          </cell>
          <cell r="BI207">
            <v>15478.95</v>
          </cell>
          <cell r="BJ207">
            <v>209</v>
          </cell>
          <cell r="BK207">
            <v>15</v>
          </cell>
          <cell r="BL207">
            <v>0</v>
          </cell>
          <cell r="BM207">
            <v>348300</v>
          </cell>
          <cell r="BN207">
            <v>0</v>
          </cell>
          <cell r="BO207">
            <v>200000</v>
          </cell>
          <cell r="BP207">
            <v>0</v>
          </cell>
          <cell r="BQ207" t="str">
            <v>적합</v>
          </cell>
          <cell r="BR207"/>
          <cell r="BS207">
            <v>619158</v>
          </cell>
          <cell r="BT207">
            <v>3634996.5</v>
          </cell>
          <cell r="BU207">
            <v>1928538</v>
          </cell>
          <cell r="BV207">
            <v>1653686.8243199997</v>
          </cell>
          <cell r="BW207">
            <v>629312.4</v>
          </cell>
          <cell r="BX207">
            <v>267965.27999999997</v>
          </cell>
          <cell r="BY207">
            <v>4479250</v>
          </cell>
          <cell r="BZ207">
            <v>47254954.5</v>
          </cell>
          <cell r="CA207">
            <v>4479502.5043200003</v>
          </cell>
          <cell r="CB207">
            <v>53751000</v>
          </cell>
          <cell r="CC207">
            <v>9849000</v>
          </cell>
          <cell r="CD207">
            <v>15.485849056603772</v>
          </cell>
        </row>
        <row r="208">
          <cell r="F208" t="str">
            <v>송우현</v>
          </cell>
          <cell r="G208" t="str">
            <v>사원</v>
          </cell>
          <cell r="H208" t="str">
            <v>초급하</v>
          </cell>
          <cell r="I208" t="str">
            <v>초급기술자</v>
          </cell>
          <cell r="J208" t="str">
            <v>하도급(M/M)</v>
          </cell>
          <cell r="K208" t="str">
            <v>서비스 관제 엔지니어</v>
          </cell>
          <cell r="L208" t="str">
            <v>김무겸 후임</v>
          </cell>
          <cell r="M208"/>
          <cell r="N208" t="str">
            <v>010-2668-8248</v>
          </cell>
          <cell r="O208" t="str">
            <v>ghyun@cnthoth.com</v>
          </cell>
          <cell r="P208" t="str">
            <v>970723-1</v>
          </cell>
          <cell r="Q208">
            <v>46062</v>
          </cell>
          <cell r="R208">
            <v>46062</v>
          </cell>
          <cell r="S208"/>
          <cell r="T208" t="str">
            <v>세명대학교</v>
          </cell>
          <cell r="U208" t="str">
            <v>컴퓨터학부</v>
          </cell>
          <cell r="V208" t="str">
            <v>대졸</v>
          </cell>
          <cell r="Z208">
            <v>91</v>
          </cell>
          <cell r="AA208">
            <v>91</v>
          </cell>
          <cell r="AB208"/>
          <cell r="AC208"/>
          <cell r="AD208" t="str">
            <v>이천HN_OP</v>
          </cell>
          <cell r="AE208" t="str">
            <v>경기도</v>
          </cell>
          <cell r="AG208" t="str">
            <v>4. SKB/SK하이닉스 Infra 운영</v>
          </cell>
          <cell r="AH208" t="str">
            <v>SK AX</v>
          </cell>
          <cell r="AI208" t="str">
            <v>SK하이닉스(이천)</v>
          </cell>
          <cell r="AJ208" t="str">
            <v>임봉영</v>
          </cell>
          <cell r="AK208" t="str">
            <v>17336</v>
          </cell>
          <cell r="AL208" t="str">
            <v xml:space="preserve">경기도 이천시 부발읍 경충대로 2091, SK하이닉스 기술지원센터 6층 SKHDC2 </v>
          </cell>
          <cell r="AM208" t="str">
            <v>17316</v>
          </cell>
          <cell r="AN208" t="str">
            <v>경기도 이천시 백사면 이여로 204, 108동 1005호 (백사면, 신안실크밸리 더 포레)</v>
          </cell>
          <cell r="AO208" t="str">
            <v>Hynix Cloud팀</v>
          </cell>
          <cell r="AP208" t="str">
            <v>이천 DC 운영</v>
          </cell>
          <cell r="AQ208" t="str">
            <v>H/W 육안점검, 시스템 모니터링 및 장애 전파</v>
          </cell>
          <cell r="AS208" t="str">
            <v>에스케이하이닉스(주) / SKHy '26년 ITO_데이타관제_1분기(4500303464-01)</v>
          </cell>
          <cell r="AT208" t="str">
            <v>스케줄</v>
          </cell>
          <cell r="AU208" t="str">
            <v>정직원</v>
          </cell>
          <cell r="AV208" t="str">
            <v>씨앤토트플러스㈜</v>
          </cell>
          <cell r="AW208"/>
          <cell r="AX208">
            <v>4179000</v>
          </cell>
          <cell r="AY208">
            <v>12</v>
          </cell>
          <cell r="AZ208">
            <v>50148000</v>
          </cell>
          <cell r="BA208"/>
          <cell r="BB208"/>
          <cell r="BC208"/>
          <cell r="BD208"/>
          <cell r="BE208"/>
          <cell r="BF208">
            <v>27967200</v>
          </cell>
          <cell r="BG208">
            <v>2330600</v>
          </cell>
          <cell r="BH208">
            <v>1698900.0000000002</v>
          </cell>
          <cell r="BI208">
            <v>10320.11</v>
          </cell>
          <cell r="BJ208">
            <v>184</v>
          </cell>
          <cell r="BK208">
            <v>38.020000000000003</v>
          </cell>
          <cell r="BL208">
            <v>45.63</v>
          </cell>
          <cell r="BM208">
            <v>196200</v>
          </cell>
          <cell r="BN208">
            <v>235500</v>
          </cell>
          <cell r="BO208">
            <v>200000</v>
          </cell>
          <cell r="BP208">
            <v>1869230</v>
          </cell>
          <cell r="BQ208" t="str">
            <v>적합</v>
          </cell>
          <cell r="BR208"/>
          <cell r="BS208">
            <v>1032011</v>
          </cell>
          <cell r="BT208">
            <v>2416600.9166666665</v>
          </cell>
          <cell r="BU208">
            <v>1214442</v>
          </cell>
          <cell r="BV208">
            <v>1041362.28288</v>
          </cell>
          <cell r="BW208">
            <v>396291.6</v>
          </cell>
          <cell r="BX208">
            <v>168743.52</v>
          </cell>
          <cell r="BY208">
            <v>2913250</v>
          </cell>
          <cell r="BZ208">
            <v>31415811.916666668</v>
          </cell>
          <cell r="CA208">
            <v>2820839.40288</v>
          </cell>
          <cell r="CB208">
            <v>34959000</v>
          </cell>
          <cell r="CC208">
            <v>12927231.699999999</v>
          </cell>
          <cell r="CD208">
            <v>25.778160046263061</v>
          </cell>
        </row>
        <row r="209">
          <cell r="F209" t="str">
            <v>하연석</v>
          </cell>
          <cell r="G209" t="str">
            <v>사원</v>
          </cell>
          <cell r="H209" t="str">
            <v>초급하</v>
          </cell>
          <cell r="I209" t="str">
            <v>초급기술자</v>
          </cell>
          <cell r="J209" t="str">
            <v>하도급(M/M)</v>
          </cell>
          <cell r="K209" t="str">
            <v>서버엔지니어</v>
          </cell>
          <cell r="L209" t="str">
            <v>2026_신규</v>
          </cell>
          <cell r="M209"/>
          <cell r="N209" t="str">
            <v>010-6569-2303</v>
          </cell>
          <cell r="O209" t="str">
            <v>h0323@cnthoth.com</v>
          </cell>
          <cell r="P209" t="str">
            <v>030323-3</v>
          </cell>
          <cell r="Q209">
            <v>46062</v>
          </cell>
          <cell r="R209">
            <v>46062</v>
          </cell>
          <cell r="S209"/>
          <cell r="T209" t="str">
            <v>명지전문대학</v>
          </cell>
          <cell r="U209" t="str">
            <v>ICT융합공학과</v>
          </cell>
          <cell r="V209" t="str">
            <v>전문대졸</v>
          </cell>
          <cell r="W209" t="str">
            <v>정보처리기능사</v>
          </cell>
          <cell r="Z209">
            <v>91</v>
          </cell>
          <cell r="AA209">
            <v>91</v>
          </cell>
          <cell r="AB209"/>
          <cell r="AC209"/>
          <cell r="AD209" t="str">
            <v>한투증권_여의도</v>
          </cell>
          <cell r="AE209" t="str">
            <v>서울특별시</v>
          </cell>
          <cell r="AG209" t="str">
            <v>5. 신규사업</v>
          </cell>
          <cell r="AH209" t="str">
            <v>SK AX</v>
          </cell>
          <cell r="AI209" t="str">
            <v>한국투자증권</v>
          </cell>
          <cell r="AJ209" t="str">
            <v>본사 관리</v>
          </cell>
          <cell r="AK209" t="str">
            <v>07321</v>
          </cell>
          <cell r="AL209" t="str">
            <v>서울특별시 영등포구 의사당대로 88, 한국투자증권 본사 12층 IT인프라부</v>
          </cell>
          <cell r="AM209" t="str">
            <v>03481</v>
          </cell>
          <cell r="AN209" t="str">
            <v>서울특별시 은평구 가좌로7가길 19-23 (응암동)</v>
          </cell>
          <cell r="AO209" t="str">
            <v>IT인프라부</v>
          </cell>
          <cell r="AQ209" t="str">
            <v>Linux 서버 운영</v>
          </cell>
          <cell r="AR209" t="str">
            <v>취약점조치 대응</v>
          </cell>
          <cell r="AS209"/>
          <cell r="AT209" t="str">
            <v>통상</v>
          </cell>
          <cell r="AU209" t="str">
            <v>정직원</v>
          </cell>
          <cell r="AV209" t="str">
            <v>씨앤토트플러스㈜</v>
          </cell>
          <cell r="AW209"/>
          <cell r="AX209">
            <v>5000000</v>
          </cell>
          <cell r="AY209">
            <v>12</v>
          </cell>
          <cell r="AZ209">
            <v>60000000</v>
          </cell>
          <cell r="BC209"/>
          <cell r="BD209"/>
          <cell r="BE209"/>
          <cell r="BF209">
            <v>30000000</v>
          </cell>
          <cell r="BG209">
            <v>2500000</v>
          </cell>
          <cell r="BH209">
            <v>2057000.0000000002</v>
          </cell>
          <cell r="BI209">
            <v>10799.04</v>
          </cell>
          <cell r="BJ209">
            <v>209</v>
          </cell>
          <cell r="BK209">
            <v>15</v>
          </cell>
          <cell r="BL209">
            <v>0</v>
          </cell>
          <cell r="BM209">
            <v>243000</v>
          </cell>
          <cell r="BN209">
            <v>0</v>
          </cell>
          <cell r="BO209">
            <v>200000</v>
          </cell>
          <cell r="BP209">
            <v>0</v>
          </cell>
          <cell r="BQ209" t="str">
            <v>적합</v>
          </cell>
          <cell r="BR209"/>
          <cell r="BS209">
            <v>431961.60000000003</v>
          </cell>
          <cell r="BT209">
            <v>2535996.7999999998</v>
          </cell>
          <cell r="BU209">
            <v>1311000</v>
          </cell>
          <cell r="BV209">
            <v>1124159.0399999998</v>
          </cell>
          <cell r="BW209">
            <v>427800</v>
          </cell>
          <cell r="BX209">
            <v>182160</v>
          </cell>
          <cell r="BY209">
            <v>3125000</v>
          </cell>
          <cell r="BZ209">
            <v>32967958.400000002</v>
          </cell>
          <cell r="CA209">
            <v>3045119.04</v>
          </cell>
          <cell r="CB209">
            <v>37500000</v>
          </cell>
          <cell r="CC209">
            <v>22500000</v>
          </cell>
          <cell r="CD209">
            <v>37.5</v>
          </cell>
        </row>
        <row r="210">
          <cell r="F210" t="str">
            <v>서영서</v>
          </cell>
          <cell r="G210" t="str">
            <v>사원</v>
          </cell>
          <cell r="H210" t="str">
            <v>초급하</v>
          </cell>
          <cell r="I210" t="str">
            <v>초급기술자</v>
          </cell>
          <cell r="J210" t="str">
            <v>하도급(M/M)</v>
          </cell>
          <cell r="K210" t="str">
            <v>M/W 엔지니어</v>
          </cell>
          <cell r="L210" t="str">
            <v>2026_신규</v>
          </cell>
          <cell r="M210"/>
          <cell r="N210" t="str">
            <v>010-4535-9915</v>
          </cell>
          <cell r="O210" t="str">
            <v>ysseo@cnthoth.com</v>
          </cell>
          <cell r="P210" t="str">
            <v>980308-2</v>
          </cell>
          <cell r="Q210">
            <v>46062</v>
          </cell>
          <cell r="R210">
            <v>46062</v>
          </cell>
          <cell r="S210"/>
          <cell r="T210" t="str">
            <v>한국폴리텍대학</v>
          </cell>
          <cell r="U210" t="str">
            <v>스마트정보통신과</v>
          </cell>
          <cell r="V210" t="str">
            <v>전문대졸</v>
          </cell>
          <cell r="W210" t="str">
            <v>정보처리산업기사</v>
          </cell>
          <cell r="X210" t="str">
            <v>네트워크관리사2급</v>
          </cell>
          <cell r="Z210">
            <v>91</v>
          </cell>
          <cell r="AA210">
            <v>91</v>
          </cell>
          <cell r="AB210"/>
          <cell r="AC210"/>
          <cell r="AD210" t="str">
            <v>한투증권_여의도</v>
          </cell>
          <cell r="AE210" t="str">
            <v>서울특별시</v>
          </cell>
          <cell r="AG210" t="str">
            <v>5. 신규사업</v>
          </cell>
          <cell r="AH210" t="str">
            <v>SK AX</v>
          </cell>
          <cell r="AI210" t="str">
            <v>한국투자증권</v>
          </cell>
          <cell r="AJ210" t="str">
            <v>본사 관리</v>
          </cell>
          <cell r="AK210" t="str">
            <v>07321</v>
          </cell>
          <cell r="AL210" t="str">
            <v>서울특별시 영등포구 의사당대로 88, 한국투자증권 본사 12층 IT인프라부</v>
          </cell>
          <cell r="AM210" t="str">
            <v>48255</v>
          </cell>
          <cell r="AN210" t="str">
            <v>부산광역시 수영구 장대골로7번길 20, 5층 502호 (광안동, 호암 팰리스)</v>
          </cell>
          <cell r="AO210" t="str">
            <v>IT인프라부</v>
          </cell>
          <cell r="AQ210" t="str">
            <v>WAS 운영</v>
          </cell>
          <cell r="AR210" t="str">
            <v>취약점조치 대응</v>
          </cell>
          <cell r="AT210" t="str">
            <v>통상</v>
          </cell>
          <cell r="AU210" t="str">
            <v>정직원</v>
          </cell>
          <cell r="AV210" t="str">
            <v>씨앤토트플러스㈜</v>
          </cell>
          <cell r="AW210"/>
          <cell r="AX210">
            <v>5000000</v>
          </cell>
          <cell r="AY210">
            <v>12</v>
          </cell>
          <cell r="AZ210">
            <v>60000000</v>
          </cell>
          <cell r="BC210"/>
          <cell r="BD210"/>
          <cell r="BE210"/>
          <cell r="BF210">
            <v>30000000</v>
          </cell>
          <cell r="BG210">
            <v>2500000</v>
          </cell>
          <cell r="BH210">
            <v>2057000.0000000002</v>
          </cell>
          <cell r="BI210">
            <v>10799.04</v>
          </cell>
          <cell r="BJ210">
            <v>209</v>
          </cell>
          <cell r="BK210">
            <v>15</v>
          </cell>
          <cell r="BL210">
            <v>0</v>
          </cell>
          <cell r="BM210">
            <v>243000</v>
          </cell>
          <cell r="BN210">
            <v>0</v>
          </cell>
          <cell r="BO210">
            <v>200000</v>
          </cell>
          <cell r="BP210">
            <v>0</v>
          </cell>
          <cell r="BQ210" t="str">
            <v>적합</v>
          </cell>
          <cell r="BR210"/>
          <cell r="BS210">
            <v>431961.60000000003</v>
          </cell>
          <cell r="BT210">
            <v>2535996.7999999998</v>
          </cell>
          <cell r="BU210">
            <v>1311000</v>
          </cell>
          <cell r="BV210">
            <v>1124159.0399999998</v>
          </cell>
          <cell r="BW210">
            <v>427800</v>
          </cell>
          <cell r="BX210">
            <v>182160</v>
          </cell>
          <cell r="BY210">
            <v>3125000</v>
          </cell>
          <cell r="BZ210">
            <v>32967958.400000002</v>
          </cell>
          <cell r="CA210">
            <v>3045119.04</v>
          </cell>
          <cell r="CB210">
            <v>37500000</v>
          </cell>
          <cell r="CC210">
            <v>22500000</v>
          </cell>
          <cell r="CD210">
            <v>37.5</v>
          </cell>
        </row>
        <row r="211">
          <cell r="F211" t="str">
            <v>주향모</v>
          </cell>
          <cell r="G211" t="str">
            <v>과장</v>
          </cell>
          <cell r="H211" t="str">
            <v>고능</v>
          </cell>
          <cell r="I211" t="str">
            <v>고급기능사</v>
          </cell>
          <cell r="J211" t="str">
            <v>하도급(M/M)</v>
          </cell>
          <cell r="K211" t="str">
            <v>NOC 엔지니어</v>
          </cell>
          <cell r="L211" t="str">
            <v>강성빈 후임</v>
          </cell>
          <cell r="M211"/>
          <cell r="N211" t="str">
            <v>010-2709-6221</v>
          </cell>
          <cell r="O211" t="str">
            <v>white981@cnthoth.com</v>
          </cell>
          <cell r="P211" t="str">
            <v>820824-1</v>
          </cell>
          <cell r="Q211">
            <v>40523</v>
          </cell>
          <cell r="R211">
            <v>46064</v>
          </cell>
          <cell r="S211"/>
          <cell r="T211" t="str">
            <v>신흥대학</v>
          </cell>
          <cell r="U211" t="str">
            <v>환경관리학과</v>
          </cell>
          <cell r="V211" t="str">
            <v>전문대졸</v>
          </cell>
          <cell r="W211"/>
          <cell r="Z211">
            <v>5630</v>
          </cell>
          <cell r="AA211">
            <v>89</v>
          </cell>
          <cell r="AB211"/>
          <cell r="AC211"/>
          <cell r="AD211" t="str">
            <v>SKB동작국사</v>
          </cell>
          <cell r="AE211" t="str">
            <v>서울특별시</v>
          </cell>
          <cell r="AG211" t="str">
            <v>4. SKB/SK하이닉스 Infra 운영</v>
          </cell>
          <cell r="AH211" t="str">
            <v>SK AX</v>
          </cell>
          <cell r="AI211" t="str">
            <v>SKB(동작)</v>
          </cell>
          <cell r="AJ211" t="str">
            <v>박규성</v>
          </cell>
          <cell r="AK211" t="str">
            <v>07063</v>
          </cell>
          <cell r="AL211" t="str">
            <v>서울시 동작구 여의대방로 74 (신대방동) SK브로드밴드 7층</v>
          </cell>
          <cell r="AM211" t="str">
            <v>01773</v>
          </cell>
          <cell r="AN211" t="str">
            <v>서울특별시 노원구 섬밭로 285, 118동 204호 (중계동, 중계그린아파트)</v>
          </cell>
          <cell r="AO211" t="str">
            <v>ICT Cloud팀</v>
          </cell>
          <cell r="AP211" t="str">
            <v>SKB N/W 운영</v>
          </cell>
          <cell r="AQ211" t="str">
            <v>N/W 장비 모니터링 및 장애전파</v>
          </cell>
          <cell r="AS211" t="str">
            <v>에스케이브로드밴드(주) / SKB 25년 IT장비 및 소프트웨어 유지보수</v>
          </cell>
          <cell r="AT211" t="str">
            <v>스케줄</v>
          </cell>
          <cell r="AU211" t="str">
            <v>정직원</v>
          </cell>
          <cell r="AV211" t="str">
            <v>씨앤토트플러스㈜</v>
          </cell>
          <cell r="AW211"/>
          <cell r="AX211">
            <v>3875000</v>
          </cell>
          <cell r="AY211">
            <v>12</v>
          </cell>
          <cell r="AZ211">
            <v>46500000</v>
          </cell>
          <cell r="BC211"/>
          <cell r="BD211"/>
          <cell r="BE211"/>
          <cell r="BF211">
            <v>32004000</v>
          </cell>
          <cell r="BG211">
            <v>2667000</v>
          </cell>
          <cell r="BH211">
            <v>2054500.0000000002</v>
          </cell>
          <cell r="BI211">
            <v>12015.67</v>
          </cell>
          <cell r="BJ211">
            <v>187.63</v>
          </cell>
          <cell r="BK211">
            <v>29.11</v>
          </cell>
          <cell r="BL211">
            <v>39.54</v>
          </cell>
          <cell r="BM211">
            <v>174900</v>
          </cell>
          <cell r="BN211">
            <v>237600</v>
          </cell>
          <cell r="BO211">
            <v>200000</v>
          </cell>
          <cell r="BP211">
            <v>2428336</v>
          </cell>
          <cell r="BQ211" t="str">
            <v>적합</v>
          </cell>
          <cell r="BR211"/>
          <cell r="BS211">
            <v>510430.62200956931</v>
          </cell>
          <cell r="BT211">
            <v>2709535.8851674641</v>
          </cell>
          <cell r="BU211">
            <v>1440180</v>
          </cell>
          <cell r="BV211">
            <v>1134541.8</v>
          </cell>
          <cell r="BW211">
            <v>496062</v>
          </cell>
          <cell r="BX211">
            <v>224028</v>
          </cell>
          <cell r="BY211">
            <v>3333750</v>
          </cell>
          <cell r="BZ211">
            <v>35223966.507177033</v>
          </cell>
          <cell r="CA211">
            <v>3294811.8</v>
          </cell>
          <cell r="CB211">
            <v>40005000</v>
          </cell>
          <cell r="CC211">
            <v>3556713.44</v>
          </cell>
          <cell r="CD211">
            <v>7.6488461075268814</v>
          </cell>
        </row>
        <row r="212">
          <cell r="F212" t="str">
            <v>신우진</v>
          </cell>
          <cell r="G212" t="str">
            <v>사원</v>
          </cell>
          <cell r="H212" t="str">
            <v>초급하</v>
          </cell>
          <cell r="I212" t="str">
            <v>초급기술자</v>
          </cell>
          <cell r="J212" t="str">
            <v>하도급(M/M)</v>
          </cell>
          <cell r="K212" t="str">
            <v>서비스 관제 엔지니어</v>
          </cell>
          <cell r="L212" t="str">
            <v>김세영 후임</v>
          </cell>
          <cell r="M212"/>
          <cell r="N212" t="str">
            <v>010-6460-8332</v>
          </cell>
          <cell r="O212" t="str">
            <v>shin0718@cnthoth.com</v>
          </cell>
          <cell r="P212" t="str">
            <v>960718-1</v>
          </cell>
          <cell r="Q212">
            <v>46076</v>
          </cell>
          <cell r="R212">
            <v>46076</v>
          </cell>
          <cell r="S212"/>
          <cell r="T212" t="str">
            <v>Fanshawe College대학</v>
          </cell>
          <cell r="U212" t="str">
            <v>computer programming and Analysis</v>
          </cell>
          <cell r="V212" t="str">
            <v>전문대졸</v>
          </cell>
          <cell r="Z212">
            <v>77</v>
          </cell>
          <cell r="AA212">
            <v>77</v>
          </cell>
          <cell r="AB212"/>
          <cell r="AC212"/>
          <cell r="AD212" t="str">
            <v>청주HN_OP</v>
          </cell>
          <cell r="AE212" t="str">
            <v>경기도외</v>
          </cell>
          <cell r="AG212" t="str">
            <v>4. SKB/SK하이닉스 Infra 운영</v>
          </cell>
          <cell r="AH212" t="str">
            <v>SK AX</v>
          </cell>
          <cell r="AI212" t="str">
            <v>SK하이닉스(청주)</v>
          </cell>
          <cell r="AJ212" t="str">
            <v>곽경석</v>
          </cell>
          <cell r="AK212" t="str">
            <v>28436</v>
          </cell>
          <cell r="AL212" t="str">
            <v>충청북도 청주시 흥덕구 직지대로 337 (향정동) , SKHDC4 (M11 3F)</v>
          </cell>
          <cell r="AM212" t="str">
            <v>28385</v>
          </cell>
          <cell r="AN212" t="str">
            <v>충청북도 청주시 흥덕구 서부로1124번길 43-57 (석곡동)</v>
          </cell>
          <cell r="AO212" t="str">
            <v>Hynix Cloud팀</v>
          </cell>
          <cell r="AP212" t="str">
            <v>청주 DC 운영</v>
          </cell>
          <cell r="AQ212" t="str">
            <v>H/W 육안점검, 시스템 모니터링 및 장애 전파</v>
          </cell>
          <cell r="AS212" t="str">
            <v>에스케이하이닉스(주) / SKHy '26년 ITO_데이타관제_1분기(4500303464-01)</v>
          </cell>
          <cell r="AT212" t="str">
            <v>스케줄</v>
          </cell>
          <cell r="AU212" t="str">
            <v>정직원</v>
          </cell>
          <cell r="AV212" t="str">
            <v>씨앤토트플러스㈜</v>
          </cell>
          <cell r="AW212"/>
          <cell r="AX212">
            <v>4179000</v>
          </cell>
          <cell r="AY212">
            <v>12</v>
          </cell>
          <cell r="AZ212">
            <v>50148000</v>
          </cell>
          <cell r="BA212"/>
          <cell r="BB212"/>
          <cell r="BC212"/>
          <cell r="BD212"/>
          <cell r="BE212"/>
          <cell r="BF212">
            <v>27727200</v>
          </cell>
          <cell r="BG212">
            <v>2310600</v>
          </cell>
          <cell r="BH212">
            <v>1824700</v>
          </cell>
          <cell r="BI212">
            <v>10320.1</v>
          </cell>
          <cell r="BJ212">
            <v>196.19</v>
          </cell>
          <cell r="BK212">
            <v>2.17</v>
          </cell>
          <cell r="BL212">
            <v>53.23</v>
          </cell>
          <cell r="BM212">
            <v>11200</v>
          </cell>
          <cell r="BN212">
            <v>274700</v>
          </cell>
          <cell r="BO212">
            <v>200000</v>
          </cell>
          <cell r="BP212">
            <v>1869229</v>
          </cell>
          <cell r="BQ212" t="str">
            <v>적합</v>
          </cell>
          <cell r="BR212"/>
          <cell r="BS212">
            <v>442220.09569377988</v>
          </cell>
          <cell r="BT212">
            <v>2347451.6746411482</v>
          </cell>
          <cell r="BU212">
            <v>1247724</v>
          </cell>
          <cell r="BV212">
            <v>982929.24000000011</v>
          </cell>
          <cell r="BW212">
            <v>429771.6</v>
          </cell>
          <cell r="BX212">
            <v>194090.4</v>
          </cell>
          <cell r="BY212">
            <v>2888250</v>
          </cell>
          <cell r="BZ212">
            <v>30516871.770334926</v>
          </cell>
          <cell r="CA212">
            <v>2854515.24</v>
          </cell>
          <cell r="CB212">
            <v>34659000</v>
          </cell>
          <cell r="CC212">
            <v>13227232.91</v>
          </cell>
          <cell r="CD212">
            <v>26.376391700566327</v>
          </cell>
        </row>
        <row r="213">
          <cell r="F213" t="str">
            <v>김현수</v>
          </cell>
          <cell r="G213" t="str">
            <v>사원</v>
          </cell>
          <cell r="H213" t="str">
            <v>초급상</v>
          </cell>
          <cell r="I213" t="str">
            <v>초급기술자</v>
          </cell>
          <cell r="J213" t="str">
            <v>하도급(FTE)</v>
          </cell>
          <cell r="K213" t="str">
            <v>NOC 엔지니어</v>
          </cell>
          <cell r="L213" t="str">
            <v>배상현 후임</v>
          </cell>
          <cell r="M213"/>
          <cell r="N213" t="str">
            <v>010-9246-1074</v>
          </cell>
          <cell r="O213" t="str">
            <v>kimhs1@cnthoth.com</v>
          </cell>
          <cell r="P213" t="str">
            <v>010222-3</v>
          </cell>
          <cell r="Q213">
            <v>46084</v>
          </cell>
          <cell r="R213">
            <v>46084</v>
          </cell>
          <cell r="S213"/>
          <cell r="T213" t="str">
            <v>동서울대학교</v>
          </cell>
          <cell r="U213" t="str">
            <v>컴퓨터정보과</v>
          </cell>
          <cell r="V213" t="str">
            <v>전문대졸</v>
          </cell>
          <cell r="Z213">
            <v>69</v>
          </cell>
          <cell r="AA213">
            <v>69</v>
          </cell>
          <cell r="AB213"/>
          <cell r="AC213"/>
          <cell r="AD213" t="str">
            <v>판교NOC</v>
          </cell>
          <cell r="AE213" t="str">
            <v>경기도</v>
          </cell>
          <cell r="AG213" t="str">
            <v>2. Network Service</v>
          </cell>
          <cell r="AH213" t="str">
            <v>SK AX</v>
          </cell>
          <cell r="AI213" t="str">
            <v>SK이노베이션</v>
          </cell>
          <cell r="AJ213" t="str">
            <v>최재유</v>
          </cell>
          <cell r="AK213">
            <v>13486</v>
          </cell>
          <cell r="AL213" t="str">
            <v>경기도 성남시 분당구 판교로 255번길 46 SK AX판교캠퍼스 A동 1층</v>
          </cell>
          <cell r="AM213" t="str">
            <v>13612</v>
          </cell>
          <cell r="AN213" t="str">
            <v>경기도 성남시 분당구 정자로 56, 110동 1205호 (정자동, 상록마을라이프1단지아파트)</v>
          </cell>
          <cell r="AO213" t="str">
            <v>Network Service팀</v>
          </cell>
          <cell r="AP213" t="str">
            <v>SK공통 NOC 운영</v>
          </cell>
          <cell r="AQ213" t="str">
            <v>N/W 관제, 장애 조치</v>
          </cell>
          <cell r="AS213" t="str">
            <v>고객사 공통 / 2026년_인프라운영_HC14_1분기(4500303329-01)</v>
          </cell>
          <cell r="AT213" t="str">
            <v>스케줄</v>
          </cell>
          <cell r="AU213" t="str">
            <v>정직원</v>
          </cell>
          <cell r="AV213" t="str">
            <v>씨앤토트플러스㈜</v>
          </cell>
          <cell r="AW213"/>
          <cell r="AX213">
            <v>4413000</v>
          </cell>
          <cell r="AY213">
            <v>12</v>
          </cell>
          <cell r="AZ213">
            <v>52956000</v>
          </cell>
          <cell r="BA213"/>
          <cell r="BB213"/>
          <cell r="BC213">
            <v>46084</v>
          </cell>
          <cell r="BD213"/>
          <cell r="BE213"/>
          <cell r="BF213">
            <v>27454800</v>
          </cell>
          <cell r="BG213">
            <v>2287900</v>
          </cell>
          <cell r="BH213">
            <v>1773900.0000000002</v>
          </cell>
          <cell r="BI213">
            <v>10320.51</v>
          </cell>
          <cell r="BJ213">
            <v>191.26</v>
          </cell>
          <cell r="BK213">
            <v>27.88</v>
          </cell>
          <cell r="BL213">
            <v>32.950000000000003</v>
          </cell>
          <cell r="BM213">
            <v>143900</v>
          </cell>
          <cell r="BN213">
            <v>170100</v>
          </cell>
          <cell r="BO213">
            <v>200000</v>
          </cell>
          <cell r="BP213">
            <v>593736</v>
          </cell>
          <cell r="BQ213" t="str">
            <v>적합</v>
          </cell>
          <cell r="BR213">
            <v>250000</v>
          </cell>
          <cell r="BS213">
            <v>1032051</v>
          </cell>
          <cell r="BT213">
            <v>2373904.25</v>
          </cell>
          <cell r="BU213">
            <v>1190103</v>
          </cell>
          <cell r="BV213">
            <v>1020492.0259199999</v>
          </cell>
          <cell r="BW213">
            <v>388349.4</v>
          </cell>
          <cell r="BX213">
            <v>165361.68</v>
          </cell>
          <cell r="BY213">
            <v>2859875</v>
          </cell>
          <cell r="BZ213">
            <v>30860755.25</v>
          </cell>
          <cell r="CA213">
            <v>2764306.10592</v>
          </cell>
          <cell r="CB213">
            <v>34318500</v>
          </cell>
          <cell r="CC213">
            <v>17919079.440000001</v>
          </cell>
          <cell r="CD213">
            <v>33.837675504192163</v>
          </cell>
        </row>
      </sheetData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스케줄 분석_20260109"/>
      <sheetName val="서비스매니저명단"/>
      <sheetName val="26년 4대보험"/>
      <sheetName val="재직자정보"/>
      <sheetName val="직무전환"/>
      <sheetName val="퇴직자정보"/>
      <sheetName val="퇴직자 재활용 DB"/>
      <sheetName val="2026 SK AX 조직"/>
      <sheetName val="스케줄근무 현황_현행화!!!"/>
      <sheetName val="SK하이닉스 인력 현황"/>
      <sheetName val="스케줄근무지별 평균통상시급"/>
      <sheetName val="사업분류별 인력 현황_주간회의용"/>
    </sheetNames>
    <sheetDataSet>
      <sheetData sheetId="0">
        <row r="3">
          <cell r="B3" t="str">
            <v>근무지</v>
          </cell>
          <cell r="C3" t="str">
            <v>1회 평균 
근로 시간</v>
          </cell>
          <cell r="D3" t="str">
            <v>월평균 
소정근로시간(A)
(=월평균 총근로시간)</v>
          </cell>
          <cell r="E3" t="str">
            <v>월평균 
주휴일수당
 처리시간(B)</v>
          </cell>
          <cell r="F3" t="str">
            <v>기본급(C)
구성시간(A+B)</v>
          </cell>
          <cell r="G3" t="str">
            <v>1일기본근로시간</v>
          </cell>
          <cell r="H3" t="str">
            <v>초임_
기본급(D)/월</v>
          </cell>
          <cell r="I3" t="str">
            <v>식대(E)/월</v>
          </cell>
          <cell r="J3" t="str">
            <v>통상시급
(D+E)/C</v>
          </cell>
          <cell r="K3" t="str">
            <v>월 평균 
연장 근로시간</v>
          </cell>
          <cell r="L3" t="str">
            <v>월 평균
야간 근로시간</v>
          </cell>
          <cell r="M3" t="str">
            <v>월 평균
연장근로 
가산시간</v>
          </cell>
          <cell r="N3" t="str">
            <v>월 평균
야간근로 
가산시간</v>
          </cell>
          <cell r="O3" t="str">
            <v>고정연장
근로
가산수당</v>
          </cell>
          <cell r="P3" t="str">
            <v>고정야간
근로
가산수당</v>
          </cell>
          <cell r="Q3" t="str">
            <v>월 급여</v>
          </cell>
          <cell r="R3" t="str">
            <v>연봉</v>
          </cell>
          <cell r="S3" t="str">
            <v>기타지급/년</v>
          </cell>
          <cell r="T3" t="str">
            <v>계(1)</v>
          </cell>
          <cell r="U3" t="str">
            <v>교대
근무자
정원</v>
          </cell>
          <cell r="V3" t="str">
            <v>1일기준
휴일
근로인원</v>
          </cell>
          <cell r="W3" t="str">
            <v xml:space="preserve">가중치
( 2개이상 업체중 자사 비중 ) </v>
          </cell>
          <cell r="X3" t="str">
            <v>26년 
총 휴일수</v>
          </cell>
          <cell r="Y3" t="str">
            <v>1인 년평균
휴일근로수당</v>
          </cell>
        </row>
        <row r="4">
          <cell r="B4" t="str">
            <v>주간</v>
          </cell>
          <cell r="C4">
            <v>8</v>
          </cell>
          <cell r="D4">
            <v>174</v>
          </cell>
          <cell r="E4">
            <v>35</v>
          </cell>
          <cell r="F4">
            <v>209</v>
          </cell>
          <cell r="G4">
            <v>8</v>
          </cell>
          <cell r="H4">
            <v>2057000.0000000002</v>
          </cell>
          <cell r="I4">
            <v>200000</v>
          </cell>
          <cell r="J4">
            <v>10799.04</v>
          </cell>
          <cell r="K4">
            <v>15</v>
          </cell>
          <cell r="L4">
            <v>0</v>
          </cell>
          <cell r="M4">
            <v>22.5</v>
          </cell>
          <cell r="N4">
            <v>0</v>
          </cell>
          <cell r="O4">
            <v>243000</v>
          </cell>
          <cell r="P4">
            <v>0</v>
          </cell>
          <cell r="Q4">
            <v>2500000</v>
          </cell>
          <cell r="R4">
            <v>30000000</v>
          </cell>
          <cell r="S4"/>
          <cell r="T4">
            <v>30000000</v>
          </cell>
          <cell r="U4"/>
          <cell r="V4"/>
          <cell r="W4"/>
          <cell r="X4"/>
          <cell r="Y4"/>
        </row>
        <row r="5">
          <cell r="B5" t="str">
            <v>판교DC</v>
          </cell>
          <cell r="C5">
            <v>10.5</v>
          </cell>
          <cell r="D5">
            <v>159.69</v>
          </cell>
          <cell r="E5">
            <v>24.33</v>
          </cell>
          <cell r="F5">
            <v>184</v>
          </cell>
          <cell r="G5">
            <v>5.6</v>
          </cell>
          <cell r="H5">
            <v>1698900</v>
          </cell>
          <cell r="I5">
            <v>200000</v>
          </cell>
          <cell r="J5">
            <v>10320.11</v>
          </cell>
          <cell r="K5">
            <v>38.020000000000003</v>
          </cell>
          <cell r="L5">
            <v>49.43</v>
          </cell>
          <cell r="M5">
            <v>19.010000000000002</v>
          </cell>
          <cell r="N5">
            <v>24.715</v>
          </cell>
          <cell r="O5">
            <v>196200</v>
          </cell>
          <cell r="P5">
            <v>255100</v>
          </cell>
          <cell r="Q5">
            <v>2350200</v>
          </cell>
          <cell r="R5">
            <v>28202400</v>
          </cell>
          <cell r="S5"/>
          <cell r="T5">
            <v>28202400</v>
          </cell>
          <cell r="U5">
            <v>8</v>
          </cell>
          <cell r="V5">
            <v>4</v>
          </cell>
          <cell r="W5">
            <v>1</v>
          </cell>
          <cell r="X5">
            <v>23</v>
          </cell>
          <cell r="Y5">
            <v>1869230</v>
          </cell>
        </row>
        <row r="6">
          <cell r="B6" t="str">
            <v>대전DC</v>
          </cell>
          <cell r="C6">
            <v>10.5</v>
          </cell>
          <cell r="D6">
            <v>159.68750000000003</v>
          </cell>
          <cell r="E6">
            <v>24.333333333333336</v>
          </cell>
          <cell r="F6">
            <v>184</v>
          </cell>
          <cell r="G6">
            <v>5.6</v>
          </cell>
          <cell r="H6">
            <v>1698900</v>
          </cell>
          <cell r="I6">
            <v>200000</v>
          </cell>
          <cell r="J6">
            <v>10320.11</v>
          </cell>
          <cell r="K6">
            <v>38.020000000000003</v>
          </cell>
          <cell r="L6">
            <v>49.43</v>
          </cell>
          <cell r="M6">
            <v>19.010000000000002</v>
          </cell>
          <cell r="N6">
            <v>24.715</v>
          </cell>
          <cell r="O6">
            <v>196200</v>
          </cell>
          <cell r="P6">
            <v>255100</v>
          </cell>
          <cell r="Q6">
            <v>2350200</v>
          </cell>
          <cell r="R6">
            <v>28202400</v>
          </cell>
          <cell r="S6">
            <v>2400000</v>
          </cell>
          <cell r="T6">
            <v>30602400</v>
          </cell>
          <cell r="U6">
            <v>8</v>
          </cell>
          <cell r="V6">
            <v>4</v>
          </cell>
          <cell r="W6">
            <v>1</v>
          </cell>
          <cell r="X6">
            <v>23</v>
          </cell>
          <cell r="Y6">
            <v>1869230</v>
          </cell>
        </row>
        <row r="7">
          <cell r="B7" t="str">
            <v>보라매DC</v>
          </cell>
          <cell r="C7">
            <v>8.5357142857142865</v>
          </cell>
          <cell r="D7">
            <v>173.09</v>
          </cell>
          <cell r="E7">
            <v>32.44</v>
          </cell>
          <cell r="F7">
            <v>205.53</v>
          </cell>
          <cell r="G7">
            <v>7.5</v>
          </cell>
          <cell r="H7">
            <v>1921100</v>
          </cell>
          <cell r="I7">
            <v>200000</v>
          </cell>
          <cell r="J7">
            <v>10320.15</v>
          </cell>
          <cell r="K7">
            <v>32.590000000000003</v>
          </cell>
          <cell r="L7">
            <v>65.900000000000006</v>
          </cell>
          <cell r="M7">
            <v>16.295000000000002</v>
          </cell>
          <cell r="N7">
            <v>32.950000000000003</v>
          </cell>
          <cell r="O7">
            <v>168200</v>
          </cell>
          <cell r="P7">
            <v>340100</v>
          </cell>
          <cell r="Q7">
            <v>2629400</v>
          </cell>
          <cell r="R7">
            <v>31552800</v>
          </cell>
          <cell r="S7"/>
          <cell r="T7">
            <v>31552800</v>
          </cell>
          <cell r="U7">
            <v>6</v>
          </cell>
          <cell r="V7">
            <v>4</v>
          </cell>
          <cell r="W7">
            <v>0.5</v>
          </cell>
          <cell r="X7">
            <v>23</v>
          </cell>
          <cell r="Y7">
            <v>1013034</v>
          </cell>
        </row>
        <row r="8">
          <cell r="B8" t="str">
            <v>판교NOC</v>
          </cell>
          <cell r="C8">
            <v>9.6382978723404253</v>
          </cell>
          <cell r="D8">
            <v>164.03</v>
          </cell>
          <cell r="E8">
            <v>27.229999999999997</v>
          </cell>
          <cell r="F8">
            <v>191.26</v>
          </cell>
          <cell r="G8">
            <v>6.3</v>
          </cell>
          <cell r="H8">
            <v>1773900</v>
          </cell>
          <cell r="I8">
            <v>200000</v>
          </cell>
          <cell r="J8">
            <v>10320.51</v>
          </cell>
          <cell r="K8">
            <v>27.88</v>
          </cell>
          <cell r="L8">
            <v>32.950000000000003</v>
          </cell>
          <cell r="M8">
            <v>13.94</v>
          </cell>
          <cell r="N8">
            <v>16.475000000000001</v>
          </cell>
          <cell r="O8">
            <v>143900</v>
          </cell>
          <cell r="P8">
            <v>170100</v>
          </cell>
          <cell r="Q8">
            <v>2287900</v>
          </cell>
          <cell r="R8">
            <v>27454800</v>
          </cell>
          <cell r="S8">
            <v>3000000</v>
          </cell>
          <cell r="T8">
            <v>30454800</v>
          </cell>
          <cell r="U8">
            <v>17</v>
          </cell>
          <cell r="V8">
            <v>5</v>
          </cell>
          <cell r="W8">
            <v>0.58823529411764708</v>
          </cell>
          <cell r="X8">
            <v>23</v>
          </cell>
          <cell r="Y8">
            <v>593736</v>
          </cell>
        </row>
        <row r="9">
          <cell r="B9" t="str">
            <v>대전NOC</v>
          </cell>
          <cell r="C9">
            <v>10.5</v>
          </cell>
          <cell r="D9">
            <v>159.68750000000003</v>
          </cell>
          <cell r="E9">
            <v>24.333333333333336</v>
          </cell>
          <cell r="F9">
            <v>184</v>
          </cell>
          <cell r="G9">
            <v>5.6</v>
          </cell>
          <cell r="H9">
            <v>1698900</v>
          </cell>
          <cell r="I9">
            <v>200000</v>
          </cell>
          <cell r="J9">
            <v>10320.11</v>
          </cell>
          <cell r="K9">
            <v>38.020000000000003</v>
          </cell>
          <cell r="L9">
            <v>49.43</v>
          </cell>
          <cell r="M9">
            <v>19.010000000000002</v>
          </cell>
          <cell r="N9">
            <v>24.715</v>
          </cell>
          <cell r="O9">
            <v>196200</v>
          </cell>
          <cell r="P9">
            <v>255100</v>
          </cell>
          <cell r="Q9">
            <v>2350200</v>
          </cell>
          <cell r="R9">
            <v>28202400</v>
          </cell>
          <cell r="S9">
            <v>3000000</v>
          </cell>
          <cell r="T9">
            <v>31202400</v>
          </cell>
          <cell r="U9">
            <v>4</v>
          </cell>
          <cell r="V9">
            <v>2</v>
          </cell>
          <cell r="W9">
            <v>0.75</v>
          </cell>
          <cell r="X9">
            <v>23</v>
          </cell>
          <cell r="Y9">
            <v>1401923</v>
          </cell>
        </row>
        <row r="10">
          <cell r="B10" t="str">
            <v>보라매NOC</v>
          </cell>
          <cell r="C10">
            <v>9.34</v>
          </cell>
          <cell r="D10">
            <v>166.74851190476193</v>
          </cell>
          <cell r="E10">
            <v>29.547619047619051</v>
          </cell>
          <cell r="F10">
            <v>196.29613095238096</v>
          </cell>
          <cell r="G10">
            <v>6.8</v>
          </cell>
          <cell r="H10">
            <v>1782500</v>
          </cell>
          <cell r="I10">
            <v>200000</v>
          </cell>
          <cell r="J10">
            <v>10099.540000000001</v>
          </cell>
          <cell r="K10">
            <v>19.010000000000002</v>
          </cell>
          <cell r="L10">
            <v>51.6</v>
          </cell>
          <cell r="M10">
            <v>9.5050000000000008</v>
          </cell>
          <cell r="N10">
            <v>25.8</v>
          </cell>
          <cell r="O10">
            <v>96000</v>
          </cell>
          <cell r="P10">
            <v>260600</v>
          </cell>
          <cell r="Q10">
            <v>2339100</v>
          </cell>
          <cell r="R10">
            <v>28069200</v>
          </cell>
          <cell r="S10">
            <v>3000000</v>
          </cell>
          <cell r="T10">
            <v>31069200</v>
          </cell>
          <cell r="U10">
            <v>4</v>
          </cell>
          <cell r="V10">
            <v>1</v>
          </cell>
          <cell r="W10">
            <v>0</v>
          </cell>
          <cell r="X10">
            <v>23</v>
          </cell>
          <cell r="Y10">
            <v>0</v>
          </cell>
        </row>
        <row r="11">
          <cell r="B11" t="str">
            <v>SKB동작국사</v>
          </cell>
          <cell r="C11">
            <v>9.7631578947368425</v>
          </cell>
          <cell r="D11">
            <v>161.21</v>
          </cell>
          <cell r="E11">
            <v>26.42</v>
          </cell>
          <cell r="F11">
            <v>187.63</v>
          </cell>
          <cell r="G11">
            <v>6.1</v>
          </cell>
          <cell r="H11">
            <v>1738100</v>
          </cell>
          <cell r="I11">
            <v>200000</v>
          </cell>
          <cell r="J11">
            <v>10329.370000000001</v>
          </cell>
          <cell r="K11">
            <v>29.11</v>
          </cell>
          <cell r="L11">
            <v>39.54</v>
          </cell>
          <cell r="M11">
            <v>14.555</v>
          </cell>
          <cell r="N11">
            <v>19.77</v>
          </cell>
          <cell r="O11">
            <v>150400</v>
          </cell>
          <cell r="P11">
            <v>204300</v>
          </cell>
          <cell r="Q11">
            <v>2292800</v>
          </cell>
          <cell r="R11">
            <v>27513600</v>
          </cell>
          <cell r="S11"/>
          <cell r="T11">
            <v>27513600</v>
          </cell>
          <cell r="U11">
            <v>5</v>
          </cell>
          <cell r="V11">
            <v>3</v>
          </cell>
          <cell r="W11">
            <v>1</v>
          </cell>
          <cell r="X11">
            <v>23</v>
          </cell>
          <cell r="Y11">
            <v>2087539</v>
          </cell>
        </row>
        <row r="12">
          <cell r="B12" t="str">
            <v>SKT장안국사</v>
          </cell>
          <cell r="C12">
            <v>10.5</v>
          </cell>
          <cell r="D12">
            <v>136.88</v>
          </cell>
          <cell r="E12">
            <v>20.86</v>
          </cell>
          <cell r="F12">
            <v>157.74</v>
          </cell>
          <cell r="G12">
            <v>4.8</v>
          </cell>
          <cell r="H12">
            <v>1427900</v>
          </cell>
          <cell r="I12">
            <v>200000</v>
          </cell>
          <cell r="J12">
            <v>10320.15</v>
          </cell>
          <cell r="K12">
            <v>32.590000000000003</v>
          </cell>
          <cell r="L12">
            <v>65.900000000000006</v>
          </cell>
          <cell r="M12">
            <v>16.295000000000002</v>
          </cell>
          <cell r="N12">
            <v>32.950000000000003</v>
          </cell>
          <cell r="O12">
            <v>168200</v>
          </cell>
          <cell r="P12">
            <v>340100</v>
          </cell>
          <cell r="Q12">
            <v>2136200</v>
          </cell>
          <cell r="R12">
            <v>25634400</v>
          </cell>
          <cell r="S12"/>
          <cell r="T12">
            <v>25634400</v>
          </cell>
          <cell r="U12">
            <v>3</v>
          </cell>
          <cell r="V12">
            <v>2</v>
          </cell>
          <cell r="W12">
            <v>1</v>
          </cell>
          <cell r="X12">
            <v>23</v>
          </cell>
          <cell r="Y12">
            <v>2492317</v>
          </cell>
        </row>
        <row r="13">
          <cell r="B13" t="str">
            <v>SK증권</v>
          </cell>
          <cell r="C13">
            <v>11.333333333333334</v>
          </cell>
          <cell r="D13">
            <v>147.74</v>
          </cell>
          <cell r="E13">
            <v>20.86</v>
          </cell>
          <cell r="F13">
            <v>168.60000000000002</v>
          </cell>
          <cell r="G13">
            <v>4.8</v>
          </cell>
          <cell r="H13">
            <v>1540000</v>
          </cell>
          <cell r="I13">
            <v>200000</v>
          </cell>
          <cell r="J13">
            <v>10320.280000000001</v>
          </cell>
          <cell r="K13">
            <v>43.45</v>
          </cell>
          <cell r="L13">
            <v>60.83</v>
          </cell>
          <cell r="M13">
            <v>21.725000000000001</v>
          </cell>
          <cell r="N13">
            <v>30.414999999999999</v>
          </cell>
          <cell r="O13">
            <v>224300</v>
          </cell>
          <cell r="P13">
            <v>313900</v>
          </cell>
          <cell r="Q13">
            <v>2278200</v>
          </cell>
          <cell r="R13">
            <v>27338400</v>
          </cell>
          <cell r="S13"/>
          <cell r="T13">
            <v>27338400</v>
          </cell>
          <cell r="U13">
            <v>6</v>
          </cell>
          <cell r="V13">
            <v>3</v>
          </cell>
          <cell r="W13">
            <v>1</v>
          </cell>
          <cell r="X13">
            <v>23</v>
          </cell>
          <cell r="Y13">
            <v>2017615</v>
          </cell>
        </row>
        <row r="14">
          <cell r="B14" t="str">
            <v>이천HN_OP</v>
          </cell>
          <cell r="C14">
            <v>10.5</v>
          </cell>
          <cell r="D14">
            <v>159.69</v>
          </cell>
          <cell r="E14">
            <v>24.33</v>
          </cell>
          <cell r="F14">
            <v>184</v>
          </cell>
          <cell r="G14">
            <v>5.6</v>
          </cell>
          <cell r="H14">
            <v>1698900</v>
          </cell>
          <cell r="I14">
            <v>200000</v>
          </cell>
          <cell r="J14">
            <v>10320.11</v>
          </cell>
          <cell r="K14">
            <v>38.020000000000003</v>
          </cell>
          <cell r="L14">
            <v>45.63</v>
          </cell>
          <cell r="M14">
            <v>19.010000000000002</v>
          </cell>
          <cell r="N14">
            <v>22.815000000000001</v>
          </cell>
          <cell r="O14">
            <v>196200</v>
          </cell>
          <cell r="P14">
            <v>235500</v>
          </cell>
          <cell r="Q14">
            <v>2330600</v>
          </cell>
          <cell r="R14">
            <v>27967200</v>
          </cell>
          <cell r="S14"/>
          <cell r="T14">
            <v>27967200</v>
          </cell>
          <cell r="U14">
            <v>12</v>
          </cell>
          <cell r="V14">
            <v>6</v>
          </cell>
          <cell r="W14">
            <v>1</v>
          </cell>
          <cell r="X14">
            <v>23</v>
          </cell>
          <cell r="Y14">
            <v>1869230</v>
          </cell>
        </row>
        <row r="15">
          <cell r="B15" t="str">
            <v>이천HN_대응</v>
          </cell>
          <cell r="C15">
            <v>10.913043478260869</v>
          </cell>
          <cell r="D15">
            <v>136.33000000000001</v>
          </cell>
          <cell r="E15">
            <v>19.989999999999998</v>
          </cell>
          <cell r="F15">
            <v>156.32000000000002</v>
          </cell>
          <cell r="G15">
            <v>4.5999999999999996</v>
          </cell>
          <cell r="H15">
            <v>1598000</v>
          </cell>
          <cell r="I15">
            <v>200000</v>
          </cell>
          <cell r="J15">
            <v>11502.05</v>
          </cell>
          <cell r="K15">
            <v>36.39</v>
          </cell>
          <cell r="L15">
            <v>49.43</v>
          </cell>
          <cell r="M15">
            <v>18.195</v>
          </cell>
          <cell r="N15">
            <v>24.715</v>
          </cell>
          <cell r="O15">
            <v>209300</v>
          </cell>
          <cell r="P15">
            <v>284300</v>
          </cell>
          <cell r="Q15">
            <v>2291600</v>
          </cell>
          <cell r="R15">
            <v>27499200</v>
          </cell>
          <cell r="S15"/>
          <cell r="T15">
            <v>27499200</v>
          </cell>
          <cell r="U15">
            <v>4</v>
          </cell>
          <cell r="V15">
            <v>2</v>
          </cell>
          <cell r="W15">
            <v>1</v>
          </cell>
          <cell r="X15">
            <v>23</v>
          </cell>
          <cell r="Y15">
            <v>2165261</v>
          </cell>
        </row>
        <row r="16">
          <cell r="B16" t="str">
            <v>청주HN_OP</v>
          </cell>
          <cell r="C16">
            <v>7</v>
          </cell>
          <cell r="D16">
            <v>159.69</v>
          </cell>
          <cell r="E16">
            <v>36.5</v>
          </cell>
          <cell r="F16">
            <v>196.19</v>
          </cell>
          <cell r="G16">
            <v>8.4</v>
          </cell>
          <cell r="H16">
            <v>1824700</v>
          </cell>
          <cell r="I16">
            <v>200000</v>
          </cell>
          <cell r="J16">
            <v>10320.1</v>
          </cell>
          <cell r="K16">
            <v>2.17</v>
          </cell>
          <cell r="L16">
            <v>53.23</v>
          </cell>
          <cell r="M16">
            <v>1.085</v>
          </cell>
          <cell r="N16">
            <v>26.614999999999998</v>
          </cell>
          <cell r="O16">
            <v>11200</v>
          </cell>
          <cell r="P16">
            <v>274700</v>
          </cell>
          <cell r="Q16">
            <v>2310600</v>
          </cell>
          <cell r="R16">
            <v>27727200</v>
          </cell>
          <cell r="S16"/>
          <cell r="T16">
            <v>27727200</v>
          </cell>
          <cell r="U16">
            <v>12</v>
          </cell>
          <cell r="V16">
            <v>9</v>
          </cell>
          <cell r="W16">
            <v>1</v>
          </cell>
          <cell r="X16">
            <v>23</v>
          </cell>
          <cell r="Y16">
            <v>1869229</v>
          </cell>
        </row>
        <row r="17">
          <cell r="B17" t="str">
            <v>청주HN_대응</v>
          </cell>
          <cell r="C17">
            <v>10.913043478260869</v>
          </cell>
          <cell r="D17">
            <v>136.33000000000001</v>
          </cell>
          <cell r="E17">
            <v>19.989999999999998</v>
          </cell>
          <cell r="F17">
            <v>156.32000000000002</v>
          </cell>
          <cell r="G17">
            <v>4.5999999999999996</v>
          </cell>
          <cell r="H17">
            <v>1598000</v>
          </cell>
          <cell r="I17">
            <v>200000</v>
          </cell>
          <cell r="J17">
            <v>11502.05</v>
          </cell>
          <cell r="K17">
            <v>36.39</v>
          </cell>
          <cell r="L17">
            <v>49.43</v>
          </cell>
          <cell r="M17">
            <v>18.195</v>
          </cell>
          <cell r="N17">
            <v>24.715</v>
          </cell>
          <cell r="O17">
            <v>209300</v>
          </cell>
          <cell r="P17">
            <v>284300</v>
          </cell>
          <cell r="Q17">
            <v>2291600</v>
          </cell>
          <cell r="R17">
            <v>27499200</v>
          </cell>
          <cell r="S17"/>
          <cell r="T17">
            <v>27499200</v>
          </cell>
          <cell r="U17">
            <v>4</v>
          </cell>
          <cell r="V17">
            <v>2</v>
          </cell>
          <cell r="W17">
            <v>1</v>
          </cell>
          <cell r="X17">
            <v>23</v>
          </cell>
          <cell r="Y17">
            <v>2165261</v>
          </cell>
        </row>
        <row r="18">
          <cell r="B18" t="str">
            <v>울산CLX</v>
          </cell>
          <cell r="C18">
            <v>10.5</v>
          </cell>
          <cell r="D18">
            <v>159.68750000000003</v>
          </cell>
          <cell r="E18">
            <v>24.333333333333336</v>
          </cell>
          <cell r="F18">
            <v>184</v>
          </cell>
          <cell r="G18">
            <v>5.6</v>
          </cell>
          <cell r="H18">
            <v>1698900</v>
          </cell>
          <cell r="I18">
            <v>200000</v>
          </cell>
          <cell r="J18">
            <v>10320.11</v>
          </cell>
          <cell r="K18">
            <v>38.020000000000003</v>
          </cell>
          <cell r="L18">
            <v>49.43</v>
          </cell>
          <cell r="M18">
            <v>19.010000000000002</v>
          </cell>
          <cell r="N18">
            <v>24.715</v>
          </cell>
          <cell r="O18">
            <v>196200</v>
          </cell>
          <cell r="P18">
            <v>255100</v>
          </cell>
          <cell r="Q18">
            <v>2350200</v>
          </cell>
          <cell r="R18">
            <v>28202400</v>
          </cell>
          <cell r="S18"/>
          <cell r="T18">
            <v>28202400</v>
          </cell>
          <cell r="U18">
            <v>4</v>
          </cell>
          <cell r="V18">
            <v>2</v>
          </cell>
          <cell r="W18">
            <v>1</v>
          </cell>
          <cell r="X18">
            <v>23</v>
          </cell>
          <cell r="Y18">
            <v>1869230</v>
          </cell>
        </row>
        <row r="19">
          <cell r="B19" t="str">
            <v>AIA생명</v>
          </cell>
          <cell r="C19">
            <v>12.166666666666666</v>
          </cell>
          <cell r="D19">
            <v>118.95</v>
          </cell>
          <cell r="E19">
            <v>15.64</v>
          </cell>
          <cell r="F19">
            <v>134.59</v>
          </cell>
          <cell r="G19">
            <v>3.6</v>
          </cell>
          <cell r="H19">
            <v>1360500</v>
          </cell>
          <cell r="I19">
            <v>200000</v>
          </cell>
          <cell r="J19">
            <v>11594.47</v>
          </cell>
          <cell r="K19">
            <v>40.74</v>
          </cell>
          <cell r="L19">
            <v>49.43</v>
          </cell>
          <cell r="M19">
            <v>20.37</v>
          </cell>
          <cell r="N19">
            <v>24.715</v>
          </cell>
          <cell r="O19">
            <v>236200</v>
          </cell>
          <cell r="P19">
            <v>286600</v>
          </cell>
          <cell r="Q19">
            <v>2083300</v>
          </cell>
          <cell r="R19">
            <v>24999600</v>
          </cell>
          <cell r="S19"/>
          <cell r="T19">
            <v>24999600</v>
          </cell>
          <cell r="U19">
            <v>4</v>
          </cell>
          <cell r="V19">
            <v>2</v>
          </cell>
          <cell r="W19">
            <v>0.75</v>
          </cell>
          <cell r="X19">
            <v>23</v>
          </cell>
          <cell r="Y19">
            <v>1825043</v>
          </cell>
        </row>
        <row r="20">
          <cell r="B20" t="str">
            <v>파라다이스시티</v>
          </cell>
          <cell r="C20">
            <v>8</v>
          </cell>
          <cell r="D20">
            <v>174</v>
          </cell>
          <cell r="E20">
            <v>35</v>
          </cell>
          <cell r="F20">
            <v>209</v>
          </cell>
          <cell r="G20">
            <v>8</v>
          </cell>
          <cell r="H20">
            <v>2011800</v>
          </cell>
          <cell r="I20">
            <v>200000</v>
          </cell>
          <cell r="J20">
            <v>10582.78</v>
          </cell>
          <cell r="K20">
            <v>15</v>
          </cell>
          <cell r="L20">
            <v>0</v>
          </cell>
          <cell r="M20">
            <v>22.5</v>
          </cell>
          <cell r="N20">
            <v>0</v>
          </cell>
          <cell r="O20">
            <v>238200</v>
          </cell>
          <cell r="P20">
            <v>0</v>
          </cell>
          <cell r="Q20">
            <v>2450000</v>
          </cell>
          <cell r="R20">
            <v>29400000</v>
          </cell>
          <cell r="S20"/>
          <cell r="T20">
            <v>29400000</v>
          </cell>
          <cell r="U20">
            <v>4</v>
          </cell>
          <cell r="V20">
            <v>3</v>
          </cell>
          <cell r="W20">
            <v>0.75</v>
          </cell>
          <cell r="X20">
            <v>23</v>
          </cell>
          <cell r="Y20">
            <v>1642977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만든 이" refreshedDate="46150.657374768518" createdVersion="8" refreshedVersion="8" minRefreshableVersion="3" recordCount="10" xr:uid="{9D71AAE9-6C57-4C83-A4E0-28464A175591}">
  <cacheSource type="worksheet">
    <worksheetSource ref="A2:S12" sheet="검증_1"/>
  </cacheSource>
  <cacheFields count="19">
    <cacheField name="No." numFmtId="0">
      <sharedItems containsSemiMixedTypes="0" containsString="0" containsNumber="1" containsInteger="1" minValue="1" maxValue="10"/>
    </cacheField>
    <cacheField name="사번" numFmtId="0">
      <sharedItems/>
    </cacheField>
    <cacheField name="성명" numFmtId="0">
      <sharedItems count="4">
        <s v="박건우"/>
        <s v="박성호"/>
        <s v="고현재"/>
        <s v="주향모"/>
      </sharedItems>
    </cacheField>
    <cacheField name="직급" numFmtId="0">
      <sharedItems/>
    </cacheField>
    <cacheField name="단위 조직" numFmtId="0">
      <sharedItems count="1">
        <s v="SKB동작국사"/>
      </sharedItems>
    </cacheField>
    <cacheField name="구분" numFmtId="0">
      <sharedItems/>
    </cacheField>
    <cacheField name="근무 날짜" numFmtId="14">
      <sharedItems/>
    </cacheField>
    <cacheField name="근무 시간" numFmtId="0">
      <sharedItems containsNonDate="0" containsString="0" containsBlank="1"/>
    </cacheField>
    <cacheField name="기본시간" numFmtId="0">
      <sharedItems containsNonDate="0" containsString="0" containsBlank="1"/>
    </cacheField>
    <cacheField name="기본요율" numFmtId="0">
      <sharedItems containsNonDate="0" containsString="0" containsBlank="1"/>
    </cacheField>
    <cacheField name="기본수당" numFmtId="176">
      <sharedItems containsNonDate="0" containsString="0" containsBlank="1"/>
    </cacheField>
    <cacheField name="연장시간" numFmtId="0">
      <sharedItems containsSemiMixedTypes="0" containsString="0" containsNumber="1" containsInteger="1" minValue="1" maxValue="1"/>
    </cacheField>
    <cacheField name="연장요율" numFmtId="0">
      <sharedItems containsSemiMixedTypes="0" containsString="0" containsNumber="1" minValue="1.5" maxValue="1.5"/>
    </cacheField>
    <cacheField name="연장수당" numFmtId="189">
      <sharedItems containsSemiMixedTypes="0" containsString="0" containsNumber="1" containsInteger="1" minValue="16760" maxValue="19348"/>
    </cacheField>
    <cacheField name="야간시간" numFmtId="0">
      <sharedItems containsNonDate="0" containsString="0" containsBlank="1"/>
    </cacheField>
    <cacheField name="야간요율" numFmtId="0">
      <sharedItems containsNonDate="0" containsString="0" containsBlank="1"/>
    </cacheField>
    <cacheField name="야간수당" numFmtId="176">
      <sharedItems containsNonDate="0" containsString="0" containsBlank="1"/>
    </cacheField>
    <cacheField name="통상시급" numFmtId="189">
      <sharedItems containsSemiMixedTypes="0" containsString="0" containsNumber="1" minValue="11173.59" maxValue="12898.79"/>
    </cacheField>
    <cacheField name="지급 비용" numFmtId="176">
      <sharedItems containsSemiMixedTypes="0" containsString="0" containsNumber="1" containsInteger="1" minValue="16760" maxValue="193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s v="2024023"/>
    <x v="0"/>
    <s v="-"/>
    <x v="0"/>
    <s v="연장근무"/>
    <s v="2026.04.02"/>
    <m/>
    <m/>
    <m/>
    <m/>
    <n v="1"/>
    <n v="1.5"/>
    <n v="16760"/>
    <m/>
    <m/>
    <m/>
    <n v="11173.59"/>
    <n v="16760"/>
  </r>
  <r>
    <n v="2"/>
    <s v="2024023"/>
    <x v="0"/>
    <s v="-"/>
    <x v="0"/>
    <s v="연장근무"/>
    <s v="2026.04.02"/>
    <m/>
    <m/>
    <m/>
    <m/>
    <n v="1"/>
    <n v="1.5"/>
    <n v="16760"/>
    <m/>
    <m/>
    <m/>
    <n v="11173.59"/>
    <n v="16760"/>
  </r>
  <r>
    <n v="3"/>
    <s v="2014102"/>
    <x v="1"/>
    <s v="-"/>
    <x v="0"/>
    <s v="연장근무"/>
    <s v="2026.04.03"/>
    <m/>
    <m/>
    <m/>
    <m/>
    <n v="1"/>
    <n v="1.5"/>
    <n v="19348"/>
    <m/>
    <m/>
    <m/>
    <n v="12898.79"/>
    <n v="19348"/>
  </r>
  <r>
    <n v="4"/>
    <s v="2014102"/>
    <x v="1"/>
    <s v="-"/>
    <x v="0"/>
    <s v="연장근무"/>
    <s v="2026.04.03"/>
    <m/>
    <m/>
    <m/>
    <m/>
    <n v="1"/>
    <n v="1.5"/>
    <n v="19348"/>
    <m/>
    <m/>
    <m/>
    <n v="12898.79"/>
    <n v="19348"/>
  </r>
  <r>
    <n v="5"/>
    <s v="2020091"/>
    <x v="2"/>
    <s v="-"/>
    <x v="0"/>
    <s v="연장근무"/>
    <s v="2026.04.10"/>
    <m/>
    <m/>
    <m/>
    <m/>
    <n v="1"/>
    <n v="1.5"/>
    <n v="17186"/>
    <m/>
    <m/>
    <m/>
    <n v="11457.12"/>
    <n v="17186"/>
  </r>
  <r>
    <n v="6"/>
    <s v="2020091"/>
    <x v="2"/>
    <s v="-"/>
    <x v="0"/>
    <s v="연장근무"/>
    <s v="2026.04.10"/>
    <m/>
    <m/>
    <m/>
    <m/>
    <n v="1"/>
    <n v="1.5"/>
    <n v="17186"/>
    <m/>
    <m/>
    <m/>
    <n v="11457.12"/>
    <n v="17186"/>
  </r>
  <r>
    <n v="7"/>
    <s v="2026011"/>
    <x v="3"/>
    <s v="-"/>
    <x v="0"/>
    <s v="연장근무"/>
    <s v="2026.04.24"/>
    <m/>
    <m/>
    <m/>
    <m/>
    <n v="1"/>
    <n v="1.5"/>
    <n v="18024"/>
    <m/>
    <m/>
    <m/>
    <n v="12015.67"/>
    <n v="18024"/>
  </r>
  <r>
    <n v="8"/>
    <s v="2026011"/>
    <x v="3"/>
    <s v="-"/>
    <x v="0"/>
    <s v="연장근무"/>
    <s v="2026.04.24"/>
    <m/>
    <m/>
    <m/>
    <m/>
    <n v="1"/>
    <n v="1.5"/>
    <n v="18024"/>
    <m/>
    <m/>
    <m/>
    <n v="12015.67"/>
    <n v="18024"/>
  </r>
  <r>
    <n v="9"/>
    <s v="2020091"/>
    <x v="2"/>
    <s v="-"/>
    <x v="0"/>
    <s v="연장근무"/>
    <s v="2026.04.30"/>
    <m/>
    <m/>
    <m/>
    <m/>
    <n v="1"/>
    <n v="1.5"/>
    <n v="17186"/>
    <m/>
    <m/>
    <m/>
    <n v="11457.12"/>
    <n v="17186"/>
  </r>
  <r>
    <n v="10"/>
    <s v="2020091"/>
    <x v="2"/>
    <s v="-"/>
    <x v="0"/>
    <s v="연장근무"/>
    <s v="2026.04.30"/>
    <m/>
    <m/>
    <m/>
    <m/>
    <n v="1"/>
    <n v="1.5"/>
    <n v="17186"/>
    <m/>
    <m/>
    <m/>
    <n v="11457.12"/>
    <n v="171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3126A-A55B-42B4-95D5-9E66393A8F77}" name="피벗 테이블1" cacheId="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gridDropZones="1" multipleFieldFilters="0">
  <location ref="Y3:AB9" firstHeaderRow="1" firstDataRow="2" firstDataCol="2"/>
  <pivotFields count="19">
    <pivotField compact="0" outline="0" showAll="0"/>
    <pivotField compact="0" outline="0" showAll="0"/>
    <pivotField axis="axisRow" compact="0" outline="0" showAll="0" defaultSubtotal="0">
      <items count="4">
        <item x="2"/>
        <item x="0"/>
        <item x="1"/>
        <item x="3"/>
      </items>
    </pivotField>
    <pivotField compact="0" outline="0" showAll="0"/>
    <pivotField axis="axisRow" compact="0" outline="0" showAll="0" defaultSubtotal="0">
      <items count="1">
        <item x="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189" outline="0" showAll="0"/>
    <pivotField compact="0" outline="0" showAll="0"/>
    <pivotField compact="0" outline="0" showAll="0"/>
    <pivotField compact="0" outline="0" showAll="0"/>
    <pivotField compact="0" numFmtId="189" outline="0" showAll="0"/>
    <pivotField dataField="1" compact="0" numFmtId="176" outline="0" showAll="0"/>
  </pivotFields>
  <rowFields count="2">
    <field x="2"/>
    <field x="4"/>
  </rowFields>
  <rowItems count="5">
    <i>
      <x/>
      <x/>
    </i>
    <i>
      <x v="1"/>
      <x/>
    </i>
    <i>
      <x v="2"/>
      <x/>
    </i>
    <i>
      <x v="3"/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연장시간" fld="11" baseField="0" baseItem="0"/>
    <dataField name="합계 : 지급 비용" fld="18" baseField="0" baseItem="0" numFmtId="17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gk03449@cnthoth.com" TargetMode="External"/><Relationship Id="rId21" Type="http://schemas.openxmlformats.org/officeDocument/2006/relationships/hyperlink" Target="mailto:leeseo4614@cnthoth.com" TargetMode="External"/><Relationship Id="rId42" Type="http://schemas.openxmlformats.org/officeDocument/2006/relationships/hyperlink" Target="mailto:LJS0501@cnthoth.com" TargetMode="External"/><Relationship Id="rId47" Type="http://schemas.openxmlformats.org/officeDocument/2006/relationships/hyperlink" Target="mailto:shyeon@cnthoth.com" TargetMode="External"/><Relationship Id="rId63" Type="http://schemas.openxmlformats.org/officeDocument/2006/relationships/hyperlink" Target="mailto:khhuh@cnthoth.com" TargetMode="External"/><Relationship Id="rId68" Type="http://schemas.openxmlformats.org/officeDocument/2006/relationships/hyperlink" Target="mailto:cowboy@cnthoth.com" TargetMode="External"/><Relationship Id="rId16" Type="http://schemas.openxmlformats.org/officeDocument/2006/relationships/hyperlink" Target="mailto:Marin@cnthoth.com" TargetMode="External"/><Relationship Id="rId11" Type="http://schemas.openxmlformats.org/officeDocument/2006/relationships/hyperlink" Target="mailto:hskang@cnthoth.com" TargetMode="External"/><Relationship Id="rId24" Type="http://schemas.openxmlformats.org/officeDocument/2006/relationships/hyperlink" Target="mailto:hanseong@cnthoth.com" TargetMode="External"/><Relationship Id="rId32" Type="http://schemas.openxmlformats.org/officeDocument/2006/relationships/hyperlink" Target="mailto:chobung@cnthoth.com" TargetMode="External"/><Relationship Id="rId37" Type="http://schemas.openxmlformats.org/officeDocument/2006/relationships/hyperlink" Target="mailto:js9876@cnthoth.com" TargetMode="External"/><Relationship Id="rId40" Type="http://schemas.openxmlformats.org/officeDocument/2006/relationships/hyperlink" Target="mailto:lsm0982@cnthoth.com" TargetMode="External"/><Relationship Id="rId45" Type="http://schemas.openxmlformats.org/officeDocument/2006/relationships/hyperlink" Target="mailto:donghee@cnthoth.com" TargetMode="External"/><Relationship Id="rId53" Type="http://schemas.openxmlformats.org/officeDocument/2006/relationships/hyperlink" Target="mailto:skkim@cnthoth.com" TargetMode="External"/><Relationship Id="rId58" Type="http://schemas.openxmlformats.org/officeDocument/2006/relationships/hyperlink" Target="mailto:white981@cnthoth.com" TargetMode="External"/><Relationship Id="rId66" Type="http://schemas.openxmlformats.org/officeDocument/2006/relationships/hyperlink" Target="mailto:kimhs1@cnthoth.com" TargetMode="External"/><Relationship Id="rId74" Type="http://schemas.openxmlformats.org/officeDocument/2006/relationships/hyperlink" Target="mailto:osr8282@cnthoth.com" TargetMode="External"/><Relationship Id="rId79" Type="http://schemas.openxmlformats.org/officeDocument/2006/relationships/vmlDrawing" Target="../drawings/vmlDrawing1.vml"/><Relationship Id="rId5" Type="http://schemas.openxmlformats.org/officeDocument/2006/relationships/hyperlink" Target="mailto:oktojung@cnthoth.com" TargetMode="External"/><Relationship Id="rId61" Type="http://schemas.openxmlformats.org/officeDocument/2006/relationships/hyperlink" Target="mailto:Leehj@cnthoth.com" TargetMode="External"/><Relationship Id="rId19" Type="http://schemas.openxmlformats.org/officeDocument/2006/relationships/hyperlink" Target="mailto:kkhyeon@cnthoth.com" TargetMode="External"/><Relationship Id="rId14" Type="http://schemas.openxmlformats.org/officeDocument/2006/relationships/hyperlink" Target="mailto:dhrhd6580@cnthoth.com" TargetMode="External"/><Relationship Id="rId22" Type="http://schemas.openxmlformats.org/officeDocument/2006/relationships/hyperlink" Target="mailto:donghui99@cnthoth.com" TargetMode="External"/><Relationship Id="rId27" Type="http://schemas.openxmlformats.org/officeDocument/2006/relationships/hyperlink" Target="mailto:yywchrist@cnthoth.com" TargetMode="External"/><Relationship Id="rId30" Type="http://schemas.openxmlformats.org/officeDocument/2006/relationships/hyperlink" Target="mailto:lsk778@cnthoth.com" TargetMode="External"/><Relationship Id="rId35" Type="http://schemas.openxmlformats.org/officeDocument/2006/relationships/hyperlink" Target="mailto:everday@cnthtoh.com" TargetMode="External"/><Relationship Id="rId43" Type="http://schemas.openxmlformats.org/officeDocument/2006/relationships/hyperlink" Target="mailto:mhkim@cnthoth.com" TargetMode="External"/><Relationship Id="rId48" Type="http://schemas.openxmlformats.org/officeDocument/2006/relationships/hyperlink" Target="mailto:jejin00@cnthoth.com" TargetMode="External"/><Relationship Id="rId56" Type="http://schemas.openxmlformats.org/officeDocument/2006/relationships/hyperlink" Target="mailto:kktjdgns41@cnthoth.com" TargetMode="External"/><Relationship Id="rId64" Type="http://schemas.openxmlformats.org/officeDocument/2006/relationships/hyperlink" Target="mailto:campione20@naver.com" TargetMode="External"/><Relationship Id="rId69" Type="http://schemas.openxmlformats.org/officeDocument/2006/relationships/hyperlink" Target="mailto:rabbit8@cnthoth.com" TargetMode="External"/><Relationship Id="rId77" Type="http://schemas.openxmlformats.org/officeDocument/2006/relationships/hyperlink" Target="mailto:JBG@cnthoth.com" TargetMode="External"/><Relationship Id="rId8" Type="http://schemas.openxmlformats.org/officeDocument/2006/relationships/hyperlink" Target="mailto:syj6452@cnthoth.com" TargetMode="External"/><Relationship Id="rId51" Type="http://schemas.openxmlformats.org/officeDocument/2006/relationships/hyperlink" Target="mailto:kang712@cnthoth.com" TargetMode="External"/><Relationship Id="rId72" Type="http://schemas.openxmlformats.org/officeDocument/2006/relationships/hyperlink" Target="mailto:nin1325@cnthoth.com" TargetMode="External"/><Relationship Id="rId80" Type="http://schemas.openxmlformats.org/officeDocument/2006/relationships/comments" Target="../comments1.xml"/><Relationship Id="rId3" Type="http://schemas.openxmlformats.org/officeDocument/2006/relationships/hyperlink" Target="mailto:netcomm@cnthoth.com" TargetMode="External"/><Relationship Id="rId12" Type="http://schemas.openxmlformats.org/officeDocument/2006/relationships/hyperlink" Target="mailto:canopus@cnthoth.com" TargetMode="External"/><Relationship Id="rId17" Type="http://schemas.openxmlformats.org/officeDocument/2006/relationships/hyperlink" Target="mailto:yjlee@cnthoth.com" TargetMode="External"/><Relationship Id="rId25" Type="http://schemas.openxmlformats.org/officeDocument/2006/relationships/hyperlink" Target="mailto:sim6042@cnthoth.com" TargetMode="External"/><Relationship Id="rId33" Type="http://schemas.openxmlformats.org/officeDocument/2006/relationships/hyperlink" Target="mailto:maker1@cnthoth.com" TargetMode="External"/><Relationship Id="rId38" Type="http://schemas.openxmlformats.org/officeDocument/2006/relationships/hyperlink" Target="mailto:kclj3000@cnthoth.com" TargetMode="External"/><Relationship Id="rId46" Type="http://schemas.openxmlformats.org/officeDocument/2006/relationships/hyperlink" Target="mailto:edlee@cnthoth.com" TargetMode="External"/><Relationship Id="rId59" Type="http://schemas.openxmlformats.org/officeDocument/2006/relationships/hyperlink" Target="mailto:h0323@cnthoth.com" TargetMode="External"/><Relationship Id="rId67" Type="http://schemas.openxmlformats.org/officeDocument/2006/relationships/hyperlink" Target="mailto:wsjeon@cnthoth.com" TargetMode="External"/><Relationship Id="rId20" Type="http://schemas.openxmlformats.org/officeDocument/2006/relationships/hyperlink" Target="mailto:pioneer@cnthoth.com" TargetMode="External"/><Relationship Id="rId41" Type="http://schemas.openxmlformats.org/officeDocument/2006/relationships/hyperlink" Target="mailto:ybj6539@cnthoth.com" TargetMode="External"/><Relationship Id="rId54" Type="http://schemas.openxmlformats.org/officeDocument/2006/relationships/hyperlink" Target="mailto:dlslke1@cnthoth.com" TargetMode="External"/><Relationship Id="rId62" Type="http://schemas.openxmlformats.org/officeDocument/2006/relationships/hyperlink" Target="mailto:shin0718@cnthoth.com" TargetMode="External"/><Relationship Id="rId70" Type="http://schemas.openxmlformats.org/officeDocument/2006/relationships/hyperlink" Target="mailto:windboy6819@cnthoth.com" TargetMode="External"/><Relationship Id="rId75" Type="http://schemas.openxmlformats.org/officeDocument/2006/relationships/hyperlink" Target="mailto:hjpark@cnthoth.com" TargetMode="External"/><Relationship Id="rId1" Type="http://schemas.openxmlformats.org/officeDocument/2006/relationships/hyperlink" Target="mailto:jwkim82@cnthoth.com" TargetMode="External"/><Relationship Id="rId6" Type="http://schemas.openxmlformats.org/officeDocument/2006/relationships/hyperlink" Target="mailto:pelikan.ju@cnthoth.com" TargetMode="External"/><Relationship Id="rId15" Type="http://schemas.openxmlformats.org/officeDocument/2006/relationships/hyperlink" Target="mailto:winrise@cnthoth.com" TargetMode="External"/><Relationship Id="rId23" Type="http://schemas.openxmlformats.org/officeDocument/2006/relationships/hyperlink" Target="mailto:junha7079@cnthoth.com" TargetMode="External"/><Relationship Id="rId28" Type="http://schemas.openxmlformats.org/officeDocument/2006/relationships/hyperlink" Target="mailto:rbgks@cnthoth.com" TargetMode="External"/><Relationship Id="rId36" Type="http://schemas.openxmlformats.org/officeDocument/2006/relationships/hyperlink" Target="mailto:kyc@cnthoth.com" TargetMode="External"/><Relationship Id="rId49" Type="http://schemas.openxmlformats.org/officeDocument/2006/relationships/hyperlink" Target="mailto:chmk26@cnthoth.com" TargetMode="External"/><Relationship Id="rId57" Type="http://schemas.openxmlformats.org/officeDocument/2006/relationships/hyperlink" Target="mailto:kangjm@cnthoth.com" TargetMode="External"/><Relationship Id="rId10" Type="http://schemas.openxmlformats.org/officeDocument/2006/relationships/hyperlink" Target="mailto:body12@cnthoth.com" TargetMode="External"/><Relationship Id="rId31" Type="http://schemas.openxmlformats.org/officeDocument/2006/relationships/hyperlink" Target="mailto:alina75@cnthoth.com" TargetMode="External"/><Relationship Id="rId44" Type="http://schemas.openxmlformats.org/officeDocument/2006/relationships/hyperlink" Target="mailto:sjuhm99@cnthoth.com" TargetMode="External"/><Relationship Id="rId52" Type="http://schemas.openxmlformats.org/officeDocument/2006/relationships/hyperlink" Target="mailto:hwcha21@cnthoth.com" TargetMode="External"/><Relationship Id="rId60" Type="http://schemas.openxmlformats.org/officeDocument/2006/relationships/hyperlink" Target="mailto:ysseo@cnthoth.com" TargetMode="External"/><Relationship Id="rId65" Type="http://schemas.openxmlformats.org/officeDocument/2006/relationships/hyperlink" Target="mailto:jay2248@naver.com" TargetMode="External"/><Relationship Id="rId73" Type="http://schemas.openxmlformats.org/officeDocument/2006/relationships/hyperlink" Target="mailto:yvyv123@cnthoth.com" TargetMode="External"/><Relationship Id="rId78" Type="http://schemas.openxmlformats.org/officeDocument/2006/relationships/printerSettings" Target="../printerSettings/printerSettings2.bin"/><Relationship Id="rId4" Type="http://schemas.openxmlformats.org/officeDocument/2006/relationships/hyperlink" Target="mailto:skymonst@cnthoth.com" TargetMode="External"/><Relationship Id="rId9" Type="http://schemas.openxmlformats.org/officeDocument/2006/relationships/hyperlink" Target="mailto:hansh@cnthoth.com" TargetMode="External"/><Relationship Id="rId13" Type="http://schemas.openxmlformats.org/officeDocument/2006/relationships/hyperlink" Target="mailto:bylim@cnthoth.com" TargetMode="External"/><Relationship Id="rId18" Type="http://schemas.openxmlformats.org/officeDocument/2006/relationships/hyperlink" Target="mailto:sigcojin@cnthoth.com" TargetMode="External"/><Relationship Id="rId39" Type="http://schemas.openxmlformats.org/officeDocument/2006/relationships/hyperlink" Target="mailto:hyun485@cnthoth.com" TargetMode="External"/><Relationship Id="rId34" Type="http://schemas.openxmlformats.org/officeDocument/2006/relationships/hyperlink" Target="mailto:js0891@cnthoth.com" TargetMode="External"/><Relationship Id="rId50" Type="http://schemas.openxmlformats.org/officeDocument/2006/relationships/hyperlink" Target="mailto:ydkim@cnthoth.com" TargetMode="External"/><Relationship Id="rId55" Type="http://schemas.openxmlformats.org/officeDocument/2006/relationships/hyperlink" Target="mailto:ghyun@cnthoth.com" TargetMode="External"/><Relationship Id="rId76" Type="http://schemas.openxmlformats.org/officeDocument/2006/relationships/hyperlink" Target="mailto:seren12@cnthoth.com" TargetMode="External"/><Relationship Id="rId7" Type="http://schemas.openxmlformats.org/officeDocument/2006/relationships/hyperlink" Target="mailto:YHG1028@cnthoth.com" TargetMode="External"/><Relationship Id="rId71" Type="http://schemas.openxmlformats.org/officeDocument/2006/relationships/hyperlink" Target="mailto:khjeong@cnthoth.com" TargetMode="External"/><Relationship Id="rId2" Type="http://schemas.openxmlformats.org/officeDocument/2006/relationships/hyperlink" Target="mailto:gspark12@cnthoth.com" TargetMode="External"/><Relationship Id="rId29" Type="http://schemas.openxmlformats.org/officeDocument/2006/relationships/hyperlink" Target="mailto:yang266@c%20nthot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"/>
  <sheetViews>
    <sheetView zoomScaleNormal="100" workbookViewId="0">
      <pane ySplit="4" topLeftCell="A13" activePane="bottomLeft" state="frozen"/>
      <selection pane="bottomLeft" activeCell="A18" sqref="A18:XFD22"/>
    </sheetView>
  </sheetViews>
  <sheetFormatPr defaultRowHeight="17.399999999999999" customHeight="1"/>
  <cols>
    <col min="1" max="1" width="4.69921875" customWidth="1"/>
    <col min="3" max="3" width="7.69921875" customWidth="1"/>
    <col min="4" max="4" width="5.5" customWidth="1"/>
    <col min="5" max="5" width="11.796875" customWidth="1"/>
    <col min="6" max="6" width="10.296875" customWidth="1"/>
    <col min="7" max="7" width="10.8984375" customWidth="1"/>
    <col min="8" max="8" width="7.3984375" customWidth="1"/>
    <col min="9" max="9" width="5.8984375" customWidth="1"/>
    <col min="10" max="10" width="4.19921875" customWidth="1"/>
    <col min="11" max="11" width="12.19921875" customWidth="1"/>
    <col min="12" max="13" width="4.19921875" customWidth="1"/>
    <col min="14" max="14" width="11.09765625" customWidth="1"/>
    <col min="15" max="16" width="4.19921875" customWidth="1"/>
    <col min="17" max="17" width="9.59765625" customWidth="1"/>
    <col min="18" max="18" width="12" customWidth="1"/>
    <col min="19" max="19" width="12.19921875" customWidth="1"/>
  </cols>
  <sheetData>
    <row r="1" spans="1:19" ht="38.4" customHeight="1">
      <c r="A1" s="1" t="s">
        <v>2819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19">
      <c r="A2" s="385" t="s">
        <v>1</v>
      </c>
      <c r="B2" s="382" t="s">
        <v>2</v>
      </c>
      <c r="C2" s="382" t="s">
        <v>3</v>
      </c>
      <c r="D2" s="382" t="s">
        <v>4</v>
      </c>
      <c r="E2" s="382" t="s">
        <v>5</v>
      </c>
      <c r="F2" s="382" t="s">
        <v>6</v>
      </c>
      <c r="G2" s="384" t="s">
        <v>7</v>
      </c>
      <c r="H2" s="384" t="s">
        <v>8</v>
      </c>
      <c r="I2" s="384" t="s">
        <v>9</v>
      </c>
      <c r="J2" s="384"/>
      <c r="K2" s="379"/>
      <c r="L2" s="384"/>
      <c r="M2" s="384"/>
      <c r="N2" s="379"/>
      <c r="O2" s="384"/>
      <c r="P2" s="384"/>
      <c r="Q2" s="379"/>
      <c r="R2" s="379" t="s">
        <v>10</v>
      </c>
      <c r="S2" s="380" t="s">
        <v>11</v>
      </c>
    </row>
    <row r="3" spans="1:19">
      <c r="A3" s="386"/>
      <c r="B3" s="383"/>
      <c r="C3" s="383"/>
      <c r="D3" s="383"/>
      <c r="E3" s="383"/>
      <c r="F3" s="383"/>
      <c r="G3" s="377"/>
      <c r="H3" s="377"/>
      <c r="I3" s="377" t="s">
        <v>12</v>
      </c>
      <c r="J3" s="377"/>
      <c r="K3" s="378"/>
      <c r="L3" s="377" t="s">
        <v>13</v>
      </c>
      <c r="M3" s="377"/>
      <c r="N3" s="378"/>
      <c r="O3" s="377" t="s">
        <v>14</v>
      </c>
      <c r="P3" s="377"/>
      <c r="Q3" s="378"/>
      <c r="R3" s="378"/>
      <c r="S3" s="381"/>
    </row>
    <row r="4" spans="1:19">
      <c r="A4" s="386"/>
      <c r="B4" s="383"/>
      <c r="C4" s="383"/>
      <c r="D4" s="383"/>
      <c r="E4" s="383"/>
      <c r="F4" s="383"/>
      <c r="G4" s="377"/>
      <c r="H4" s="377"/>
      <c r="I4" s="4" t="s">
        <v>15</v>
      </c>
      <c r="J4" s="4" t="s">
        <v>16</v>
      </c>
      <c r="K4" s="5" t="s">
        <v>17</v>
      </c>
      <c r="L4" s="4" t="s">
        <v>15</v>
      </c>
      <c r="M4" s="4" t="s">
        <v>16</v>
      </c>
      <c r="N4" s="5" t="s">
        <v>17</v>
      </c>
      <c r="O4" s="4" t="s">
        <v>15</v>
      </c>
      <c r="P4" s="4" t="s">
        <v>16</v>
      </c>
      <c r="Q4" s="5" t="s">
        <v>17</v>
      </c>
      <c r="R4" s="378"/>
      <c r="S4" s="381"/>
    </row>
    <row r="5" spans="1:19" ht="22.95" customHeight="1">
      <c r="A5" s="6">
        <v>1</v>
      </c>
      <c r="B5" s="7" t="s">
        <v>18</v>
      </c>
      <c r="C5" s="7" t="s">
        <v>19</v>
      </c>
      <c r="D5" s="7" t="s">
        <v>20</v>
      </c>
      <c r="E5" s="7" t="s">
        <v>21</v>
      </c>
      <c r="F5" s="7" t="s">
        <v>22</v>
      </c>
      <c r="G5" s="8" t="s">
        <v>23</v>
      </c>
      <c r="H5" s="7">
        <v>1</v>
      </c>
      <c r="I5" s="7"/>
      <c r="J5" s="7"/>
      <c r="K5" s="9"/>
      <c r="L5" s="7">
        <v>1</v>
      </c>
      <c r="M5" s="7">
        <v>1.5</v>
      </c>
      <c r="N5" s="9">
        <v>16760</v>
      </c>
      <c r="O5" s="7"/>
      <c r="P5" s="7"/>
      <c r="Q5" s="9"/>
      <c r="R5" s="365">
        <v>11173.59</v>
      </c>
      <c r="S5" s="10">
        <v>16760</v>
      </c>
    </row>
    <row r="6" spans="1:19" ht="22.95" customHeight="1">
      <c r="A6" s="6">
        <v>2</v>
      </c>
      <c r="B6" s="7" t="s">
        <v>18</v>
      </c>
      <c r="C6" s="7" t="s">
        <v>19</v>
      </c>
      <c r="D6" s="7" t="s">
        <v>20</v>
      </c>
      <c r="E6" s="7" t="s">
        <v>21</v>
      </c>
      <c r="F6" s="7" t="s">
        <v>22</v>
      </c>
      <c r="G6" s="8" t="s">
        <v>23</v>
      </c>
      <c r="H6" s="7">
        <v>1</v>
      </c>
      <c r="I6" s="7"/>
      <c r="J6" s="7"/>
      <c r="K6" s="9"/>
      <c r="L6" s="7">
        <v>1</v>
      </c>
      <c r="M6" s="7">
        <v>1.5</v>
      </c>
      <c r="N6" s="9">
        <v>16760</v>
      </c>
      <c r="O6" s="7"/>
      <c r="P6" s="7"/>
      <c r="Q6" s="9"/>
      <c r="R6" s="365">
        <v>11173.59</v>
      </c>
      <c r="S6" s="10">
        <v>16760</v>
      </c>
    </row>
    <row r="7" spans="1:19" ht="22.95" customHeight="1">
      <c r="A7" s="6">
        <v>3</v>
      </c>
      <c r="B7" s="7" t="s">
        <v>24</v>
      </c>
      <c r="C7" s="7" t="s">
        <v>25</v>
      </c>
      <c r="D7" s="7" t="s">
        <v>20</v>
      </c>
      <c r="E7" s="7" t="s">
        <v>21</v>
      </c>
      <c r="F7" s="7" t="s">
        <v>22</v>
      </c>
      <c r="G7" s="8" t="s">
        <v>26</v>
      </c>
      <c r="H7" s="7">
        <v>1</v>
      </c>
      <c r="I7" s="7"/>
      <c r="J7" s="7"/>
      <c r="K7" s="9"/>
      <c r="L7" s="7">
        <v>1</v>
      </c>
      <c r="M7" s="7">
        <v>1.5</v>
      </c>
      <c r="N7" s="9">
        <v>19348</v>
      </c>
      <c r="O7" s="7"/>
      <c r="P7" s="7"/>
      <c r="Q7" s="9"/>
      <c r="R7" s="365">
        <v>12898.79</v>
      </c>
      <c r="S7" s="10">
        <v>19348</v>
      </c>
    </row>
    <row r="8" spans="1:19" ht="22.95" customHeight="1">
      <c r="A8" s="6">
        <v>4</v>
      </c>
      <c r="B8" s="7" t="s">
        <v>24</v>
      </c>
      <c r="C8" s="7" t="s">
        <v>25</v>
      </c>
      <c r="D8" s="7" t="s">
        <v>20</v>
      </c>
      <c r="E8" s="7" t="s">
        <v>21</v>
      </c>
      <c r="F8" s="7" t="s">
        <v>22</v>
      </c>
      <c r="G8" s="8" t="s">
        <v>26</v>
      </c>
      <c r="H8" s="7">
        <v>1</v>
      </c>
      <c r="I8" s="7"/>
      <c r="J8" s="7"/>
      <c r="K8" s="9"/>
      <c r="L8" s="7">
        <v>1</v>
      </c>
      <c r="M8" s="7">
        <v>1.5</v>
      </c>
      <c r="N8" s="9">
        <v>19348</v>
      </c>
      <c r="O8" s="7"/>
      <c r="P8" s="7"/>
      <c r="Q8" s="9"/>
      <c r="R8" s="365">
        <v>12898.79</v>
      </c>
      <c r="S8" s="10">
        <v>19348</v>
      </c>
    </row>
    <row r="9" spans="1:19" ht="22.95" customHeight="1">
      <c r="A9" s="6">
        <v>5</v>
      </c>
      <c r="B9" s="7" t="s">
        <v>27</v>
      </c>
      <c r="C9" s="7" t="s">
        <v>28</v>
      </c>
      <c r="D9" s="7" t="s">
        <v>20</v>
      </c>
      <c r="E9" s="7" t="s">
        <v>21</v>
      </c>
      <c r="F9" s="7" t="s">
        <v>22</v>
      </c>
      <c r="G9" s="8" t="s">
        <v>29</v>
      </c>
      <c r="H9" s="7">
        <v>1</v>
      </c>
      <c r="I9" s="7"/>
      <c r="J9" s="7"/>
      <c r="K9" s="9"/>
      <c r="L9" s="7">
        <v>1</v>
      </c>
      <c r="M9" s="7">
        <v>1.5</v>
      </c>
      <c r="N9" s="9">
        <v>17186</v>
      </c>
      <c r="O9" s="7"/>
      <c r="P9" s="7"/>
      <c r="Q9" s="9"/>
      <c r="R9" s="365">
        <v>11457.12</v>
      </c>
      <c r="S9" s="10">
        <v>17186</v>
      </c>
    </row>
    <row r="10" spans="1:19" ht="22.95" customHeight="1">
      <c r="A10" s="6">
        <v>6</v>
      </c>
      <c r="B10" s="7" t="s">
        <v>27</v>
      </c>
      <c r="C10" s="7" t="s">
        <v>28</v>
      </c>
      <c r="D10" s="7" t="s">
        <v>20</v>
      </c>
      <c r="E10" s="7" t="s">
        <v>21</v>
      </c>
      <c r="F10" s="7" t="s">
        <v>22</v>
      </c>
      <c r="G10" s="8" t="s">
        <v>29</v>
      </c>
      <c r="H10" s="7">
        <v>1</v>
      </c>
      <c r="I10" s="7"/>
      <c r="J10" s="7"/>
      <c r="K10" s="9"/>
      <c r="L10" s="7">
        <v>1</v>
      </c>
      <c r="M10" s="7">
        <v>1.5</v>
      </c>
      <c r="N10" s="9">
        <v>17186</v>
      </c>
      <c r="O10" s="7"/>
      <c r="P10" s="7"/>
      <c r="Q10" s="9"/>
      <c r="R10" s="365">
        <v>11457.12</v>
      </c>
      <c r="S10" s="10">
        <v>17186</v>
      </c>
    </row>
    <row r="11" spans="1:19" ht="22.95" customHeight="1">
      <c r="A11" s="6">
        <v>7</v>
      </c>
      <c r="B11" s="7" t="s">
        <v>30</v>
      </c>
      <c r="C11" s="7" t="s">
        <v>31</v>
      </c>
      <c r="D11" s="7" t="s">
        <v>20</v>
      </c>
      <c r="E11" s="7" t="s">
        <v>21</v>
      </c>
      <c r="F11" s="7" t="s">
        <v>22</v>
      </c>
      <c r="G11" s="8" t="s">
        <v>32</v>
      </c>
      <c r="H11" s="7">
        <v>1</v>
      </c>
      <c r="I11" s="7"/>
      <c r="J11" s="7"/>
      <c r="K11" s="9"/>
      <c r="L11" s="7">
        <v>1</v>
      </c>
      <c r="M11" s="7">
        <v>1.5</v>
      </c>
      <c r="N11" s="9">
        <v>18024</v>
      </c>
      <c r="O11" s="7"/>
      <c r="P11" s="7"/>
      <c r="Q11" s="9"/>
      <c r="R11" s="365">
        <v>12015.67</v>
      </c>
      <c r="S11" s="10">
        <v>18024</v>
      </c>
    </row>
    <row r="12" spans="1:19" ht="22.95" customHeight="1">
      <c r="A12" s="6">
        <v>8</v>
      </c>
      <c r="B12" s="7" t="s">
        <v>30</v>
      </c>
      <c r="C12" s="7" t="s">
        <v>31</v>
      </c>
      <c r="D12" s="7" t="s">
        <v>20</v>
      </c>
      <c r="E12" s="7" t="s">
        <v>21</v>
      </c>
      <c r="F12" s="7" t="s">
        <v>22</v>
      </c>
      <c r="G12" s="8" t="s">
        <v>32</v>
      </c>
      <c r="H12" s="7">
        <v>1</v>
      </c>
      <c r="I12" s="7"/>
      <c r="J12" s="7"/>
      <c r="K12" s="9"/>
      <c r="L12" s="7">
        <v>1</v>
      </c>
      <c r="M12" s="7">
        <v>1.5</v>
      </c>
      <c r="N12" s="9">
        <v>18024</v>
      </c>
      <c r="O12" s="7"/>
      <c r="P12" s="7"/>
      <c r="Q12" s="9"/>
      <c r="R12" s="365">
        <v>12015.67</v>
      </c>
      <c r="S12" s="10">
        <v>18024</v>
      </c>
    </row>
    <row r="13" spans="1:19" ht="22.95" customHeight="1">
      <c r="A13" s="6">
        <v>9</v>
      </c>
      <c r="B13" s="7" t="s">
        <v>27</v>
      </c>
      <c r="C13" s="7" t="s">
        <v>28</v>
      </c>
      <c r="D13" s="7" t="s">
        <v>20</v>
      </c>
      <c r="E13" s="7" t="s">
        <v>21</v>
      </c>
      <c r="F13" s="7" t="s">
        <v>22</v>
      </c>
      <c r="G13" s="8" t="s">
        <v>33</v>
      </c>
      <c r="H13" s="7">
        <v>1</v>
      </c>
      <c r="I13" s="7"/>
      <c r="J13" s="7"/>
      <c r="K13" s="9"/>
      <c r="L13" s="7">
        <v>1</v>
      </c>
      <c r="M13" s="7">
        <v>1.5</v>
      </c>
      <c r="N13" s="9">
        <v>17186</v>
      </c>
      <c r="O13" s="7"/>
      <c r="P13" s="7"/>
      <c r="Q13" s="9"/>
      <c r="R13" s="365">
        <v>11457.12</v>
      </c>
      <c r="S13" s="10">
        <v>17186</v>
      </c>
    </row>
    <row r="14" spans="1:19" ht="22.95" customHeight="1">
      <c r="A14" s="6">
        <v>10</v>
      </c>
      <c r="B14" s="7" t="s">
        <v>27</v>
      </c>
      <c r="C14" s="7" t="s">
        <v>28</v>
      </c>
      <c r="D14" s="7" t="s">
        <v>20</v>
      </c>
      <c r="E14" s="7" t="s">
        <v>21</v>
      </c>
      <c r="F14" s="7" t="s">
        <v>22</v>
      </c>
      <c r="G14" s="8" t="s">
        <v>33</v>
      </c>
      <c r="H14" s="7">
        <v>1</v>
      </c>
      <c r="I14" s="7"/>
      <c r="J14" s="7"/>
      <c r="K14" s="9"/>
      <c r="L14" s="7">
        <v>1</v>
      </c>
      <c r="M14" s="7">
        <v>1.5</v>
      </c>
      <c r="N14" s="9">
        <v>17186</v>
      </c>
      <c r="O14" s="7"/>
      <c r="P14" s="7"/>
      <c r="Q14" s="9"/>
      <c r="R14" s="365">
        <v>11457.12</v>
      </c>
      <c r="S14" s="10">
        <v>17186</v>
      </c>
    </row>
    <row r="15" spans="1:19" ht="22.95" customHeight="1">
      <c r="A15" s="11" t="s">
        <v>20</v>
      </c>
      <c r="B15" s="12" t="s">
        <v>20</v>
      </c>
      <c r="C15" s="12" t="s">
        <v>34</v>
      </c>
      <c r="D15" s="12" t="s">
        <v>20</v>
      </c>
      <c r="E15" s="12" t="s">
        <v>20</v>
      </c>
      <c r="F15" s="12" t="s">
        <v>20</v>
      </c>
      <c r="G15" s="12" t="s">
        <v>20</v>
      </c>
      <c r="H15" s="12">
        <v>10</v>
      </c>
      <c r="I15" s="12">
        <v>10</v>
      </c>
      <c r="J15" s="12" t="s">
        <v>20</v>
      </c>
      <c r="K15" s="13">
        <v>177008</v>
      </c>
      <c r="L15" s="12">
        <v>10</v>
      </c>
      <c r="M15" s="12" t="s">
        <v>20</v>
      </c>
      <c r="N15" s="13">
        <v>177008</v>
      </c>
      <c r="O15" s="12" t="s">
        <v>20</v>
      </c>
      <c r="P15" s="12" t="s">
        <v>20</v>
      </c>
      <c r="Q15" s="13" t="s">
        <v>20</v>
      </c>
      <c r="R15" s="13" t="s">
        <v>20</v>
      </c>
      <c r="S15" s="14">
        <v>177008</v>
      </c>
    </row>
    <row r="16" spans="1:19" ht="22.95" customHeight="1">
      <c r="A16" s="15" t="s">
        <v>20</v>
      </c>
      <c r="B16" s="16" t="s">
        <v>20</v>
      </c>
      <c r="C16" s="16" t="s">
        <v>35</v>
      </c>
      <c r="D16" s="16" t="s">
        <v>20</v>
      </c>
      <c r="E16" s="16" t="s">
        <v>20</v>
      </c>
      <c r="F16" s="16" t="s">
        <v>36</v>
      </c>
      <c r="G16" s="16" t="s">
        <v>20</v>
      </c>
      <c r="H16" s="16">
        <v>10</v>
      </c>
      <c r="I16" s="16">
        <v>10</v>
      </c>
      <c r="J16" s="16" t="s">
        <v>20</v>
      </c>
      <c r="K16" s="17">
        <v>177008</v>
      </c>
      <c r="L16" s="16">
        <v>10</v>
      </c>
      <c r="M16" s="16" t="s">
        <v>20</v>
      </c>
      <c r="N16" s="17">
        <v>177008</v>
      </c>
      <c r="O16" s="16" t="s">
        <v>20</v>
      </c>
      <c r="P16" s="16" t="s">
        <v>20</v>
      </c>
      <c r="Q16" s="17" t="s">
        <v>20</v>
      </c>
      <c r="R16" s="17" t="s">
        <v>20</v>
      </c>
      <c r="S16" s="18">
        <v>177008</v>
      </c>
    </row>
    <row r="17" spans="1:19"/>
    <row r="18" spans="1:19" ht="18" customHeight="1" thickBot="1">
      <c r="A18" s="372" t="s">
        <v>2804</v>
      </c>
    </row>
    <row r="19" spans="1:19">
      <c r="A19" s="385" t="s">
        <v>1</v>
      </c>
      <c r="B19" s="382" t="s">
        <v>2</v>
      </c>
      <c r="C19" s="382" t="s">
        <v>3</v>
      </c>
      <c r="D19" s="382" t="s">
        <v>4</v>
      </c>
      <c r="E19" s="382" t="s">
        <v>5</v>
      </c>
      <c r="F19" s="382" t="s">
        <v>6</v>
      </c>
      <c r="G19" s="384" t="s">
        <v>7</v>
      </c>
      <c r="H19" s="384" t="s">
        <v>8</v>
      </c>
      <c r="I19" s="384" t="s">
        <v>9</v>
      </c>
      <c r="J19" s="384"/>
      <c r="K19" s="379"/>
      <c r="L19" s="384"/>
      <c r="M19" s="384"/>
      <c r="N19" s="379"/>
      <c r="O19" s="384"/>
      <c r="P19" s="384"/>
      <c r="Q19" s="379"/>
      <c r="R19" s="379" t="s">
        <v>10</v>
      </c>
      <c r="S19" s="380" t="s">
        <v>11</v>
      </c>
    </row>
    <row r="20" spans="1:19">
      <c r="A20" s="386"/>
      <c r="B20" s="383"/>
      <c r="C20" s="383"/>
      <c r="D20" s="383"/>
      <c r="E20" s="383"/>
      <c r="F20" s="383"/>
      <c r="G20" s="377"/>
      <c r="H20" s="377"/>
      <c r="I20" s="377" t="s">
        <v>12</v>
      </c>
      <c r="J20" s="377"/>
      <c r="K20" s="378"/>
      <c r="L20" s="377" t="s">
        <v>13</v>
      </c>
      <c r="M20" s="377"/>
      <c r="N20" s="378"/>
      <c r="O20" s="377" t="s">
        <v>14</v>
      </c>
      <c r="P20" s="377"/>
      <c r="Q20" s="378"/>
      <c r="R20" s="378"/>
      <c r="S20" s="381"/>
    </row>
    <row r="21" spans="1:19">
      <c r="A21" s="386"/>
      <c r="B21" s="383"/>
      <c r="C21" s="383"/>
      <c r="D21" s="383"/>
      <c r="E21" s="383"/>
      <c r="F21" s="383"/>
      <c r="G21" s="377"/>
      <c r="H21" s="377"/>
      <c r="I21" s="4" t="s">
        <v>15</v>
      </c>
      <c r="J21" s="4" t="s">
        <v>16</v>
      </c>
      <c r="K21" s="5" t="s">
        <v>17</v>
      </c>
      <c r="L21" s="4" t="s">
        <v>15</v>
      </c>
      <c r="M21" s="4" t="s">
        <v>16</v>
      </c>
      <c r="N21" s="5" t="s">
        <v>17</v>
      </c>
      <c r="O21" s="4" t="s">
        <v>15</v>
      </c>
      <c r="P21" s="4" t="s">
        <v>16</v>
      </c>
      <c r="Q21" s="5" t="s">
        <v>17</v>
      </c>
      <c r="R21" s="378"/>
      <c r="S21" s="381"/>
    </row>
    <row r="22" spans="1:19" ht="22.95" customHeight="1">
      <c r="A22" s="6">
        <v>1</v>
      </c>
      <c r="B22" s="7">
        <v>2023042</v>
      </c>
      <c r="C22" s="373" t="s">
        <v>2805</v>
      </c>
      <c r="D22" s="7" t="s">
        <v>20</v>
      </c>
      <c r="E22" s="374" t="s">
        <v>1835</v>
      </c>
      <c r="F22" s="373" t="s">
        <v>2806</v>
      </c>
      <c r="G22" s="376" t="s">
        <v>2808</v>
      </c>
      <c r="H22" s="7">
        <v>13</v>
      </c>
      <c r="I22" s="7">
        <v>13</v>
      </c>
      <c r="J22" s="7">
        <v>1.5</v>
      </c>
      <c r="K22" s="9">
        <f>I22*J22*R22</f>
        <v>214574.09999999998</v>
      </c>
      <c r="L22" s="7"/>
      <c r="M22" s="7"/>
      <c r="N22" s="9"/>
      <c r="O22" s="7"/>
      <c r="P22" s="7"/>
      <c r="Q22" s="9"/>
      <c r="R22" s="365">
        <v>11003.8</v>
      </c>
      <c r="S22" s="375" t="s">
        <v>2807</v>
      </c>
    </row>
    <row r="23" spans="1:19" ht="18" customHeight="1"/>
    <row r="24" spans="1:19" ht="18" customHeight="1">
      <c r="A24" s="79" t="s">
        <v>2810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</row>
    <row r="25" spans="1:19">
      <c r="A25" s="79" t="s">
        <v>2811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</row>
    <row r="26" spans="1:19">
      <c r="A26" s="79" t="s">
        <v>2812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</row>
    <row r="27" spans="1:19">
      <c r="A27" s="79" t="s">
        <v>2813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</row>
    <row r="28" spans="1:19">
      <c r="A28" s="79" t="s">
        <v>2814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</row>
    <row r="29" spans="1:19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</row>
    <row r="30" spans="1:19" ht="18" thickBot="1">
      <c r="A30" s="79" t="s">
        <v>2818</v>
      </c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</row>
    <row r="31" spans="1:19" ht="21" thickBot="1">
      <c r="A31" s="387" t="s">
        <v>2815</v>
      </c>
      <c r="B31" s="388"/>
      <c r="C31" s="388"/>
      <c r="D31" s="388"/>
      <c r="E31" s="388"/>
      <c r="F31" s="388"/>
      <c r="G31" s="388"/>
      <c r="H31" s="388"/>
      <c r="I31" s="388"/>
      <c r="J31" s="388"/>
      <c r="K31" s="388"/>
      <c r="L31" s="388"/>
      <c r="M31" s="388"/>
      <c r="N31" s="388"/>
      <c r="O31" s="388"/>
      <c r="P31" s="388"/>
      <c r="Q31" s="388"/>
      <c r="R31" s="389"/>
    </row>
    <row r="32" spans="1:19">
      <c r="A32" s="79" t="s">
        <v>2827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</row>
    <row r="33" spans="1:18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</row>
    <row r="34" spans="1:18" ht="18" thickBot="1">
      <c r="A34" s="79" t="s">
        <v>2817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</row>
    <row r="35" spans="1:18" ht="21" thickBot="1">
      <c r="A35" s="390" t="s">
        <v>2816</v>
      </c>
      <c r="B35" s="391"/>
      <c r="C35" s="391"/>
      <c r="D35" s="391"/>
      <c r="E35" s="391"/>
      <c r="F35" s="391"/>
      <c r="G35" s="391"/>
      <c r="H35" s="391"/>
      <c r="I35" s="391"/>
      <c r="J35" s="391"/>
      <c r="K35" s="391"/>
      <c r="L35" s="391"/>
      <c r="M35" s="391"/>
      <c r="N35" s="391"/>
      <c r="O35" s="391"/>
      <c r="P35" s="391"/>
      <c r="Q35" s="391"/>
      <c r="R35" s="392"/>
    </row>
    <row r="36" spans="1:18" ht="19.8" thickBot="1">
      <c r="A36" s="393" t="s">
        <v>2821</v>
      </c>
      <c r="B36" s="394"/>
      <c r="C36" s="394"/>
      <c r="D36" s="394"/>
      <c r="E36" s="394"/>
      <c r="F36" s="394"/>
      <c r="G36" s="394"/>
      <c r="H36" s="394"/>
      <c r="I36" s="394"/>
      <c r="J36" s="394"/>
      <c r="K36" s="394"/>
      <c r="L36" s="394"/>
      <c r="M36" s="394"/>
      <c r="N36" s="394"/>
      <c r="O36" s="394"/>
      <c r="P36" s="394"/>
      <c r="Q36" s="394"/>
      <c r="R36" s="395"/>
    </row>
    <row r="37" spans="1:18">
      <c r="A37" s="79" t="s">
        <v>2828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</row>
    <row r="38" spans="1:18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</row>
    <row r="39" spans="1:18" ht="18" thickBot="1">
      <c r="A39" s="79" t="s">
        <v>2820</v>
      </c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</row>
    <row r="40" spans="1:18" ht="21" thickBot="1">
      <c r="A40" s="390" t="s">
        <v>2824</v>
      </c>
      <c r="B40" s="391"/>
      <c r="C40" s="391"/>
      <c r="D40" s="391"/>
      <c r="E40" s="391"/>
      <c r="F40" s="391"/>
      <c r="G40" s="391"/>
      <c r="H40" s="391"/>
      <c r="I40" s="391"/>
      <c r="J40" s="391"/>
      <c r="K40" s="391"/>
      <c r="L40" s="391"/>
      <c r="M40" s="391"/>
      <c r="N40" s="391"/>
      <c r="O40" s="391"/>
      <c r="P40" s="391"/>
      <c r="Q40" s="391"/>
      <c r="R40" s="392"/>
    </row>
    <row r="41" spans="1:18" ht="19.8" thickBot="1">
      <c r="A41" s="393" t="s">
        <v>2822</v>
      </c>
      <c r="B41" s="394"/>
      <c r="C41" s="394"/>
      <c r="D41" s="394"/>
      <c r="E41" s="394"/>
      <c r="F41" s="394"/>
      <c r="G41" s="394"/>
      <c r="H41" s="394"/>
      <c r="I41" s="394"/>
      <c r="J41" s="394"/>
      <c r="K41" s="394"/>
      <c r="L41" s="394"/>
      <c r="M41" s="394"/>
      <c r="N41" s="394"/>
      <c r="O41" s="394"/>
      <c r="P41" s="394"/>
      <c r="Q41" s="394"/>
      <c r="R41" s="395"/>
    </row>
    <row r="42" spans="1:18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</row>
    <row r="43" spans="1:18" ht="18" thickBot="1">
      <c r="A43" s="79" t="s">
        <v>2823</v>
      </c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</row>
    <row r="44" spans="1:18" ht="21" thickBot="1">
      <c r="A44" s="390" t="s">
        <v>2826</v>
      </c>
      <c r="B44" s="391"/>
      <c r="C44" s="391"/>
      <c r="D44" s="391"/>
      <c r="E44" s="391"/>
      <c r="F44" s="391"/>
      <c r="G44" s="391"/>
      <c r="H44" s="391"/>
      <c r="I44" s="391"/>
      <c r="J44" s="391"/>
      <c r="K44" s="391"/>
      <c r="L44" s="391"/>
      <c r="M44" s="391"/>
      <c r="N44" s="391"/>
      <c r="O44" s="391"/>
      <c r="P44" s="391"/>
      <c r="Q44" s="391"/>
      <c r="R44" s="392"/>
    </row>
    <row r="45" spans="1:18" ht="19.8" thickBot="1">
      <c r="A45" s="393" t="s">
        <v>2825</v>
      </c>
      <c r="B45" s="394"/>
      <c r="C45" s="394"/>
      <c r="D45" s="394"/>
      <c r="E45" s="394"/>
      <c r="F45" s="394"/>
      <c r="G45" s="394"/>
      <c r="H45" s="394"/>
      <c r="I45" s="394"/>
      <c r="J45" s="394"/>
      <c r="K45" s="394"/>
      <c r="L45" s="394"/>
      <c r="M45" s="394"/>
      <c r="N45" s="394"/>
      <c r="O45" s="394"/>
      <c r="P45" s="394"/>
      <c r="Q45" s="394"/>
      <c r="R45" s="395"/>
    </row>
    <row r="46" spans="1:18"/>
    <row r="47" spans="1:18"/>
    <row r="48" spans="1:1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 ht="18" customHeight="1"/>
  </sheetData>
  <mergeCells count="35">
    <mergeCell ref="A44:R44"/>
    <mergeCell ref="A45:R45"/>
    <mergeCell ref="A31:R31"/>
    <mergeCell ref="A35:R35"/>
    <mergeCell ref="A36:R36"/>
    <mergeCell ref="A40:R40"/>
    <mergeCell ref="A41:R41"/>
    <mergeCell ref="H2:H4"/>
    <mergeCell ref="I3:K3"/>
    <mergeCell ref="L3:N3"/>
    <mergeCell ref="A19:A21"/>
    <mergeCell ref="B19:B21"/>
    <mergeCell ref="C19:C21"/>
    <mergeCell ref="D19:D21"/>
    <mergeCell ref="A2:A4"/>
    <mergeCell ref="B2:B4"/>
    <mergeCell ref="C2:C4"/>
    <mergeCell ref="D2:D4"/>
    <mergeCell ref="E2:E4"/>
    <mergeCell ref="O3:Q3"/>
    <mergeCell ref="R2:R4"/>
    <mergeCell ref="S2:S4"/>
    <mergeCell ref="E19:E21"/>
    <mergeCell ref="F19:F21"/>
    <mergeCell ref="G19:G21"/>
    <mergeCell ref="H19:H21"/>
    <mergeCell ref="I19:Q19"/>
    <mergeCell ref="R19:R21"/>
    <mergeCell ref="S19:S21"/>
    <mergeCell ref="I20:K20"/>
    <mergeCell ref="L20:N20"/>
    <mergeCell ref="O20:Q20"/>
    <mergeCell ref="I2:Q2"/>
    <mergeCell ref="F2:F4"/>
    <mergeCell ref="G2:G4"/>
  </mergeCells>
  <phoneticPr fontId="14" type="noConversion"/>
  <printOptions horizontalCentered="1"/>
  <pageMargins left="0.19685039370078741" right="0.19685039370078741" top="0.74803149606299213" bottom="0.74803149606299213" header="0.31496062992125984" footer="0.31496062992125984"/>
  <pageSetup paperSize="9" scale="60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75A53-3B80-4711-933B-299CF0598289}">
  <dimension ref="A1:AB132"/>
  <sheetViews>
    <sheetView tabSelected="1" workbookViewId="0">
      <selection activeCell="Y16" sqref="Y16"/>
    </sheetView>
  </sheetViews>
  <sheetFormatPr defaultRowHeight="17.399999999999999"/>
  <cols>
    <col min="1" max="1" width="4.69921875" customWidth="1"/>
    <col min="3" max="3" width="7.69921875" customWidth="1"/>
    <col min="4" max="4" width="5.5" customWidth="1"/>
    <col min="5" max="5" width="11.796875" customWidth="1"/>
    <col min="6" max="6" width="10.296875" customWidth="1"/>
    <col min="7" max="7" width="10.8984375" customWidth="1"/>
    <col min="8" max="8" width="7.3984375" customWidth="1"/>
    <col min="9" max="9" width="11" bestFit="1" customWidth="1"/>
    <col min="10" max="10" width="7.3984375" bestFit="1" customWidth="1"/>
    <col min="11" max="11" width="12.19921875" customWidth="1"/>
    <col min="12" max="12" width="11" bestFit="1" customWidth="1"/>
    <col min="13" max="13" width="7.3984375" bestFit="1" customWidth="1"/>
    <col min="14" max="14" width="11.09765625" customWidth="1"/>
    <col min="15" max="15" width="11" bestFit="1" customWidth="1"/>
    <col min="16" max="16" width="7.3984375" bestFit="1" customWidth="1"/>
    <col min="17" max="17" width="9.59765625" customWidth="1"/>
    <col min="18" max="18" width="12" customWidth="1"/>
    <col min="19" max="19" width="12.19921875" customWidth="1"/>
    <col min="25" max="25" width="16.59765625" bestFit="1" customWidth="1"/>
    <col min="26" max="26" width="12" bestFit="1" customWidth="1"/>
    <col min="27" max="27" width="14.19921875" bestFit="1" customWidth="1"/>
    <col min="28" max="28" width="14.8984375" bestFit="1" customWidth="1"/>
  </cols>
  <sheetData>
    <row r="1" spans="1:28" ht="31.2" customHeight="1" thickBo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28">
      <c r="A2" s="357" t="s">
        <v>1</v>
      </c>
      <c r="B2" s="358" t="s">
        <v>2</v>
      </c>
      <c r="C2" s="358" t="s">
        <v>3</v>
      </c>
      <c r="D2" s="358" t="s">
        <v>4</v>
      </c>
      <c r="E2" s="358" t="s">
        <v>5</v>
      </c>
      <c r="F2" s="358" t="s">
        <v>6</v>
      </c>
      <c r="G2" s="354" t="s">
        <v>7</v>
      </c>
      <c r="H2" s="354" t="s">
        <v>2786</v>
      </c>
      <c r="I2" s="4" t="s">
        <v>2785</v>
      </c>
      <c r="J2" s="4" t="s">
        <v>2787</v>
      </c>
      <c r="K2" s="5" t="s">
        <v>2788</v>
      </c>
      <c r="L2" s="4" t="s">
        <v>2789</v>
      </c>
      <c r="M2" s="4" t="s">
        <v>2790</v>
      </c>
      <c r="N2" s="5" t="s">
        <v>2791</v>
      </c>
      <c r="O2" s="4" t="s">
        <v>2792</v>
      </c>
      <c r="P2" s="4" t="s">
        <v>2793</v>
      </c>
      <c r="Q2" s="5" t="s">
        <v>2794</v>
      </c>
      <c r="R2" s="355" t="s">
        <v>2795</v>
      </c>
      <c r="S2" s="356" t="s">
        <v>2796</v>
      </c>
      <c r="U2" t="s">
        <v>2797</v>
      </c>
      <c r="V2" t="s">
        <v>2798</v>
      </c>
      <c r="W2" t="s">
        <v>2799</v>
      </c>
    </row>
    <row r="3" spans="1:28">
      <c r="A3" s="6">
        <v>1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22</v>
      </c>
      <c r="G3" s="8" t="s">
        <v>23</v>
      </c>
      <c r="H3" s="7"/>
      <c r="I3" s="7"/>
      <c r="J3" s="7"/>
      <c r="K3" s="9"/>
      <c r="L3" s="359">
        <v>1</v>
      </c>
      <c r="M3" s="359">
        <v>1.5</v>
      </c>
      <c r="N3" s="369">
        <f>ROUND(L3*M3*R3,0)</f>
        <v>16760</v>
      </c>
      <c r="O3" s="7"/>
      <c r="P3" s="7"/>
      <c r="Q3" s="9"/>
      <c r="R3" s="365">
        <v>11173.59</v>
      </c>
      <c r="S3" s="360">
        <f>ROUNDUP(K3+N3+Q3,0)</f>
        <v>16760</v>
      </c>
      <c r="U3" s="79">
        <f>VLOOKUP(C3,[1]인력현황_202604!$F$2:$CD$213,56,FALSE)</f>
        <v>11173.59</v>
      </c>
      <c r="V3" t="b">
        <f>R3=U3</f>
        <v>1</v>
      </c>
      <c r="W3" t="b">
        <f>별첨1!S5=검증_1!S3</f>
        <v>1</v>
      </c>
      <c r="AA3" s="370" t="s">
        <v>2803</v>
      </c>
    </row>
    <row r="4" spans="1:28">
      <c r="A4" s="6">
        <v>2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8" t="s">
        <v>23</v>
      </c>
      <c r="H4" s="7"/>
      <c r="I4" s="7"/>
      <c r="J4" s="7"/>
      <c r="K4" s="9"/>
      <c r="L4" s="359">
        <v>1</v>
      </c>
      <c r="M4" s="359">
        <v>1.5</v>
      </c>
      <c r="N4" s="369">
        <f t="shared" ref="N4:N12" si="0">ROUND(L4*M4*R4,0)</f>
        <v>16760</v>
      </c>
      <c r="O4" s="7"/>
      <c r="P4" s="7"/>
      <c r="Q4" s="9"/>
      <c r="R4" s="365">
        <v>11173.59</v>
      </c>
      <c r="S4" s="360">
        <f t="shared" ref="S4:S12" si="1">ROUNDUP(K4+N4+Q4,0)</f>
        <v>16760</v>
      </c>
      <c r="U4" s="79">
        <f>VLOOKUP(C4,[1]인력현황_202604!$F$2:$CD$213,56,FALSE)</f>
        <v>11173.59</v>
      </c>
      <c r="V4" t="b">
        <f t="shared" ref="V4:V12" si="2">R4=U4</f>
        <v>1</v>
      </c>
      <c r="W4" t="b">
        <f>별첨1!S6=검증_1!S4</f>
        <v>1</v>
      </c>
      <c r="Y4" s="370" t="s">
        <v>3</v>
      </c>
      <c r="Z4" s="370" t="s">
        <v>5</v>
      </c>
      <c r="AA4" t="s">
        <v>2801</v>
      </c>
      <c r="AB4" t="s">
        <v>2802</v>
      </c>
    </row>
    <row r="5" spans="1:28">
      <c r="A5" s="6">
        <v>3</v>
      </c>
      <c r="B5" s="7" t="s">
        <v>24</v>
      </c>
      <c r="C5" s="7" t="s">
        <v>25</v>
      </c>
      <c r="D5" s="7" t="s">
        <v>20</v>
      </c>
      <c r="E5" s="7" t="s">
        <v>21</v>
      </c>
      <c r="F5" s="7" t="s">
        <v>22</v>
      </c>
      <c r="G5" s="8" t="s">
        <v>26</v>
      </c>
      <c r="H5" s="7"/>
      <c r="I5" s="7"/>
      <c r="J5" s="7"/>
      <c r="K5" s="9"/>
      <c r="L5" s="359">
        <v>1</v>
      </c>
      <c r="M5" s="359">
        <v>1.5</v>
      </c>
      <c r="N5" s="369">
        <f t="shared" si="0"/>
        <v>19348</v>
      </c>
      <c r="O5" s="7"/>
      <c r="P5" s="7"/>
      <c r="Q5" s="9"/>
      <c r="R5" s="365">
        <v>12898.79</v>
      </c>
      <c r="S5" s="360">
        <f t="shared" si="1"/>
        <v>19348</v>
      </c>
      <c r="U5" s="79">
        <f>VLOOKUP(C5,[1]인력현황_202604!$F$2:$CD$213,56,FALSE)</f>
        <v>12898.79</v>
      </c>
      <c r="V5" t="b">
        <f t="shared" si="2"/>
        <v>1</v>
      </c>
      <c r="W5" t="b">
        <f>별첨1!S7=검증_1!S5</f>
        <v>1</v>
      </c>
      <c r="Y5" t="s">
        <v>28</v>
      </c>
      <c r="Z5" t="s">
        <v>21</v>
      </c>
      <c r="AA5">
        <v>4</v>
      </c>
      <c r="AB5" s="371">
        <v>68744</v>
      </c>
    </row>
    <row r="6" spans="1:28">
      <c r="A6" s="6">
        <v>4</v>
      </c>
      <c r="B6" s="7" t="s">
        <v>24</v>
      </c>
      <c r="C6" s="7" t="s">
        <v>25</v>
      </c>
      <c r="D6" s="7" t="s">
        <v>20</v>
      </c>
      <c r="E6" s="7" t="s">
        <v>21</v>
      </c>
      <c r="F6" s="7" t="s">
        <v>22</v>
      </c>
      <c r="G6" s="8" t="s">
        <v>26</v>
      </c>
      <c r="H6" s="7"/>
      <c r="I6" s="7"/>
      <c r="J6" s="7"/>
      <c r="K6" s="9"/>
      <c r="L6" s="359">
        <v>1</v>
      </c>
      <c r="M6" s="359">
        <v>1.5</v>
      </c>
      <c r="N6" s="369">
        <f t="shared" si="0"/>
        <v>19348</v>
      </c>
      <c r="O6" s="7"/>
      <c r="P6" s="7"/>
      <c r="Q6" s="9"/>
      <c r="R6" s="365">
        <v>12898.79</v>
      </c>
      <c r="S6" s="360">
        <f t="shared" si="1"/>
        <v>19348</v>
      </c>
      <c r="U6" s="79">
        <f>VLOOKUP(C6,[1]인력현황_202604!$F$2:$CD$213,56,FALSE)</f>
        <v>12898.79</v>
      </c>
      <c r="V6" t="b">
        <f t="shared" si="2"/>
        <v>1</v>
      </c>
      <c r="W6" t="b">
        <f>별첨1!S8=검증_1!S6</f>
        <v>1</v>
      </c>
      <c r="Y6" t="s">
        <v>19</v>
      </c>
      <c r="Z6" t="s">
        <v>21</v>
      </c>
      <c r="AA6">
        <v>2</v>
      </c>
      <c r="AB6" s="371">
        <v>33520</v>
      </c>
    </row>
    <row r="7" spans="1:28">
      <c r="A7" s="6">
        <v>5</v>
      </c>
      <c r="B7" s="7" t="s">
        <v>27</v>
      </c>
      <c r="C7" s="7" t="s">
        <v>28</v>
      </c>
      <c r="D7" s="7" t="s">
        <v>20</v>
      </c>
      <c r="E7" s="7" t="s">
        <v>21</v>
      </c>
      <c r="F7" s="7" t="s">
        <v>22</v>
      </c>
      <c r="G7" s="8" t="s">
        <v>29</v>
      </c>
      <c r="H7" s="7"/>
      <c r="I7" s="7"/>
      <c r="J7" s="7"/>
      <c r="K7" s="9"/>
      <c r="L7" s="359">
        <v>1</v>
      </c>
      <c r="M7" s="359">
        <v>1.5</v>
      </c>
      <c r="N7" s="369">
        <f t="shared" si="0"/>
        <v>17186</v>
      </c>
      <c r="O7" s="7"/>
      <c r="P7" s="7"/>
      <c r="Q7" s="9"/>
      <c r="R7" s="365">
        <v>11457.12</v>
      </c>
      <c r="S7" s="360">
        <f t="shared" si="1"/>
        <v>17186</v>
      </c>
      <c r="U7" s="79">
        <f>VLOOKUP(C7,[1]인력현황_202604!$F$2:$CD$213,56,FALSE)</f>
        <v>11457.12</v>
      </c>
      <c r="V7" t="b">
        <f t="shared" si="2"/>
        <v>1</v>
      </c>
      <c r="W7" t="b">
        <f>별첨1!S9=검증_1!S7</f>
        <v>1</v>
      </c>
      <c r="Y7" t="s">
        <v>25</v>
      </c>
      <c r="Z7" t="s">
        <v>21</v>
      </c>
      <c r="AA7">
        <v>2</v>
      </c>
      <c r="AB7" s="371">
        <v>38696</v>
      </c>
    </row>
    <row r="8" spans="1:28">
      <c r="A8" s="6">
        <v>6</v>
      </c>
      <c r="B8" s="7" t="s">
        <v>27</v>
      </c>
      <c r="C8" s="7" t="s">
        <v>28</v>
      </c>
      <c r="D8" s="7" t="s">
        <v>20</v>
      </c>
      <c r="E8" s="7" t="s">
        <v>21</v>
      </c>
      <c r="F8" s="7" t="s">
        <v>22</v>
      </c>
      <c r="G8" s="8" t="s">
        <v>29</v>
      </c>
      <c r="H8" s="7"/>
      <c r="I8" s="7"/>
      <c r="J8" s="7"/>
      <c r="K8" s="9"/>
      <c r="L8" s="359">
        <v>1</v>
      </c>
      <c r="M8" s="359">
        <v>1.5</v>
      </c>
      <c r="N8" s="369">
        <f t="shared" si="0"/>
        <v>17186</v>
      </c>
      <c r="O8" s="7"/>
      <c r="P8" s="7"/>
      <c r="Q8" s="9"/>
      <c r="R8" s="365">
        <v>11457.12</v>
      </c>
      <c r="S8" s="360">
        <f t="shared" si="1"/>
        <v>17186</v>
      </c>
      <c r="U8" s="79">
        <f>VLOOKUP(C8,[1]인력현황_202604!$F$2:$CD$213,56,FALSE)</f>
        <v>11457.12</v>
      </c>
      <c r="V8" t="b">
        <f t="shared" si="2"/>
        <v>1</v>
      </c>
      <c r="W8" t="b">
        <f>별첨1!S10=검증_1!S8</f>
        <v>1</v>
      </c>
      <c r="Y8" t="s">
        <v>31</v>
      </c>
      <c r="Z8" t="s">
        <v>21</v>
      </c>
      <c r="AA8">
        <v>2</v>
      </c>
      <c r="AB8" s="371">
        <v>36048</v>
      </c>
    </row>
    <row r="9" spans="1:28">
      <c r="A9" s="6">
        <v>7</v>
      </c>
      <c r="B9" s="7" t="s">
        <v>30</v>
      </c>
      <c r="C9" s="7" t="s">
        <v>31</v>
      </c>
      <c r="D9" s="7" t="s">
        <v>20</v>
      </c>
      <c r="E9" s="7" t="s">
        <v>21</v>
      </c>
      <c r="F9" s="7" t="s">
        <v>22</v>
      </c>
      <c r="G9" s="8" t="s">
        <v>32</v>
      </c>
      <c r="H9" s="7"/>
      <c r="I9" s="7"/>
      <c r="J9" s="7"/>
      <c r="K9" s="9"/>
      <c r="L9" s="359">
        <v>1</v>
      </c>
      <c r="M9" s="359">
        <v>1.5</v>
      </c>
      <c r="N9" s="369">
        <f t="shared" si="0"/>
        <v>18024</v>
      </c>
      <c r="O9" s="7"/>
      <c r="P9" s="7"/>
      <c r="Q9" s="9"/>
      <c r="R9" s="365">
        <v>12015.67</v>
      </c>
      <c r="S9" s="360">
        <f t="shared" si="1"/>
        <v>18024</v>
      </c>
      <c r="U9" s="79">
        <f>VLOOKUP(C9,[1]인력현황_202604!$F$2:$CD$213,56,FALSE)</f>
        <v>12015.67</v>
      </c>
      <c r="V9" t="b">
        <f t="shared" si="2"/>
        <v>1</v>
      </c>
      <c r="W9" t="b">
        <f>별첨1!S11=검증_1!S9</f>
        <v>1</v>
      </c>
      <c r="Y9" t="s">
        <v>2800</v>
      </c>
      <c r="AA9">
        <v>10</v>
      </c>
      <c r="AB9" s="371">
        <v>177008</v>
      </c>
    </row>
    <row r="10" spans="1:28">
      <c r="A10" s="6">
        <v>8</v>
      </c>
      <c r="B10" s="7" t="s">
        <v>30</v>
      </c>
      <c r="C10" s="7" t="s">
        <v>31</v>
      </c>
      <c r="D10" s="7" t="s">
        <v>20</v>
      </c>
      <c r="E10" s="7" t="s">
        <v>21</v>
      </c>
      <c r="F10" s="7" t="s">
        <v>22</v>
      </c>
      <c r="G10" s="8" t="s">
        <v>32</v>
      </c>
      <c r="H10" s="7"/>
      <c r="I10" s="7"/>
      <c r="J10" s="7"/>
      <c r="K10" s="9"/>
      <c r="L10" s="359">
        <v>1</v>
      </c>
      <c r="M10" s="359">
        <v>1.5</v>
      </c>
      <c r="N10" s="369">
        <f t="shared" si="0"/>
        <v>18024</v>
      </c>
      <c r="O10" s="7"/>
      <c r="P10" s="7"/>
      <c r="Q10" s="9"/>
      <c r="R10" s="365">
        <v>12015.67</v>
      </c>
      <c r="S10" s="360">
        <f t="shared" si="1"/>
        <v>18024</v>
      </c>
      <c r="U10" s="79">
        <f>VLOOKUP(C10,[1]인력현황_202604!$F$2:$CD$213,56,FALSE)</f>
        <v>12015.67</v>
      </c>
      <c r="V10" t="b">
        <f t="shared" si="2"/>
        <v>1</v>
      </c>
      <c r="W10" t="b">
        <f>별첨1!S12=검증_1!S10</f>
        <v>1</v>
      </c>
    </row>
    <row r="11" spans="1:28">
      <c r="A11" s="6">
        <v>9</v>
      </c>
      <c r="B11" s="7" t="s">
        <v>27</v>
      </c>
      <c r="C11" s="7" t="s">
        <v>28</v>
      </c>
      <c r="D11" s="7" t="s">
        <v>20</v>
      </c>
      <c r="E11" s="7" t="s">
        <v>21</v>
      </c>
      <c r="F11" s="7" t="s">
        <v>22</v>
      </c>
      <c r="G11" s="8" t="s">
        <v>33</v>
      </c>
      <c r="H11" s="7"/>
      <c r="I11" s="7"/>
      <c r="J11" s="7"/>
      <c r="K11" s="9"/>
      <c r="L11" s="359">
        <v>1</v>
      </c>
      <c r="M11" s="359">
        <v>1.5</v>
      </c>
      <c r="N11" s="369">
        <f t="shared" si="0"/>
        <v>17186</v>
      </c>
      <c r="O11" s="7"/>
      <c r="P11" s="7"/>
      <c r="Q11" s="9"/>
      <c r="R11" s="365">
        <v>11457.12</v>
      </c>
      <c r="S11" s="360">
        <f t="shared" si="1"/>
        <v>17186</v>
      </c>
      <c r="U11" s="79">
        <f>VLOOKUP(C11,[1]인력현황_202604!$F$2:$CD$213,56,FALSE)</f>
        <v>11457.12</v>
      </c>
      <c r="V11" t="b">
        <f t="shared" si="2"/>
        <v>1</v>
      </c>
      <c r="W11" t="b">
        <f>별첨1!S13=검증_1!S11</f>
        <v>1</v>
      </c>
    </row>
    <row r="12" spans="1:28">
      <c r="A12" s="6">
        <v>10</v>
      </c>
      <c r="B12" s="7" t="s">
        <v>27</v>
      </c>
      <c r="C12" s="7" t="s">
        <v>28</v>
      </c>
      <c r="D12" s="7" t="s">
        <v>20</v>
      </c>
      <c r="E12" s="7" t="s">
        <v>21</v>
      </c>
      <c r="F12" s="7" t="s">
        <v>22</v>
      </c>
      <c r="G12" s="8" t="s">
        <v>33</v>
      </c>
      <c r="H12" s="7"/>
      <c r="I12" s="7"/>
      <c r="J12" s="7"/>
      <c r="K12" s="9"/>
      <c r="L12" s="359">
        <v>1</v>
      </c>
      <c r="M12" s="359">
        <v>1.5</v>
      </c>
      <c r="N12" s="369">
        <f t="shared" si="0"/>
        <v>17186</v>
      </c>
      <c r="O12" s="7"/>
      <c r="P12" s="7"/>
      <c r="Q12" s="9"/>
      <c r="R12" s="365">
        <v>11457.12</v>
      </c>
      <c r="S12" s="360">
        <f t="shared" si="1"/>
        <v>17186</v>
      </c>
      <c r="U12" s="79">
        <f>VLOOKUP(C12,[1]인력현황_202604!$F$2:$CD$213,56,FALSE)</f>
        <v>11457.12</v>
      </c>
      <c r="V12" t="b">
        <f t="shared" si="2"/>
        <v>1</v>
      </c>
      <c r="W12" t="b">
        <f>별첨1!S14=검증_1!S12</f>
        <v>1</v>
      </c>
    </row>
    <row r="13" spans="1:28">
      <c r="A13" s="11" t="s">
        <v>20</v>
      </c>
      <c r="B13" s="12" t="s">
        <v>20</v>
      </c>
      <c r="C13" s="12" t="s">
        <v>34</v>
      </c>
      <c r="D13" s="12" t="s">
        <v>20</v>
      </c>
      <c r="E13" s="12" t="s">
        <v>20</v>
      </c>
      <c r="F13" s="12" t="s">
        <v>20</v>
      </c>
      <c r="G13" s="12" t="s">
        <v>20</v>
      </c>
      <c r="H13" s="12"/>
      <c r="I13" s="12"/>
      <c r="J13" s="12"/>
      <c r="K13" s="13"/>
      <c r="L13" s="361">
        <v>10</v>
      </c>
      <c r="M13" s="361" t="s">
        <v>20</v>
      </c>
      <c r="N13" s="362">
        <v>177008</v>
      </c>
      <c r="O13" s="12" t="s">
        <v>20</v>
      </c>
      <c r="P13" s="12" t="s">
        <v>20</v>
      </c>
      <c r="Q13" s="13" t="s">
        <v>20</v>
      </c>
      <c r="R13" s="366" t="s">
        <v>20</v>
      </c>
      <c r="S13" s="367">
        <v>177008</v>
      </c>
    </row>
    <row r="14" spans="1:28" ht="18" customHeight="1" thickBot="1">
      <c r="A14" s="15" t="s">
        <v>20</v>
      </c>
      <c r="B14" s="16" t="s">
        <v>20</v>
      </c>
      <c r="C14" s="16" t="s">
        <v>35</v>
      </c>
      <c r="D14" s="16" t="s">
        <v>20</v>
      </c>
      <c r="E14" s="16" t="s">
        <v>20</v>
      </c>
      <c r="F14" s="16" t="s">
        <v>36</v>
      </c>
      <c r="G14" s="16" t="s">
        <v>20</v>
      </c>
      <c r="H14" s="16"/>
      <c r="I14" s="16"/>
      <c r="J14" s="16"/>
      <c r="K14" s="17"/>
      <c r="L14" s="363">
        <v>10</v>
      </c>
      <c r="M14" s="363" t="s">
        <v>20</v>
      </c>
      <c r="N14" s="364">
        <v>177008</v>
      </c>
      <c r="O14" s="16" t="s">
        <v>20</v>
      </c>
      <c r="P14" s="16" t="s">
        <v>20</v>
      </c>
      <c r="Q14" s="17" t="s">
        <v>20</v>
      </c>
      <c r="R14" s="17" t="s">
        <v>20</v>
      </c>
      <c r="S14" s="368">
        <v>177008</v>
      </c>
    </row>
    <row r="16" spans="1:28" ht="18" customHeight="1" thickBot="1">
      <c r="A16" s="372" t="s">
        <v>2804</v>
      </c>
    </row>
    <row r="17" spans="1:19">
      <c r="A17" s="385" t="s">
        <v>1</v>
      </c>
      <c r="B17" s="382" t="s">
        <v>2</v>
      </c>
      <c r="C17" s="382" t="s">
        <v>3</v>
      </c>
      <c r="D17" s="382" t="s">
        <v>4</v>
      </c>
      <c r="E17" s="382" t="s">
        <v>5</v>
      </c>
      <c r="F17" s="382" t="s">
        <v>6</v>
      </c>
      <c r="G17" s="384" t="s">
        <v>7</v>
      </c>
      <c r="H17" s="384" t="s">
        <v>8</v>
      </c>
      <c r="I17" s="384" t="s">
        <v>9</v>
      </c>
      <c r="J17" s="384"/>
      <c r="K17" s="379"/>
      <c r="L17" s="384"/>
      <c r="M17" s="384"/>
      <c r="N17" s="379"/>
      <c r="O17" s="384"/>
      <c r="P17" s="384"/>
      <c r="Q17" s="379"/>
      <c r="R17" s="379" t="s">
        <v>10</v>
      </c>
      <c r="S17" s="380" t="s">
        <v>11</v>
      </c>
    </row>
    <row r="18" spans="1:19">
      <c r="A18" s="386"/>
      <c r="B18" s="383"/>
      <c r="C18" s="383"/>
      <c r="D18" s="383"/>
      <c r="E18" s="383"/>
      <c r="F18" s="383"/>
      <c r="G18" s="377"/>
      <c r="H18" s="377"/>
      <c r="I18" s="377" t="s">
        <v>12</v>
      </c>
      <c r="J18" s="377"/>
      <c r="K18" s="378"/>
      <c r="L18" s="377" t="s">
        <v>13</v>
      </c>
      <c r="M18" s="377"/>
      <c r="N18" s="378"/>
      <c r="O18" s="377" t="s">
        <v>14</v>
      </c>
      <c r="P18" s="377"/>
      <c r="Q18" s="378"/>
      <c r="R18" s="378"/>
      <c r="S18" s="381"/>
    </row>
    <row r="19" spans="1:19">
      <c r="A19" s="386"/>
      <c r="B19" s="383"/>
      <c r="C19" s="383"/>
      <c r="D19" s="383"/>
      <c r="E19" s="383"/>
      <c r="F19" s="383"/>
      <c r="G19" s="377"/>
      <c r="H19" s="377"/>
      <c r="I19" s="4" t="s">
        <v>15</v>
      </c>
      <c r="J19" s="4" t="s">
        <v>16</v>
      </c>
      <c r="K19" s="5" t="s">
        <v>17</v>
      </c>
      <c r="L19" s="4" t="s">
        <v>15</v>
      </c>
      <c r="M19" s="4" t="s">
        <v>16</v>
      </c>
      <c r="N19" s="5" t="s">
        <v>17</v>
      </c>
      <c r="O19" s="4" t="s">
        <v>15</v>
      </c>
      <c r="P19" s="4" t="s">
        <v>16</v>
      </c>
      <c r="Q19" s="5" t="s">
        <v>17</v>
      </c>
      <c r="R19" s="378"/>
      <c r="S19" s="381"/>
    </row>
    <row r="20" spans="1:19" ht="22.95" customHeight="1">
      <c r="A20" s="6">
        <v>1</v>
      </c>
      <c r="B20" s="7">
        <v>2023042</v>
      </c>
      <c r="C20" s="373" t="s">
        <v>2805</v>
      </c>
      <c r="D20" s="7" t="s">
        <v>20</v>
      </c>
      <c r="E20" s="374" t="s">
        <v>1835</v>
      </c>
      <c r="F20" s="373" t="s">
        <v>2806</v>
      </c>
      <c r="G20" s="376" t="s">
        <v>2808</v>
      </c>
      <c r="H20" s="7">
        <v>13</v>
      </c>
      <c r="I20" s="7">
        <v>13</v>
      </c>
      <c r="J20" s="7">
        <v>1.5</v>
      </c>
      <c r="K20" s="9">
        <f>I20*J20*R20</f>
        <v>214574.09999999998</v>
      </c>
      <c r="L20" s="7"/>
      <c r="M20" s="7"/>
      <c r="N20" s="9"/>
      <c r="O20" s="7"/>
      <c r="P20" s="7"/>
      <c r="Q20" s="9"/>
      <c r="R20" s="365">
        <v>11003.8</v>
      </c>
      <c r="S20" s="375" t="s">
        <v>2807</v>
      </c>
    </row>
    <row r="21" spans="1:19" ht="18" customHeight="1"/>
    <row r="22" spans="1:19" ht="18" customHeight="1"/>
    <row r="23" spans="1:19" ht="18" customHeight="1" thickBot="1"/>
    <row r="24" spans="1:19" ht="22.05" customHeight="1">
      <c r="A24" s="397" t="s">
        <v>37</v>
      </c>
      <c r="B24" s="397"/>
      <c r="C24" s="397"/>
      <c r="D24" s="397"/>
      <c r="E24" s="397"/>
      <c r="F24" s="397"/>
      <c r="G24" s="397"/>
      <c r="H24" s="397"/>
      <c r="I24" s="397"/>
      <c r="J24" s="397"/>
      <c r="K24" s="397"/>
      <c r="L24" s="397"/>
      <c r="M24" s="397"/>
      <c r="N24" s="397"/>
      <c r="O24" s="397"/>
      <c r="P24" s="397"/>
      <c r="Q24" s="397"/>
      <c r="R24" s="397"/>
      <c r="S24" s="397"/>
    </row>
    <row r="25" spans="1:19" ht="19.95" customHeight="1">
      <c r="A25" s="398" t="s">
        <v>38</v>
      </c>
      <c r="B25" s="398"/>
      <c r="C25" s="398"/>
      <c r="D25" s="398"/>
      <c r="E25" s="398"/>
      <c r="F25" s="398"/>
      <c r="G25" s="398"/>
      <c r="H25" s="398"/>
      <c r="I25" s="398"/>
      <c r="J25" s="398"/>
      <c r="K25" s="398"/>
      <c r="L25" s="398"/>
      <c r="M25" s="398"/>
      <c r="N25" s="398"/>
      <c r="O25" s="398"/>
      <c r="P25" s="398"/>
      <c r="Q25" s="398"/>
      <c r="R25" s="398"/>
      <c r="S25" s="398"/>
    </row>
    <row r="26" spans="1:19" ht="19.95" customHeight="1">
      <c r="A26" s="399" t="s">
        <v>39</v>
      </c>
      <c r="B26" s="399"/>
      <c r="C26" s="399"/>
      <c r="D26" s="399"/>
      <c r="E26" s="399"/>
      <c r="F26" s="399"/>
      <c r="G26" s="399"/>
      <c r="H26" s="399"/>
      <c r="I26" s="399"/>
      <c r="J26" s="399"/>
      <c r="K26" s="399"/>
      <c r="L26" s="399"/>
      <c r="M26" s="399"/>
      <c r="N26" s="399"/>
      <c r="O26" s="399"/>
      <c r="P26" s="399"/>
      <c r="Q26" s="399"/>
      <c r="R26" s="399"/>
      <c r="S26" s="399"/>
    </row>
    <row r="27" spans="1:19" ht="19.95" customHeight="1">
      <c r="A27" s="399" t="s">
        <v>40</v>
      </c>
      <c r="B27" s="399"/>
      <c r="C27" s="399"/>
      <c r="D27" s="399"/>
      <c r="E27" s="399"/>
      <c r="F27" s="399"/>
      <c r="G27" s="399"/>
      <c r="H27" s="399"/>
      <c r="I27" s="399"/>
      <c r="J27" s="399"/>
      <c r="K27" s="399"/>
      <c r="L27" s="399"/>
      <c r="M27" s="399"/>
      <c r="N27" s="399"/>
      <c r="O27" s="399"/>
      <c r="P27" s="399"/>
      <c r="Q27" s="399"/>
      <c r="R27" s="399"/>
      <c r="S27" s="399"/>
    </row>
    <row r="28" spans="1:19" ht="19.95" customHeight="1">
      <c r="A28" s="396" t="s">
        <v>41</v>
      </c>
      <c r="B28" s="396"/>
      <c r="C28" s="396"/>
      <c r="D28" s="396"/>
      <c r="E28" s="396"/>
      <c r="F28" s="396"/>
      <c r="G28" s="396"/>
      <c r="H28" s="396"/>
      <c r="I28" s="396"/>
      <c r="J28" s="396"/>
      <c r="K28" s="396"/>
      <c r="L28" s="396"/>
      <c r="M28" s="396"/>
      <c r="N28" s="396"/>
      <c r="O28" s="396"/>
      <c r="P28" s="396"/>
      <c r="Q28" s="396"/>
      <c r="R28" s="396"/>
      <c r="S28" s="396"/>
    </row>
    <row r="29" spans="1:19" ht="19.95" customHeight="1">
      <c r="A29" s="396" t="s">
        <v>42</v>
      </c>
      <c r="B29" s="396"/>
      <c r="C29" s="396"/>
      <c r="D29" s="396"/>
      <c r="E29" s="396"/>
      <c r="F29" s="396"/>
      <c r="G29" s="396"/>
      <c r="H29" s="396"/>
      <c r="I29" s="396"/>
      <c r="J29" s="396"/>
      <c r="K29" s="396"/>
      <c r="L29" s="396"/>
      <c r="M29" s="396"/>
      <c r="N29" s="396"/>
      <c r="O29" s="396"/>
      <c r="P29" s="396"/>
      <c r="Q29" s="396"/>
      <c r="R29" s="396"/>
      <c r="S29" s="396"/>
    </row>
    <row r="30" spans="1:19" ht="19.95" customHeight="1">
      <c r="A30" s="396" t="s">
        <v>43</v>
      </c>
      <c r="B30" s="396"/>
      <c r="C30" s="396"/>
      <c r="D30" s="396"/>
      <c r="E30" s="396"/>
      <c r="F30" s="396"/>
      <c r="G30" s="396"/>
      <c r="H30" s="396"/>
      <c r="I30" s="396"/>
      <c r="J30" s="396"/>
      <c r="K30" s="396"/>
      <c r="L30" s="396"/>
      <c r="M30" s="396"/>
      <c r="N30" s="396"/>
      <c r="O30" s="396"/>
      <c r="P30" s="396"/>
      <c r="Q30" s="396"/>
      <c r="R30" s="396"/>
      <c r="S30" s="396"/>
    </row>
    <row r="31" spans="1:19" ht="12" customHeight="1"/>
    <row r="32" spans="1:19" ht="22.05" customHeight="1">
      <c r="A32" s="400" t="s">
        <v>44</v>
      </c>
      <c r="B32" s="400"/>
      <c r="C32" s="400"/>
      <c r="D32" s="400"/>
      <c r="E32" s="400"/>
      <c r="F32" s="400"/>
      <c r="G32" s="400"/>
      <c r="H32" s="400"/>
      <c r="I32" s="400"/>
      <c r="J32" s="400"/>
      <c r="K32" s="400"/>
      <c r="L32" s="400"/>
      <c r="M32" s="400"/>
      <c r="N32" s="400"/>
      <c r="O32" s="400"/>
      <c r="P32" s="400"/>
      <c r="Q32" s="400"/>
      <c r="R32" s="400"/>
      <c r="S32" s="400"/>
    </row>
    <row r="33" spans="1:19" ht="19.95" customHeight="1">
      <c r="A33" s="398" t="s">
        <v>45</v>
      </c>
      <c r="B33" s="398"/>
      <c r="C33" s="398"/>
      <c r="D33" s="398"/>
      <c r="E33" s="398"/>
      <c r="F33" s="398"/>
      <c r="G33" s="398"/>
      <c r="H33" s="398"/>
      <c r="I33" s="398"/>
      <c r="J33" s="398"/>
      <c r="K33" s="398"/>
      <c r="L33" s="398"/>
      <c r="M33" s="398"/>
      <c r="N33" s="398"/>
      <c r="O33" s="398"/>
      <c r="P33" s="398"/>
      <c r="Q33" s="398"/>
      <c r="R33" s="398"/>
      <c r="S33" s="398"/>
    </row>
    <row r="34" spans="1:19" ht="19.95" customHeight="1">
      <c r="A34" s="399" t="s">
        <v>39</v>
      </c>
      <c r="B34" s="399"/>
      <c r="C34" s="399"/>
      <c r="D34" s="399"/>
      <c r="E34" s="399"/>
      <c r="F34" s="399"/>
      <c r="G34" s="399"/>
      <c r="H34" s="399"/>
      <c r="I34" s="399"/>
      <c r="J34" s="399"/>
      <c r="K34" s="399"/>
      <c r="L34" s="399"/>
      <c r="M34" s="399"/>
      <c r="N34" s="399"/>
      <c r="O34" s="399"/>
      <c r="P34" s="399"/>
      <c r="Q34" s="399"/>
      <c r="R34" s="399"/>
      <c r="S34" s="399"/>
    </row>
    <row r="35" spans="1:19" ht="19.95" customHeight="1">
      <c r="A35" s="399" t="s">
        <v>46</v>
      </c>
      <c r="B35" s="399"/>
      <c r="C35" s="399"/>
      <c r="D35" s="399"/>
      <c r="E35" s="399"/>
      <c r="F35" s="399"/>
      <c r="G35" s="399"/>
      <c r="H35" s="399"/>
      <c r="I35" s="399"/>
      <c r="J35" s="399"/>
      <c r="K35" s="399"/>
      <c r="L35" s="399"/>
      <c r="M35" s="399"/>
      <c r="N35" s="399"/>
      <c r="O35" s="399"/>
      <c r="P35" s="399"/>
      <c r="Q35" s="399"/>
      <c r="R35" s="399"/>
      <c r="S35" s="399"/>
    </row>
    <row r="36" spans="1:19" ht="19.95" customHeight="1">
      <c r="A36" s="396" t="s">
        <v>41</v>
      </c>
      <c r="B36" s="396"/>
      <c r="C36" s="396"/>
      <c r="D36" s="396"/>
      <c r="E36" s="396"/>
      <c r="F36" s="396"/>
      <c r="G36" s="396"/>
      <c r="H36" s="396"/>
      <c r="I36" s="396"/>
      <c r="J36" s="396"/>
      <c r="K36" s="396"/>
      <c r="L36" s="396"/>
      <c r="M36" s="396"/>
      <c r="N36" s="396"/>
      <c r="O36" s="396"/>
      <c r="P36" s="396"/>
      <c r="Q36" s="396"/>
      <c r="R36" s="396"/>
      <c r="S36" s="396"/>
    </row>
    <row r="37" spans="1:19" ht="19.95" customHeight="1">
      <c r="A37" s="396" t="s">
        <v>47</v>
      </c>
      <c r="B37" s="396"/>
      <c r="C37" s="396"/>
      <c r="D37" s="396"/>
      <c r="E37" s="396"/>
      <c r="F37" s="396"/>
      <c r="G37" s="396"/>
      <c r="H37" s="396"/>
      <c r="I37" s="396"/>
      <c r="J37" s="396"/>
      <c r="K37" s="396"/>
      <c r="L37" s="396"/>
      <c r="M37" s="396"/>
      <c r="N37" s="396"/>
      <c r="O37" s="396"/>
      <c r="P37" s="396"/>
      <c r="Q37" s="396"/>
      <c r="R37" s="396"/>
      <c r="S37" s="396"/>
    </row>
    <row r="38" spans="1:19" ht="19.95" customHeight="1">
      <c r="A38" s="396" t="s">
        <v>48</v>
      </c>
      <c r="B38" s="396"/>
      <c r="C38" s="396"/>
      <c r="D38" s="396"/>
      <c r="E38" s="396"/>
      <c r="F38" s="396"/>
      <c r="G38" s="396"/>
      <c r="H38" s="396"/>
      <c r="I38" s="396"/>
      <c r="J38" s="396"/>
      <c r="K38" s="396"/>
      <c r="L38" s="396"/>
      <c r="M38" s="396"/>
      <c r="N38" s="396"/>
      <c r="O38" s="396"/>
      <c r="P38" s="396"/>
      <c r="Q38" s="396"/>
      <c r="R38" s="396"/>
      <c r="S38" s="396"/>
    </row>
    <row r="39" spans="1:19" ht="12" customHeight="1"/>
    <row r="40" spans="1:19" ht="22.05" customHeight="1">
      <c r="A40" s="400" t="s">
        <v>49</v>
      </c>
      <c r="B40" s="400"/>
      <c r="C40" s="400"/>
      <c r="D40" s="400"/>
      <c r="E40" s="400"/>
      <c r="F40" s="400"/>
      <c r="G40" s="400"/>
      <c r="H40" s="400"/>
      <c r="I40" s="400"/>
      <c r="J40" s="400"/>
      <c r="K40" s="400"/>
      <c r="L40" s="400"/>
      <c r="M40" s="400"/>
      <c r="N40" s="400"/>
      <c r="O40" s="400"/>
      <c r="P40" s="400"/>
      <c r="Q40" s="400"/>
      <c r="R40" s="400"/>
      <c r="S40" s="400"/>
    </row>
    <row r="41" spans="1:19" ht="19.95" customHeight="1">
      <c r="A41" s="398" t="s">
        <v>50</v>
      </c>
      <c r="B41" s="398"/>
      <c r="C41" s="398"/>
      <c r="D41" s="398"/>
      <c r="E41" s="398"/>
      <c r="F41" s="398"/>
      <c r="G41" s="398"/>
      <c r="H41" s="398"/>
      <c r="I41" s="398"/>
      <c r="J41" s="398"/>
      <c r="K41" s="398"/>
      <c r="L41" s="398"/>
      <c r="M41" s="398"/>
      <c r="N41" s="398"/>
      <c r="O41" s="398"/>
      <c r="P41" s="398"/>
      <c r="Q41" s="398"/>
      <c r="R41" s="398"/>
      <c r="S41" s="398"/>
    </row>
    <row r="42" spans="1:19" ht="19.95" customHeight="1">
      <c r="A42" s="399" t="s">
        <v>39</v>
      </c>
      <c r="B42" s="399"/>
      <c r="C42" s="399"/>
      <c r="D42" s="399"/>
      <c r="E42" s="399"/>
      <c r="F42" s="399"/>
      <c r="G42" s="399"/>
      <c r="H42" s="399"/>
      <c r="I42" s="399"/>
      <c r="J42" s="399"/>
      <c r="K42" s="399"/>
      <c r="L42" s="399"/>
      <c r="M42" s="399"/>
      <c r="N42" s="399"/>
      <c r="O42" s="399"/>
      <c r="P42" s="399"/>
      <c r="Q42" s="399"/>
      <c r="R42" s="399"/>
      <c r="S42" s="399"/>
    </row>
    <row r="43" spans="1:19" ht="19.95" customHeight="1">
      <c r="A43" s="399" t="s">
        <v>46</v>
      </c>
      <c r="B43" s="399"/>
      <c r="C43" s="399"/>
      <c r="D43" s="399"/>
      <c r="E43" s="399"/>
      <c r="F43" s="399"/>
      <c r="G43" s="399"/>
      <c r="H43" s="399"/>
      <c r="I43" s="399"/>
      <c r="J43" s="399"/>
      <c r="K43" s="399"/>
      <c r="L43" s="399"/>
      <c r="M43" s="399"/>
      <c r="N43" s="399"/>
      <c r="O43" s="399"/>
      <c r="P43" s="399"/>
      <c r="Q43" s="399"/>
      <c r="R43" s="399"/>
      <c r="S43" s="399"/>
    </row>
    <row r="44" spans="1:19" ht="19.95" customHeight="1">
      <c r="A44" s="396" t="s">
        <v>41</v>
      </c>
      <c r="B44" s="396"/>
      <c r="C44" s="396"/>
      <c r="D44" s="396"/>
      <c r="E44" s="396"/>
      <c r="F44" s="396"/>
      <c r="G44" s="396"/>
      <c r="H44" s="396"/>
      <c r="I44" s="396"/>
      <c r="J44" s="396"/>
      <c r="K44" s="396"/>
      <c r="L44" s="396"/>
      <c r="M44" s="396"/>
      <c r="N44" s="396"/>
      <c r="O44" s="396"/>
      <c r="P44" s="396"/>
      <c r="Q44" s="396"/>
      <c r="R44" s="396"/>
      <c r="S44" s="396"/>
    </row>
    <row r="45" spans="1:19" ht="19.95" customHeight="1">
      <c r="A45" s="396" t="s">
        <v>47</v>
      </c>
      <c r="B45" s="396"/>
      <c r="C45" s="396"/>
      <c r="D45" s="396"/>
      <c r="E45" s="396"/>
      <c r="F45" s="396"/>
      <c r="G45" s="396"/>
      <c r="H45" s="396"/>
      <c r="I45" s="396"/>
      <c r="J45" s="396"/>
      <c r="K45" s="396"/>
      <c r="L45" s="396"/>
      <c r="M45" s="396"/>
      <c r="N45" s="396"/>
      <c r="O45" s="396"/>
      <c r="P45" s="396"/>
      <c r="Q45" s="396"/>
      <c r="R45" s="396"/>
      <c r="S45" s="396"/>
    </row>
    <row r="46" spans="1:19" ht="19.95" customHeight="1">
      <c r="A46" s="396" t="s">
        <v>48</v>
      </c>
      <c r="B46" s="396"/>
      <c r="C46" s="396"/>
      <c r="D46" s="396"/>
      <c r="E46" s="396"/>
      <c r="F46" s="396"/>
      <c r="G46" s="396"/>
      <c r="H46" s="396"/>
      <c r="I46" s="396"/>
      <c r="J46" s="396"/>
      <c r="K46" s="396"/>
      <c r="L46" s="396"/>
      <c r="M46" s="396"/>
      <c r="N46" s="396"/>
      <c r="O46" s="396"/>
      <c r="P46" s="396"/>
      <c r="Q46" s="396"/>
      <c r="R46" s="396"/>
      <c r="S46" s="396"/>
    </row>
    <row r="47" spans="1:19" ht="12" customHeight="1"/>
    <row r="48" spans="1:19" ht="22.05" customHeight="1">
      <c r="A48" s="400" t="s">
        <v>51</v>
      </c>
      <c r="B48" s="400"/>
      <c r="C48" s="400"/>
      <c r="D48" s="400"/>
      <c r="E48" s="400"/>
      <c r="F48" s="400"/>
      <c r="G48" s="400"/>
      <c r="H48" s="400"/>
      <c r="I48" s="400"/>
      <c r="J48" s="400"/>
      <c r="K48" s="400"/>
      <c r="L48" s="400"/>
      <c r="M48" s="400"/>
      <c r="N48" s="400"/>
      <c r="O48" s="400"/>
      <c r="P48" s="400"/>
      <c r="Q48" s="400"/>
      <c r="R48" s="400"/>
      <c r="S48" s="400"/>
    </row>
    <row r="49" spans="1:19" ht="19.95" customHeight="1">
      <c r="A49" s="398" t="s">
        <v>52</v>
      </c>
      <c r="B49" s="398"/>
      <c r="C49" s="398"/>
      <c r="D49" s="398"/>
      <c r="E49" s="398"/>
      <c r="F49" s="398"/>
      <c r="G49" s="398"/>
      <c r="H49" s="398"/>
      <c r="I49" s="398"/>
      <c r="J49" s="398"/>
      <c r="K49" s="398"/>
      <c r="L49" s="398"/>
      <c r="M49" s="398"/>
      <c r="N49" s="398"/>
      <c r="O49" s="398"/>
      <c r="P49" s="398"/>
      <c r="Q49" s="398"/>
      <c r="R49" s="398"/>
      <c r="S49" s="398"/>
    </row>
    <row r="50" spans="1:19" ht="19.95" customHeight="1">
      <c r="A50" s="399" t="s">
        <v>39</v>
      </c>
      <c r="B50" s="399"/>
      <c r="C50" s="399"/>
      <c r="D50" s="399"/>
      <c r="E50" s="399"/>
      <c r="F50" s="399"/>
      <c r="G50" s="399"/>
      <c r="H50" s="399"/>
      <c r="I50" s="399"/>
      <c r="J50" s="399"/>
      <c r="K50" s="399"/>
      <c r="L50" s="399"/>
      <c r="M50" s="399"/>
      <c r="N50" s="399"/>
      <c r="O50" s="399"/>
      <c r="P50" s="399"/>
      <c r="Q50" s="399"/>
      <c r="R50" s="399"/>
      <c r="S50" s="399"/>
    </row>
    <row r="51" spans="1:19" ht="19.95" customHeight="1">
      <c r="A51" s="399" t="s">
        <v>53</v>
      </c>
      <c r="B51" s="399"/>
      <c r="C51" s="399"/>
      <c r="D51" s="399"/>
      <c r="E51" s="399"/>
      <c r="F51" s="399"/>
      <c r="G51" s="399"/>
      <c r="H51" s="399"/>
      <c r="I51" s="399"/>
      <c r="J51" s="399"/>
      <c r="K51" s="399"/>
      <c r="L51" s="399"/>
      <c r="M51" s="399"/>
      <c r="N51" s="399"/>
      <c r="O51" s="399"/>
      <c r="P51" s="399"/>
      <c r="Q51" s="399"/>
      <c r="R51" s="399"/>
      <c r="S51" s="399"/>
    </row>
    <row r="52" spans="1:19" ht="19.95" customHeight="1">
      <c r="A52" s="396" t="s">
        <v>54</v>
      </c>
      <c r="B52" s="396"/>
      <c r="C52" s="396"/>
      <c r="D52" s="396"/>
      <c r="E52" s="396"/>
      <c r="F52" s="396"/>
      <c r="G52" s="396"/>
      <c r="H52" s="396"/>
      <c r="I52" s="396"/>
      <c r="J52" s="396"/>
      <c r="K52" s="396"/>
      <c r="L52" s="396"/>
      <c r="M52" s="396"/>
      <c r="N52" s="396"/>
      <c r="O52" s="396"/>
      <c r="P52" s="396"/>
      <c r="Q52" s="396"/>
      <c r="R52" s="396"/>
      <c r="S52" s="396"/>
    </row>
    <row r="53" spans="1:19" ht="19.95" customHeight="1">
      <c r="A53" s="396" t="s">
        <v>42</v>
      </c>
      <c r="B53" s="396"/>
      <c r="C53" s="396"/>
      <c r="D53" s="396"/>
      <c r="E53" s="396"/>
      <c r="F53" s="396"/>
      <c r="G53" s="396"/>
      <c r="H53" s="396"/>
      <c r="I53" s="396"/>
      <c r="J53" s="396"/>
      <c r="K53" s="396"/>
      <c r="L53" s="396"/>
      <c r="M53" s="396"/>
      <c r="N53" s="396"/>
      <c r="O53" s="396"/>
      <c r="P53" s="396"/>
      <c r="Q53" s="396"/>
      <c r="R53" s="396"/>
      <c r="S53" s="396"/>
    </row>
    <row r="54" spans="1:19" ht="19.95" customHeight="1">
      <c r="A54" s="396" t="s">
        <v>55</v>
      </c>
      <c r="B54" s="396"/>
      <c r="C54" s="396"/>
      <c r="D54" s="396"/>
      <c r="E54" s="396"/>
      <c r="F54" s="396"/>
      <c r="G54" s="396"/>
      <c r="H54" s="396"/>
      <c r="I54" s="396"/>
      <c r="J54" s="396"/>
      <c r="K54" s="396"/>
      <c r="L54" s="396"/>
      <c r="M54" s="396"/>
      <c r="N54" s="396"/>
      <c r="O54" s="396"/>
      <c r="P54" s="396"/>
      <c r="Q54" s="396"/>
      <c r="R54" s="396"/>
      <c r="S54" s="396"/>
    </row>
    <row r="55" spans="1:19" ht="12" customHeight="1"/>
    <row r="56" spans="1:19" ht="22.05" customHeight="1">
      <c r="A56" s="400" t="s">
        <v>56</v>
      </c>
      <c r="B56" s="400"/>
      <c r="C56" s="400"/>
      <c r="D56" s="400"/>
      <c r="E56" s="400"/>
      <c r="F56" s="400"/>
      <c r="G56" s="400"/>
      <c r="H56" s="400"/>
      <c r="I56" s="400"/>
      <c r="J56" s="400"/>
      <c r="K56" s="400"/>
      <c r="L56" s="400"/>
      <c r="M56" s="400"/>
      <c r="N56" s="400"/>
      <c r="O56" s="400"/>
      <c r="P56" s="400"/>
      <c r="Q56" s="400"/>
      <c r="R56" s="400"/>
      <c r="S56" s="400"/>
    </row>
    <row r="57" spans="1:19" ht="19.95" customHeight="1">
      <c r="A57" s="398" t="s">
        <v>57</v>
      </c>
      <c r="B57" s="398"/>
      <c r="C57" s="398"/>
      <c r="D57" s="398"/>
      <c r="E57" s="398"/>
      <c r="F57" s="398"/>
      <c r="G57" s="398"/>
      <c r="H57" s="398"/>
      <c r="I57" s="398"/>
      <c r="J57" s="398"/>
      <c r="K57" s="398"/>
      <c r="L57" s="398"/>
      <c r="M57" s="398"/>
      <c r="N57" s="398"/>
      <c r="O57" s="398"/>
      <c r="P57" s="398"/>
      <c r="Q57" s="398"/>
      <c r="R57" s="398"/>
      <c r="S57" s="398"/>
    </row>
    <row r="58" spans="1:19" ht="19.95" customHeight="1">
      <c r="A58" s="399" t="s">
        <v>39</v>
      </c>
      <c r="B58" s="399"/>
      <c r="C58" s="399"/>
      <c r="D58" s="399"/>
      <c r="E58" s="399"/>
      <c r="F58" s="399"/>
      <c r="G58" s="399"/>
      <c r="H58" s="399"/>
      <c r="I58" s="399"/>
      <c r="J58" s="399"/>
      <c r="K58" s="399"/>
      <c r="L58" s="399"/>
      <c r="M58" s="399"/>
      <c r="N58" s="399"/>
      <c r="O58" s="399"/>
      <c r="P58" s="399"/>
      <c r="Q58" s="399"/>
      <c r="R58" s="399"/>
      <c r="S58" s="399"/>
    </row>
    <row r="59" spans="1:19" ht="19.95" customHeight="1">
      <c r="A59" s="399" t="s">
        <v>58</v>
      </c>
      <c r="B59" s="399"/>
      <c r="C59" s="399"/>
      <c r="D59" s="399"/>
      <c r="E59" s="399"/>
      <c r="F59" s="399"/>
      <c r="G59" s="399"/>
      <c r="H59" s="399"/>
      <c r="I59" s="399"/>
      <c r="J59" s="399"/>
      <c r="K59" s="399"/>
      <c r="L59" s="399"/>
      <c r="M59" s="399"/>
      <c r="N59" s="399"/>
      <c r="O59" s="399"/>
      <c r="P59" s="399"/>
      <c r="Q59" s="399"/>
      <c r="R59" s="399"/>
      <c r="S59" s="399"/>
    </row>
    <row r="60" spans="1:19" ht="19.95" customHeight="1">
      <c r="A60" s="396" t="s">
        <v>54</v>
      </c>
      <c r="B60" s="396"/>
      <c r="C60" s="396"/>
      <c r="D60" s="396"/>
      <c r="E60" s="396"/>
      <c r="F60" s="396"/>
      <c r="G60" s="396"/>
      <c r="H60" s="396"/>
      <c r="I60" s="396"/>
      <c r="J60" s="396"/>
      <c r="K60" s="396"/>
      <c r="L60" s="396"/>
      <c r="M60" s="396"/>
      <c r="N60" s="396"/>
      <c r="O60" s="396"/>
      <c r="P60" s="396"/>
      <c r="Q60" s="396"/>
      <c r="R60" s="396"/>
      <c r="S60" s="396"/>
    </row>
    <row r="61" spans="1:19" ht="19.95" customHeight="1">
      <c r="A61" s="396" t="s">
        <v>59</v>
      </c>
      <c r="B61" s="396"/>
      <c r="C61" s="396"/>
      <c r="D61" s="396"/>
      <c r="E61" s="396"/>
      <c r="F61" s="396"/>
      <c r="G61" s="396"/>
      <c r="H61" s="396"/>
      <c r="I61" s="396"/>
      <c r="J61" s="396"/>
      <c r="K61" s="396"/>
      <c r="L61" s="396"/>
      <c r="M61" s="396"/>
      <c r="N61" s="396"/>
      <c r="O61" s="396"/>
      <c r="P61" s="396"/>
      <c r="Q61" s="396"/>
      <c r="R61" s="396"/>
      <c r="S61" s="396"/>
    </row>
    <row r="62" spans="1:19" ht="19.95" customHeight="1">
      <c r="A62" s="396" t="s">
        <v>60</v>
      </c>
      <c r="B62" s="396"/>
      <c r="C62" s="396"/>
      <c r="D62" s="396"/>
      <c r="E62" s="396"/>
      <c r="F62" s="396"/>
      <c r="G62" s="396"/>
      <c r="H62" s="396"/>
      <c r="I62" s="396"/>
      <c r="J62" s="396"/>
      <c r="K62" s="396"/>
      <c r="L62" s="396"/>
      <c r="M62" s="396"/>
      <c r="N62" s="396"/>
      <c r="O62" s="396"/>
      <c r="P62" s="396"/>
      <c r="Q62" s="396"/>
      <c r="R62" s="396"/>
      <c r="S62" s="396"/>
    </row>
    <row r="132" ht="18" customHeight="1"/>
  </sheetData>
  <mergeCells count="49">
    <mergeCell ref="S17:S19"/>
    <mergeCell ref="I18:K18"/>
    <mergeCell ref="L18:N18"/>
    <mergeCell ref="O18:Q18"/>
    <mergeCell ref="F17:F19"/>
    <mergeCell ref="G17:G19"/>
    <mergeCell ref="H17:H19"/>
    <mergeCell ref="I17:Q17"/>
    <mergeCell ref="R17:R19"/>
    <mergeCell ref="A17:A19"/>
    <mergeCell ref="B17:B19"/>
    <mergeCell ref="C17:C19"/>
    <mergeCell ref="D17:D19"/>
    <mergeCell ref="E17:E19"/>
    <mergeCell ref="A58:S58"/>
    <mergeCell ref="A59:S59"/>
    <mergeCell ref="A60:S60"/>
    <mergeCell ref="A61:S61"/>
    <mergeCell ref="A62:S62"/>
    <mergeCell ref="A57:S57"/>
    <mergeCell ref="A44:S44"/>
    <mergeCell ref="A45:S45"/>
    <mergeCell ref="A46:S46"/>
    <mergeCell ref="A48:S48"/>
    <mergeCell ref="A49:S49"/>
    <mergeCell ref="A50:S50"/>
    <mergeCell ref="A51:S51"/>
    <mergeCell ref="A52:S52"/>
    <mergeCell ref="A53:S53"/>
    <mergeCell ref="A54:S54"/>
    <mergeCell ref="A56:S56"/>
    <mergeCell ref="A43:S43"/>
    <mergeCell ref="A30:S30"/>
    <mergeCell ref="A32:S32"/>
    <mergeCell ref="A33:S33"/>
    <mergeCell ref="A34:S34"/>
    <mergeCell ref="A35:S35"/>
    <mergeCell ref="A36:S36"/>
    <mergeCell ref="A37:S37"/>
    <mergeCell ref="A38:S38"/>
    <mergeCell ref="A40:S40"/>
    <mergeCell ref="A41:S41"/>
    <mergeCell ref="A42:S42"/>
    <mergeCell ref="A29:S29"/>
    <mergeCell ref="A24:S24"/>
    <mergeCell ref="A25:S25"/>
    <mergeCell ref="A26:S26"/>
    <mergeCell ref="A27:S27"/>
    <mergeCell ref="A28:S28"/>
  </mergeCells>
  <phoneticPr fontId="14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2A72-100F-4BD5-9E68-74A8B25A09DF}">
  <dimension ref="A1:DM290"/>
  <sheetViews>
    <sheetView workbookViewId="0">
      <selection activeCell="F27" sqref="F27"/>
    </sheetView>
  </sheetViews>
  <sheetFormatPr defaultColWidth="9" defaultRowHeight="17.399999999999999"/>
  <cols>
    <col min="1" max="1" width="6.3984375" style="23" customWidth="1"/>
    <col min="2" max="2" width="11.69921875" style="23" customWidth="1"/>
    <col min="3" max="3" width="11.19921875" style="23" customWidth="1"/>
    <col min="4" max="4" width="18.09765625" style="201" customWidth="1"/>
    <col min="5" max="5" width="17.59765625" style="23" customWidth="1"/>
    <col min="6" max="6" width="11.19921875" style="23" customWidth="1"/>
    <col min="7" max="7" width="6.09765625" style="23" customWidth="1"/>
    <col min="8" max="8" width="9.8984375" style="23" customWidth="1"/>
    <col min="9" max="9" width="11.8984375" style="23" customWidth="1"/>
    <col min="10" max="10" width="12.296875" style="201" customWidth="1"/>
    <col min="11" max="11" width="20.8984375" style="78" customWidth="1"/>
    <col min="12" max="12" width="18.59765625" style="23" customWidth="1"/>
    <col min="13" max="13" width="14.69921875" style="23" customWidth="1"/>
    <col min="14" max="14" width="16.19921875" style="229" customWidth="1"/>
    <col min="15" max="15" width="24.09765625" style="241" customWidth="1"/>
    <col min="16" max="16" width="9.8984375" style="247" customWidth="1"/>
    <col min="17" max="17" width="15.09765625" style="23" bestFit="1" customWidth="1"/>
    <col min="18" max="18" width="12.59765625" style="23" bestFit="1" customWidth="1"/>
    <col min="19" max="19" width="13.3984375" style="23" customWidth="1"/>
    <col min="20" max="20" width="24.296875" style="201" bestFit="1" customWidth="1"/>
    <col min="21" max="21" width="17.8984375" style="201" customWidth="1"/>
    <col min="22" max="22" width="10.8984375" style="201" customWidth="1"/>
    <col min="23" max="25" width="16.296875" style="201" customWidth="1"/>
    <col min="26" max="26" width="15" style="78" customWidth="1"/>
    <col min="27" max="27" width="16.09765625" style="78" customWidth="1"/>
    <col min="28" max="28" width="12.5" style="305" customWidth="1"/>
    <col min="29" max="29" width="12.296875" style="305" customWidth="1"/>
    <col min="30" max="30" width="20.69921875" style="78" customWidth="1"/>
    <col min="31" max="31" width="13.59765625" style="78" customWidth="1"/>
    <col min="32" max="32" width="12.296875" style="78" customWidth="1"/>
    <col min="33" max="33" width="27.8984375" style="78" bestFit="1" customWidth="1"/>
    <col min="34" max="34" width="12.09765625" style="23" customWidth="1"/>
    <col min="35" max="35" width="15" style="23" customWidth="1"/>
    <col min="36" max="36" width="11.5" style="23" customWidth="1"/>
    <col min="37" max="37" width="9" style="23"/>
    <col min="38" max="38" width="65.3984375" style="78" customWidth="1"/>
    <col min="39" max="39" width="10.59765625" style="269" customWidth="1"/>
    <col min="40" max="40" width="92.8984375" style="78" bestFit="1" customWidth="1"/>
    <col min="41" max="41" width="19.5" style="78" customWidth="1"/>
    <col min="42" max="42" width="25" style="78" customWidth="1"/>
    <col min="43" max="43" width="22.5" style="201" customWidth="1"/>
    <col min="44" max="44" width="20.09765625" style="201" customWidth="1"/>
    <col min="45" max="45" width="48.296875" style="305" customWidth="1"/>
    <col min="46" max="46" width="12" style="23" customWidth="1"/>
    <col min="47" max="47" width="12.59765625" style="23" customWidth="1"/>
    <col min="48" max="48" width="17.09765625" style="78" customWidth="1"/>
    <col min="49" max="50" width="15" style="318" customWidth="1"/>
    <col min="51" max="51" width="8.5" style="23" bestFit="1" customWidth="1"/>
    <col min="52" max="52" width="12.69921875" style="78" customWidth="1"/>
    <col min="53" max="53" width="11.5" style="78" customWidth="1"/>
    <col min="54" max="54" width="12" style="78" customWidth="1"/>
    <col min="55" max="55" width="12" style="23" customWidth="1"/>
    <col min="56" max="58" width="16.69921875" style="78" customWidth="1"/>
    <col min="59" max="59" width="15" style="22" customWidth="1"/>
    <col min="60" max="60" width="15" style="78" customWidth="1"/>
    <col min="61" max="61" width="17.09765625" style="78" customWidth="1"/>
    <col min="62" max="62" width="13.09765625" style="78" bestFit="1" customWidth="1"/>
    <col min="63" max="64" width="13.69921875" style="78" customWidth="1"/>
    <col min="65" max="65" width="13.09765625" style="78" bestFit="1" customWidth="1"/>
    <col min="66" max="66" width="20.296875" style="78" customWidth="1"/>
    <col min="67" max="67" width="12.19921875" style="78" bestFit="1" customWidth="1"/>
    <col min="68" max="68" width="15.5" style="78" customWidth="1"/>
    <col min="69" max="69" width="15" style="78" customWidth="1"/>
    <col min="70" max="70" width="14.69921875" style="78" customWidth="1"/>
    <col min="71" max="72" width="15.09765625" style="78" customWidth="1"/>
    <col min="73" max="73" width="11.69921875" style="78" customWidth="1"/>
    <col min="74" max="74" width="14.19921875" style="78" customWidth="1"/>
    <col min="75" max="75" width="16" style="78" bestFit="1" customWidth="1"/>
    <col min="76" max="76" width="10.09765625" style="78" customWidth="1"/>
    <col min="77" max="77" width="14.09765625" style="78" customWidth="1"/>
    <col min="78" max="78" width="13.59765625" style="78" customWidth="1"/>
    <col min="79" max="79" width="11.5" style="78" customWidth="1"/>
    <col min="80" max="80" width="24.5" style="78" customWidth="1"/>
    <col min="81" max="81" width="26.09765625" style="351" customWidth="1"/>
    <col min="82" max="82" width="12.59765625" style="352" customWidth="1"/>
    <col min="83" max="83" width="13.09765625" style="77" bestFit="1" customWidth="1"/>
    <col min="84" max="84" width="13" style="77" customWidth="1"/>
    <col min="85" max="85" width="15.09765625" style="23" bestFit="1" customWidth="1"/>
    <col min="86" max="86" width="12.296875" style="23" customWidth="1"/>
    <col min="87" max="87" width="20.59765625" style="78" bestFit="1" customWidth="1"/>
    <col min="88" max="88" width="12.59765625" style="78" bestFit="1" customWidth="1"/>
    <col min="89" max="89" width="15.3984375" style="78" customWidth="1"/>
    <col min="90" max="90" width="11.3984375" style="78" customWidth="1"/>
    <col min="91" max="16384" width="9" style="78"/>
  </cols>
  <sheetData>
    <row r="1" spans="1:117" s="23" customFormat="1" ht="18.45" customHeight="1">
      <c r="A1" s="19">
        <f ca="1">TODAY()</f>
        <v>46161</v>
      </c>
      <c r="B1" s="20">
        <v>0.20899999999999999</v>
      </c>
      <c r="C1" s="21" t="s">
        <v>61</v>
      </c>
      <c r="D1" s="22">
        <v>10320</v>
      </c>
      <c r="E1" s="22"/>
      <c r="F1" s="23">
        <v>1</v>
      </c>
      <c r="G1" s="23">
        <v>2</v>
      </c>
      <c r="H1" s="23">
        <v>3</v>
      </c>
      <c r="I1" s="23">
        <v>4</v>
      </c>
      <c r="J1" s="23">
        <v>5</v>
      </c>
      <c r="K1" s="23">
        <v>6</v>
      </c>
      <c r="L1" s="23">
        <v>7</v>
      </c>
      <c r="M1" s="23">
        <v>8</v>
      </c>
      <c r="N1" s="23">
        <v>9</v>
      </c>
      <c r="O1" s="23">
        <v>10</v>
      </c>
      <c r="P1" s="23">
        <v>11</v>
      </c>
      <c r="Q1" s="23">
        <v>12</v>
      </c>
      <c r="R1" s="23">
        <v>13</v>
      </c>
      <c r="S1" s="23">
        <v>14</v>
      </c>
      <c r="T1" s="23">
        <v>15</v>
      </c>
      <c r="U1" s="23">
        <v>16</v>
      </c>
      <c r="V1" s="23">
        <v>17</v>
      </c>
      <c r="W1" s="23">
        <v>18</v>
      </c>
      <c r="X1" s="23">
        <v>19</v>
      </c>
      <c r="Y1" s="23">
        <v>20</v>
      </c>
      <c r="Z1" s="23">
        <v>21</v>
      </c>
      <c r="AA1" s="23">
        <v>22</v>
      </c>
      <c r="AB1" s="23">
        <v>23</v>
      </c>
      <c r="AC1" s="23">
        <v>24</v>
      </c>
      <c r="AD1" s="23">
        <v>25</v>
      </c>
      <c r="AE1" s="23">
        <v>26</v>
      </c>
      <c r="AF1" s="23">
        <v>27</v>
      </c>
      <c r="AG1" s="23">
        <v>28</v>
      </c>
      <c r="AH1" s="23">
        <v>29</v>
      </c>
      <c r="AI1" s="23">
        <v>30</v>
      </c>
      <c r="AJ1" s="23">
        <v>31</v>
      </c>
      <c r="AK1" s="23">
        <v>32</v>
      </c>
      <c r="AL1" s="23">
        <v>33</v>
      </c>
      <c r="AM1" s="23">
        <v>34</v>
      </c>
      <c r="AN1" s="23">
        <v>35</v>
      </c>
      <c r="AO1" s="23">
        <v>36</v>
      </c>
      <c r="AP1" s="23">
        <v>37</v>
      </c>
      <c r="AQ1" s="23">
        <v>38</v>
      </c>
      <c r="AR1" s="23">
        <v>39</v>
      </c>
      <c r="AS1" s="24">
        <v>40</v>
      </c>
      <c r="AT1" s="23">
        <v>41</v>
      </c>
      <c r="AU1" s="23">
        <v>42</v>
      </c>
      <c r="AV1" s="23">
        <v>43</v>
      </c>
      <c r="AW1" s="23">
        <v>44</v>
      </c>
      <c r="AX1" s="23">
        <v>45</v>
      </c>
      <c r="AY1" s="23">
        <v>46</v>
      </c>
      <c r="AZ1" s="23">
        <v>47</v>
      </c>
      <c r="BA1" s="23">
        <v>48</v>
      </c>
      <c r="BB1" s="23">
        <v>49</v>
      </c>
      <c r="BC1" s="23">
        <v>50</v>
      </c>
      <c r="BD1" s="23">
        <v>51</v>
      </c>
      <c r="BE1" s="23">
        <v>52</v>
      </c>
      <c r="BF1" s="23">
        <v>53</v>
      </c>
      <c r="BG1" s="23">
        <v>54</v>
      </c>
      <c r="BH1" s="23">
        <v>55</v>
      </c>
      <c r="BI1" s="23">
        <v>56</v>
      </c>
      <c r="BJ1" s="23">
        <v>57</v>
      </c>
      <c r="BK1" s="23">
        <v>58</v>
      </c>
      <c r="BL1" s="23">
        <v>59</v>
      </c>
      <c r="BM1" s="23">
        <v>60</v>
      </c>
      <c r="BN1" s="23">
        <v>61</v>
      </c>
      <c r="BO1" s="23">
        <v>62</v>
      </c>
      <c r="BP1" s="23">
        <v>63</v>
      </c>
      <c r="BQ1" s="23">
        <v>64</v>
      </c>
      <c r="BR1" s="23">
        <v>65</v>
      </c>
      <c r="BS1" s="23">
        <v>66</v>
      </c>
      <c r="BT1" s="23">
        <v>67</v>
      </c>
      <c r="BU1" s="23">
        <v>68</v>
      </c>
      <c r="BV1" s="23">
        <v>69</v>
      </c>
      <c r="BW1" s="23">
        <v>70</v>
      </c>
      <c r="BX1" s="23">
        <v>71</v>
      </c>
      <c r="BY1" s="23">
        <v>72</v>
      </c>
      <c r="BZ1" s="23">
        <v>73</v>
      </c>
      <c r="CA1" s="23">
        <v>74</v>
      </c>
      <c r="CB1" s="23">
        <v>75</v>
      </c>
      <c r="CC1" s="23">
        <v>76</v>
      </c>
      <c r="CD1" s="23">
        <v>77</v>
      </c>
      <c r="CE1" s="23">
        <v>78</v>
      </c>
      <c r="CF1" s="23">
        <v>79</v>
      </c>
      <c r="CG1" s="23">
        <v>80</v>
      </c>
      <c r="CH1" s="23">
        <v>81</v>
      </c>
      <c r="CI1" s="23">
        <v>82</v>
      </c>
    </row>
    <row r="2" spans="1:117" s="31" customFormat="1" ht="49.5" customHeight="1">
      <c r="A2" s="25" t="s">
        <v>62</v>
      </c>
      <c r="B2" s="26" t="s">
        <v>63</v>
      </c>
      <c r="C2" s="27" t="s">
        <v>64</v>
      </c>
      <c r="D2" s="27" t="s">
        <v>65</v>
      </c>
      <c r="E2" s="27" t="s">
        <v>66</v>
      </c>
      <c r="F2" s="28" t="s">
        <v>67</v>
      </c>
      <c r="G2" s="29" t="s">
        <v>68</v>
      </c>
      <c r="H2" s="28" t="s">
        <v>69</v>
      </c>
      <c r="I2" s="30" t="s">
        <v>70</v>
      </c>
      <c r="J2" s="30" t="s">
        <v>71</v>
      </c>
      <c r="K2" s="28" t="s">
        <v>72</v>
      </c>
      <c r="L2" s="31" t="s">
        <v>73</v>
      </c>
      <c r="M2" s="31" t="s">
        <v>74</v>
      </c>
      <c r="N2" s="32" t="s">
        <v>75</v>
      </c>
      <c r="O2" s="31" t="s">
        <v>76</v>
      </c>
      <c r="P2" s="33" t="s">
        <v>77</v>
      </c>
      <c r="Q2" s="34" t="s">
        <v>78</v>
      </c>
      <c r="R2" s="31" t="s">
        <v>79</v>
      </c>
      <c r="S2" s="26" t="s">
        <v>80</v>
      </c>
      <c r="T2" s="32" t="s">
        <v>81</v>
      </c>
      <c r="U2" s="31" t="s">
        <v>82</v>
      </c>
      <c r="V2" s="31" t="s">
        <v>83</v>
      </c>
      <c r="W2" s="32" t="s">
        <v>84</v>
      </c>
      <c r="X2" s="31" t="s">
        <v>85</v>
      </c>
      <c r="Y2" s="31" t="s">
        <v>86</v>
      </c>
      <c r="Z2" s="31" t="s">
        <v>87</v>
      </c>
      <c r="AA2" s="31" t="s">
        <v>88</v>
      </c>
      <c r="AB2" s="35" t="s">
        <v>89</v>
      </c>
      <c r="AC2" s="36" t="s">
        <v>90</v>
      </c>
      <c r="AD2" s="31" t="s">
        <v>91</v>
      </c>
      <c r="AE2" s="31" t="s">
        <v>92</v>
      </c>
      <c r="AF2" s="37" t="s">
        <v>93</v>
      </c>
      <c r="AG2" s="37" t="s">
        <v>94</v>
      </c>
      <c r="AH2" s="38" t="s">
        <v>95</v>
      </c>
      <c r="AI2" s="38" t="s">
        <v>96</v>
      </c>
      <c r="AJ2" s="31" t="s">
        <v>97</v>
      </c>
      <c r="AK2" s="31" t="s">
        <v>98</v>
      </c>
      <c r="AL2" s="31" t="s">
        <v>99</v>
      </c>
      <c r="AM2" s="39" t="s">
        <v>100</v>
      </c>
      <c r="AN2" s="31" t="s">
        <v>101</v>
      </c>
      <c r="AO2" s="28" t="s">
        <v>102</v>
      </c>
      <c r="AP2" s="31" t="s">
        <v>103</v>
      </c>
      <c r="AQ2" s="31" t="s">
        <v>104</v>
      </c>
      <c r="AR2" s="31" t="s">
        <v>105</v>
      </c>
      <c r="AS2" s="40" t="s">
        <v>106</v>
      </c>
      <c r="AT2" s="38" t="s">
        <v>107</v>
      </c>
      <c r="AU2" s="27" t="s">
        <v>108</v>
      </c>
      <c r="AV2" s="27" t="s">
        <v>109</v>
      </c>
      <c r="AW2" s="41" t="s">
        <v>110</v>
      </c>
      <c r="AX2" s="42" t="s">
        <v>111</v>
      </c>
      <c r="AY2" s="43" t="s">
        <v>112</v>
      </c>
      <c r="AZ2" s="26" t="s">
        <v>113</v>
      </c>
      <c r="BA2" s="26" t="s">
        <v>114</v>
      </c>
      <c r="BB2" s="26" t="s">
        <v>115</v>
      </c>
      <c r="BC2" s="26" t="s">
        <v>116</v>
      </c>
      <c r="BD2" s="26" t="s">
        <v>117</v>
      </c>
      <c r="BE2" s="26" t="s">
        <v>118</v>
      </c>
      <c r="BF2" s="44" t="s">
        <v>119</v>
      </c>
      <c r="BG2" s="45" t="s">
        <v>120</v>
      </c>
      <c r="BH2" s="44" t="s">
        <v>121</v>
      </c>
      <c r="BI2" s="45" t="s">
        <v>10</v>
      </c>
      <c r="BJ2" s="45" t="s">
        <v>122</v>
      </c>
      <c r="BK2" s="45" t="s">
        <v>123</v>
      </c>
      <c r="BL2" s="45" t="s">
        <v>124</v>
      </c>
      <c r="BM2" s="45" t="s">
        <v>125</v>
      </c>
      <c r="BN2" s="45" t="s">
        <v>126</v>
      </c>
      <c r="BO2" s="45" t="s">
        <v>127</v>
      </c>
      <c r="BP2" s="45" t="s">
        <v>128</v>
      </c>
      <c r="BQ2" s="26" t="s">
        <v>129</v>
      </c>
      <c r="BR2" s="26" t="s">
        <v>130</v>
      </c>
      <c r="BS2" s="46" t="s">
        <v>131</v>
      </c>
      <c r="BT2" s="46" t="s">
        <v>132</v>
      </c>
      <c r="BU2" s="47" t="s">
        <v>133</v>
      </c>
      <c r="BV2" s="47" t="s">
        <v>134</v>
      </c>
      <c r="BW2" s="47" t="s">
        <v>135</v>
      </c>
      <c r="BX2" s="47" t="s">
        <v>136</v>
      </c>
      <c r="BY2" s="26" t="s">
        <v>137</v>
      </c>
      <c r="BZ2" s="46" t="s">
        <v>138</v>
      </c>
      <c r="CA2" s="47" t="s">
        <v>139</v>
      </c>
      <c r="CB2" s="45" t="s">
        <v>140</v>
      </c>
      <c r="CC2" s="48" t="s">
        <v>141</v>
      </c>
      <c r="CD2" s="49" t="s">
        <v>142</v>
      </c>
      <c r="CE2" s="50" t="s">
        <v>143</v>
      </c>
      <c r="CF2" s="50" t="s">
        <v>144</v>
      </c>
      <c r="CG2" s="31" t="s">
        <v>145</v>
      </c>
      <c r="CH2" s="31" t="s">
        <v>146</v>
      </c>
      <c r="CI2" s="26" t="s">
        <v>147</v>
      </c>
    </row>
    <row r="3" spans="1:117" ht="17.25" customHeight="1">
      <c r="A3" s="51"/>
      <c r="B3" s="51"/>
      <c r="C3" s="52"/>
      <c r="D3" s="53" t="s">
        <v>148</v>
      </c>
      <c r="E3" s="54" t="s">
        <v>149</v>
      </c>
      <c r="F3" s="55"/>
      <c r="G3" s="54"/>
      <c r="H3" s="54" t="s">
        <v>150</v>
      </c>
      <c r="I3" s="54" t="s">
        <v>151</v>
      </c>
      <c r="J3" s="53" t="s">
        <v>152</v>
      </c>
      <c r="K3" s="56" t="s">
        <v>153</v>
      </c>
      <c r="L3" s="54" t="s">
        <v>154</v>
      </c>
      <c r="M3" s="54"/>
      <c r="N3" s="57" t="s">
        <v>155</v>
      </c>
      <c r="O3" s="58" t="s">
        <v>156</v>
      </c>
      <c r="P3" s="59" t="s">
        <v>157</v>
      </c>
      <c r="Q3" s="60">
        <v>37304</v>
      </c>
      <c r="R3" s="60">
        <v>43586</v>
      </c>
      <c r="S3" s="60"/>
      <c r="T3" s="61" t="s">
        <v>158</v>
      </c>
      <c r="U3" s="61" t="s">
        <v>159</v>
      </c>
      <c r="V3" s="62"/>
      <c r="W3" s="63"/>
      <c r="X3" s="63"/>
      <c r="Y3" s="63"/>
      <c r="Z3" s="64">
        <f t="shared" ref="Z3:Z9" ca="1" si="0">IF(Q3&lt;&gt;"",$A$1-Q3,"")</f>
        <v>8857</v>
      </c>
      <c r="AA3" s="64">
        <f t="shared" ref="AA3:AA70" ca="1" si="1">$A$1-R3</f>
        <v>2575</v>
      </c>
      <c r="AB3" s="65">
        <v>46387</v>
      </c>
      <c r="AC3" s="65"/>
      <c r="AD3" s="66"/>
      <c r="AE3" s="66"/>
      <c r="AF3" s="66" t="s">
        <v>160</v>
      </c>
      <c r="AG3" s="66" t="s">
        <v>160</v>
      </c>
      <c r="AH3" s="51" t="s">
        <v>161</v>
      </c>
      <c r="AI3" s="51" t="s">
        <v>162</v>
      </c>
      <c r="AJ3" s="51"/>
      <c r="AK3" s="51">
        <v>13486</v>
      </c>
      <c r="AL3" s="66" t="s">
        <v>163</v>
      </c>
      <c r="AM3" s="67" t="s">
        <v>164</v>
      </c>
      <c r="AN3" s="56" t="s">
        <v>165</v>
      </c>
      <c r="AO3" s="66" t="s">
        <v>166</v>
      </c>
      <c r="AP3" s="66" t="s">
        <v>167</v>
      </c>
      <c r="AQ3" s="62" t="s">
        <v>168</v>
      </c>
      <c r="AR3" s="62" t="s">
        <v>169</v>
      </c>
      <c r="AS3" s="68" t="s">
        <v>170</v>
      </c>
      <c r="AT3" s="51"/>
      <c r="AU3" s="51" t="s">
        <v>171</v>
      </c>
      <c r="AV3" s="51" t="s">
        <v>172</v>
      </c>
      <c r="AW3" s="69">
        <v>1500000</v>
      </c>
      <c r="AX3" s="70">
        <v>1500000</v>
      </c>
      <c r="AY3" s="71">
        <v>12</v>
      </c>
      <c r="AZ3" s="70">
        <f t="shared" ref="AZ3:AZ70" si="2">AX3*AY3</f>
        <v>18000000</v>
      </c>
      <c r="BA3" s="70">
        <v>1000000</v>
      </c>
      <c r="BB3" s="70">
        <v>1000000</v>
      </c>
      <c r="BC3" s="60">
        <v>43586</v>
      </c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72" t="str">
        <f t="shared" ref="BW3:BW9" si="3">IF((BB3-BB3*$B$1)&lt;800000,"해당없음",ROUNDDOWN(IF(BB3-BB3*$B$1&lt;1330000,1330000*0.016/2,(BB3-BB3*$B$1)*(0.016/2)),-1))</f>
        <v>해당없음</v>
      </c>
      <c r="BX3" s="73">
        <f t="shared" ref="BX3:BX9" si="4">ROUNDDOWN((BB3-BB3*$B$1)*(0.28%),-1)</f>
        <v>2210</v>
      </c>
      <c r="BY3" s="70">
        <f t="shared" ref="BY3:BY9" si="5">BB3</f>
        <v>1000000</v>
      </c>
      <c r="BZ3" s="66"/>
      <c r="CA3" s="66"/>
      <c r="CB3" s="74">
        <f>IF(BW3="해당없음", (BB3+BX3)*AY3, BB3*AY3+(BW3+BX3)*AY3)</f>
        <v>12026520</v>
      </c>
      <c r="CC3" s="75">
        <f t="shared" ref="CC3:CC15" si="6">AZ3-CB3</f>
        <v>5973480</v>
      </c>
      <c r="CD3" s="76">
        <f t="shared" ref="CD3:CD70" si="7">IFERROR((CC3/AZ3)*100,0)</f>
        <v>33.186</v>
      </c>
      <c r="DL3" s="79"/>
      <c r="DM3" s="79"/>
    </row>
    <row r="4" spans="1:117" ht="17.25" customHeight="1">
      <c r="A4" s="80">
        <v>1</v>
      </c>
      <c r="B4" s="81"/>
      <c r="C4" s="82">
        <v>2023501</v>
      </c>
      <c r="D4" s="83" t="s">
        <v>173</v>
      </c>
      <c r="E4" s="81" t="s">
        <v>174</v>
      </c>
      <c r="F4" s="81" t="s">
        <v>175</v>
      </c>
      <c r="G4" s="81" t="s">
        <v>176</v>
      </c>
      <c r="H4" s="81" t="s">
        <v>177</v>
      </c>
      <c r="I4" s="81" t="s">
        <v>151</v>
      </c>
      <c r="J4" s="83" t="s">
        <v>178</v>
      </c>
      <c r="K4" s="84" t="s">
        <v>179</v>
      </c>
      <c r="L4" s="85" t="s">
        <v>180</v>
      </c>
      <c r="M4" s="81" t="s">
        <v>181</v>
      </c>
      <c r="N4" s="86" t="s">
        <v>182</v>
      </c>
      <c r="O4" s="87" t="s">
        <v>183</v>
      </c>
      <c r="P4" s="88" t="s">
        <v>184</v>
      </c>
      <c r="Q4" s="89">
        <v>37865</v>
      </c>
      <c r="R4" s="89">
        <v>44937</v>
      </c>
      <c r="S4" s="89"/>
      <c r="T4" s="90" t="s">
        <v>185</v>
      </c>
      <c r="U4" s="91"/>
      <c r="V4" s="92" t="s">
        <v>186</v>
      </c>
      <c r="W4" s="90" t="s">
        <v>187</v>
      </c>
      <c r="X4" s="91" t="s">
        <v>188</v>
      </c>
      <c r="Y4" s="91"/>
      <c r="Z4" s="93">
        <f t="shared" ca="1" si="0"/>
        <v>8296</v>
      </c>
      <c r="AA4" s="93">
        <f t="shared" ca="1" si="1"/>
        <v>1224</v>
      </c>
      <c r="AB4" s="94">
        <v>46203</v>
      </c>
      <c r="AC4" s="95"/>
      <c r="AD4" s="96" t="s">
        <v>189</v>
      </c>
      <c r="AE4" s="84" t="s">
        <v>190</v>
      </c>
      <c r="AF4" s="96" t="s">
        <v>191</v>
      </c>
      <c r="AG4" s="96" t="s">
        <v>191</v>
      </c>
      <c r="AH4" s="80" t="s">
        <v>161</v>
      </c>
      <c r="AI4" s="80" t="s">
        <v>192</v>
      </c>
      <c r="AJ4" s="80"/>
      <c r="AK4" s="97" t="s">
        <v>193</v>
      </c>
      <c r="AL4" s="84" t="s">
        <v>194</v>
      </c>
      <c r="AM4" s="98" t="s">
        <v>195</v>
      </c>
      <c r="AN4" s="84" t="s">
        <v>196</v>
      </c>
      <c r="AO4" s="99" t="s">
        <v>197</v>
      </c>
      <c r="AP4" s="96" t="s">
        <v>198</v>
      </c>
      <c r="AQ4" s="92" t="s">
        <v>199</v>
      </c>
      <c r="AR4" s="92"/>
      <c r="AS4" s="100" t="s">
        <v>200</v>
      </c>
      <c r="AT4" s="80" t="s">
        <v>201</v>
      </c>
      <c r="AU4" s="80" t="s">
        <v>171</v>
      </c>
      <c r="AV4" s="80" t="s">
        <v>172</v>
      </c>
      <c r="AW4" s="101">
        <v>6488000</v>
      </c>
      <c r="AX4" s="102">
        <v>6488000</v>
      </c>
      <c r="AY4" s="103">
        <v>12</v>
      </c>
      <c r="AZ4" s="102">
        <f t="shared" si="2"/>
        <v>77856000</v>
      </c>
      <c r="BA4" s="104">
        <v>4800000</v>
      </c>
      <c r="BB4" s="102">
        <v>4900000</v>
      </c>
      <c r="BC4" s="105">
        <v>45839</v>
      </c>
      <c r="BD4" s="96"/>
      <c r="BE4" s="96"/>
      <c r="BF4" s="96"/>
      <c r="BG4" s="96"/>
      <c r="BH4" s="96"/>
      <c r="BI4" s="96"/>
      <c r="BJ4" s="96"/>
      <c r="BK4" s="96"/>
      <c r="BL4" s="96"/>
      <c r="BM4" s="96"/>
      <c r="BN4" s="96"/>
      <c r="BO4" s="96"/>
      <c r="BP4" s="96"/>
      <c r="BQ4" s="106"/>
      <c r="BR4" s="96"/>
      <c r="BS4" s="107"/>
      <c r="BT4" s="107"/>
      <c r="BU4" s="102"/>
      <c r="BV4" s="102"/>
      <c r="BW4" s="102">
        <f t="shared" si="3"/>
        <v>31000</v>
      </c>
      <c r="BX4" s="102">
        <f t="shared" si="4"/>
        <v>10850</v>
      </c>
      <c r="BY4" s="104">
        <f t="shared" si="5"/>
        <v>4900000</v>
      </c>
      <c r="BZ4" s="108"/>
      <c r="CA4" s="102"/>
      <c r="CB4" s="108">
        <f t="shared" ref="CB4:CB9" si="8">BB4*AY4+(BW4+BX4)*AY4</f>
        <v>59302200</v>
      </c>
      <c r="CC4" s="109">
        <f t="shared" si="6"/>
        <v>18553800</v>
      </c>
      <c r="CD4" s="110">
        <f t="shared" si="7"/>
        <v>23.830918618988903</v>
      </c>
      <c r="CJ4" s="111"/>
      <c r="CK4" s="111"/>
      <c r="CL4" s="111"/>
      <c r="CM4" s="111"/>
      <c r="CN4" s="111"/>
      <c r="CO4" s="111"/>
      <c r="CP4" s="111"/>
      <c r="CQ4" s="111"/>
      <c r="CR4" s="111"/>
      <c r="CS4" s="111"/>
      <c r="CT4" s="111"/>
      <c r="CU4" s="111"/>
      <c r="CV4" s="111"/>
      <c r="CW4" s="111"/>
      <c r="CX4" s="111"/>
      <c r="CY4" s="111"/>
      <c r="CZ4" s="111"/>
      <c r="DA4" s="111"/>
      <c r="DB4" s="111"/>
      <c r="DC4" s="111"/>
      <c r="DD4" s="111"/>
      <c r="DE4" s="111"/>
      <c r="DF4" s="111"/>
      <c r="DG4" s="111"/>
      <c r="DH4" s="111"/>
      <c r="DI4" s="111"/>
      <c r="DJ4" s="111"/>
      <c r="DK4" s="111"/>
    </row>
    <row r="5" spans="1:117" ht="17.25" customHeight="1">
      <c r="A5" s="80">
        <f t="shared" ref="A5:A68" si="9">ROW()-3</f>
        <v>2</v>
      </c>
      <c r="B5" s="80"/>
      <c r="C5" s="112"/>
      <c r="D5" s="83" t="s">
        <v>202</v>
      </c>
      <c r="E5" s="81" t="s">
        <v>203</v>
      </c>
      <c r="F5" s="81" t="s">
        <v>203</v>
      </c>
      <c r="G5" s="80" t="s">
        <v>204</v>
      </c>
      <c r="H5" s="81" t="s">
        <v>205</v>
      </c>
      <c r="I5" s="81" t="s">
        <v>206</v>
      </c>
      <c r="J5" s="83" t="s">
        <v>207</v>
      </c>
      <c r="K5" s="84" t="s">
        <v>208</v>
      </c>
      <c r="L5" s="85" t="s">
        <v>209</v>
      </c>
      <c r="M5" s="81" t="s">
        <v>210</v>
      </c>
      <c r="N5" s="86" t="s">
        <v>211</v>
      </c>
      <c r="O5" s="113" t="s">
        <v>212</v>
      </c>
      <c r="P5" s="88" t="s">
        <v>213</v>
      </c>
      <c r="Q5" s="89">
        <v>40118</v>
      </c>
      <c r="R5" s="89">
        <v>45146</v>
      </c>
      <c r="S5" s="89"/>
      <c r="T5" s="90" t="s">
        <v>214</v>
      </c>
      <c r="U5" s="91"/>
      <c r="V5" s="92" t="s">
        <v>215</v>
      </c>
      <c r="W5" s="91"/>
      <c r="X5" s="91"/>
      <c r="Y5" s="91"/>
      <c r="Z5" s="93">
        <f t="shared" ca="1" si="0"/>
        <v>6043</v>
      </c>
      <c r="AA5" s="93">
        <f t="shared" ca="1" si="1"/>
        <v>1015</v>
      </c>
      <c r="AB5" s="94">
        <v>46203</v>
      </c>
      <c r="AC5" s="95"/>
      <c r="AD5" s="96" t="s">
        <v>216</v>
      </c>
      <c r="AE5" s="84" t="s">
        <v>217</v>
      </c>
      <c r="AF5" s="96" t="s">
        <v>218</v>
      </c>
      <c r="AG5" s="96" t="s">
        <v>218</v>
      </c>
      <c r="AH5" s="80" t="s">
        <v>161</v>
      </c>
      <c r="AI5" s="80" t="s">
        <v>162</v>
      </c>
      <c r="AJ5" s="80"/>
      <c r="AK5" s="80">
        <v>13594</v>
      </c>
      <c r="AL5" s="96" t="s">
        <v>219</v>
      </c>
      <c r="AM5" s="98" t="s">
        <v>220</v>
      </c>
      <c r="AN5" s="114" t="s">
        <v>221</v>
      </c>
      <c r="AO5" s="96" t="s">
        <v>222</v>
      </c>
      <c r="AP5" s="96" t="s">
        <v>223</v>
      </c>
      <c r="AQ5" s="92" t="s">
        <v>224</v>
      </c>
      <c r="AR5" s="92" t="s">
        <v>225</v>
      </c>
      <c r="AS5" s="100" t="s">
        <v>226</v>
      </c>
      <c r="AT5" s="80" t="s">
        <v>201</v>
      </c>
      <c r="AU5" s="80" t="s">
        <v>171</v>
      </c>
      <c r="AV5" s="80" t="s">
        <v>172</v>
      </c>
      <c r="AW5" s="101">
        <v>5989000</v>
      </c>
      <c r="AX5" s="102">
        <v>5989000</v>
      </c>
      <c r="AY5" s="103">
        <v>12</v>
      </c>
      <c r="AZ5" s="102">
        <f t="shared" si="2"/>
        <v>71868000</v>
      </c>
      <c r="BA5" s="115">
        <v>5100000</v>
      </c>
      <c r="BB5" s="116">
        <v>5200000</v>
      </c>
      <c r="BC5" s="105">
        <v>45839</v>
      </c>
      <c r="BD5" s="117"/>
      <c r="BE5" s="117"/>
      <c r="BF5" s="118"/>
      <c r="BG5" s="117"/>
      <c r="BH5" s="118"/>
      <c r="BI5" s="117"/>
      <c r="BJ5" s="117"/>
      <c r="BK5" s="117"/>
      <c r="BL5" s="117"/>
      <c r="BM5" s="117"/>
      <c r="BN5" s="117"/>
      <c r="BO5" s="117"/>
      <c r="BP5" s="117"/>
      <c r="BQ5" s="106"/>
      <c r="BR5" s="102"/>
      <c r="BS5" s="107"/>
      <c r="BT5" s="107"/>
      <c r="BU5" s="102"/>
      <c r="BV5" s="102"/>
      <c r="BW5" s="102">
        <f t="shared" si="3"/>
        <v>32900</v>
      </c>
      <c r="BX5" s="102">
        <f t="shared" si="4"/>
        <v>11510</v>
      </c>
      <c r="BY5" s="104">
        <f t="shared" si="5"/>
        <v>5200000</v>
      </c>
      <c r="BZ5" s="119"/>
      <c r="CA5" s="102"/>
      <c r="CB5" s="108">
        <f t="shared" si="8"/>
        <v>62932920</v>
      </c>
      <c r="CC5" s="109">
        <f t="shared" si="6"/>
        <v>8935080</v>
      </c>
      <c r="CD5" s="110">
        <f t="shared" si="7"/>
        <v>12.432626481883453</v>
      </c>
    </row>
    <row r="6" spans="1:117" ht="17.25" customHeight="1">
      <c r="A6" s="80">
        <f t="shared" si="9"/>
        <v>3</v>
      </c>
      <c r="B6" s="80"/>
      <c r="C6" s="112"/>
      <c r="D6" s="83" t="s">
        <v>227</v>
      </c>
      <c r="E6" s="81" t="s">
        <v>228</v>
      </c>
      <c r="F6" s="81" t="s">
        <v>229</v>
      </c>
      <c r="G6" s="80" t="s">
        <v>230</v>
      </c>
      <c r="H6" s="81" t="s">
        <v>231</v>
      </c>
      <c r="I6" s="81" t="s">
        <v>206</v>
      </c>
      <c r="J6" s="83" t="s">
        <v>232</v>
      </c>
      <c r="K6" s="84" t="s">
        <v>233</v>
      </c>
      <c r="L6" s="85" t="s">
        <v>234</v>
      </c>
      <c r="M6" s="81"/>
      <c r="N6" s="86" t="s">
        <v>235</v>
      </c>
      <c r="O6" s="113" t="s">
        <v>236</v>
      </c>
      <c r="P6" s="88" t="s">
        <v>237</v>
      </c>
      <c r="Q6" s="89">
        <v>40299</v>
      </c>
      <c r="R6" s="89">
        <v>45200</v>
      </c>
      <c r="S6" s="89"/>
      <c r="T6" s="90" t="s">
        <v>238</v>
      </c>
      <c r="U6" s="91" t="s">
        <v>239</v>
      </c>
      <c r="V6" s="92" t="s">
        <v>240</v>
      </c>
      <c r="W6" s="91"/>
      <c r="X6" s="91"/>
      <c r="Y6" s="91"/>
      <c r="Z6" s="93">
        <f t="shared" ca="1" si="0"/>
        <v>5862</v>
      </c>
      <c r="AA6" s="93">
        <f t="shared" ca="1" si="1"/>
        <v>961</v>
      </c>
      <c r="AB6" s="94">
        <v>46203</v>
      </c>
      <c r="AC6" s="95"/>
      <c r="AD6" s="96" t="s">
        <v>241</v>
      </c>
      <c r="AE6" s="84" t="s">
        <v>217</v>
      </c>
      <c r="AF6" s="96" t="s">
        <v>218</v>
      </c>
      <c r="AG6" s="96" t="s">
        <v>218</v>
      </c>
      <c r="AH6" s="80" t="s">
        <v>161</v>
      </c>
      <c r="AI6" s="80" t="s">
        <v>242</v>
      </c>
      <c r="AJ6" s="80"/>
      <c r="AK6" s="80">
        <v>35259</v>
      </c>
      <c r="AL6" s="96" t="s">
        <v>163</v>
      </c>
      <c r="AM6" s="98" t="s">
        <v>243</v>
      </c>
      <c r="AN6" s="114" t="s">
        <v>244</v>
      </c>
      <c r="AO6" s="96" t="s">
        <v>166</v>
      </c>
      <c r="AP6" s="96" t="s">
        <v>245</v>
      </c>
      <c r="AQ6" s="92" t="s">
        <v>246</v>
      </c>
      <c r="AR6" s="92"/>
      <c r="AS6" s="100" t="s">
        <v>247</v>
      </c>
      <c r="AT6" s="80" t="s">
        <v>201</v>
      </c>
      <c r="AU6" s="80" t="s">
        <v>171</v>
      </c>
      <c r="AV6" s="80" t="s">
        <v>172</v>
      </c>
      <c r="AW6" s="101">
        <v>5461000</v>
      </c>
      <c r="AX6" s="102">
        <v>5461000</v>
      </c>
      <c r="AY6" s="103">
        <v>12</v>
      </c>
      <c r="AZ6" s="102">
        <f t="shared" si="2"/>
        <v>65532000</v>
      </c>
      <c r="BA6" s="115">
        <v>4200000</v>
      </c>
      <c r="BB6" s="116">
        <v>4300000</v>
      </c>
      <c r="BC6" s="105">
        <v>45839</v>
      </c>
      <c r="BD6" s="117"/>
      <c r="BE6" s="117"/>
      <c r="BF6" s="118"/>
      <c r="BG6" s="117"/>
      <c r="BH6" s="118"/>
      <c r="BI6" s="117"/>
      <c r="BJ6" s="117"/>
      <c r="BK6" s="117"/>
      <c r="BL6" s="117"/>
      <c r="BM6" s="117"/>
      <c r="BN6" s="117"/>
      <c r="BO6" s="117"/>
      <c r="BP6" s="117"/>
      <c r="BQ6" s="106"/>
      <c r="BR6" s="102"/>
      <c r="BS6" s="107"/>
      <c r="BT6" s="107"/>
      <c r="BU6" s="102"/>
      <c r="BV6" s="102"/>
      <c r="BW6" s="102">
        <f t="shared" si="3"/>
        <v>27210</v>
      </c>
      <c r="BX6" s="102">
        <f t="shared" si="4"/>
        <v>9520</v>
      </c>
      <c r="BY6" s="104">
        <f t="shared" si="5"/>
        <v>4300000</v>
      </c>
      <c r="BZ6" s="108"/>
      <c r="CA6" s="102"/>
      <c r="CB6" s="108">
        <f t="shared" si="8"/>
        <v>52040760</v>
      </c>
      <c r="CC6" s="109">
        <f t="shared" si="6"/>
        <v>13491240</v>
      </c>
      <c r="CD6" s="110">
        <f t="shared" si="7"/>
        <v>20.587255081486909</v>
      </c>
      <c r="CJ6" s="120"/>
      <c r="DL6" s="121"/>
      <c r="DM6" s="121"/>
    </row>
    <row r="7" spans="1:117" ht="17.25" customHeight="1">
      <c r="A7" s="80">
        <f t="shared" si="9"/>
        <v>4</v>
      </c>
      <c r="B7" s="80" t="s">
        <v>248</v>
      </c>
      <c r="C7" s="112"/>
      <c r="D7" s="92" t="s">
        <v>249</v>
      </c>
      <c r="E7" s="80" t="s">
        <v>250</v>
      </c>
      <c r="F7" s="80" t="s">
        <v>250</v>
      </c>
      <c r="G7" s="80" t="s">
        <v>251</v>
      </c>
      <c r="H7" s="80" t="s">
        <v>252</v>
      </c>
      <c r="I7" s="80" t="s">
        <v>253</v>
      </c>
      <c r="J7" s="83" t="s">
        <v>232</v>
      </c>
      <c r="K7" s="96" t="s">
        <v>254</v>
      </c>
      <c r="L7" s="85" t="s">
        <v>255</v>
      </c>
      <c r="M7" s="80"/>
      <c r="N7" s="88" t="s">
        <v>256</v>
      </c>
      <c r="O7" s="122" t="s">
        <v>257</v>
      </c>
      <c r="P7" s="88" t="s">
        <v>258</v>
      </c>
      <c r="Q7" s="89">
        <v>34700</v>
      </c>
      <c r="R7" s="89">
        <v>45658</v>
      </c>
      <c r="S7" s="80"/>
      <c r="T7" s="90" t="s">
        <v>259</v>
      </c>
      <c r="U7" s="90" t="s">
        <v>260</v>
      </c>
      <c r="V7" s="92" t="s">
        <v>261</v>
      </c>
      <c r="W7" s="92"/>
      <c r="X7" s="92"/>
      <c r="Y7" s="92"/>
      <c r="Z7" s="93">
        <f t="shared" ca="1" si="0"/>
        <v>11461</v>
      </c>
      <c r="AA7" s="93">
        <f t="shared" ca="1" si="1"/>
        <v>503</v>
      </c>
      <c r="AB7" s="94">
        <v>46203</v>
      </c>
      <c r="AC7" s="123"/>
      <c r="AD7" s="96" t="s">
        <v>262</v>
      </c>
      <c r="AE7" s="96" t="s">
        <v>190</v>
      </c>
      <c r="AF7" s="96" t="s">
        <v>263</v>
      </c>
      <c r="AG7" s="96" t="s">
        <v>263</v>
      </c>
      <c r="AH7" s="80" t="s">
        <v>161</v>
      </c>
      <c r="AI7" s="80" t="s">
        <v>264</v>
      </c>
      <c r="AJ7" s="80"/>
      <c r="AK7" s="124" t="s">
        <v>265</v>
      </c>
      <c r="AL7" s="96" t="s">
        <v>266</v>
      </c>
      <c r="AM7" s="97" t="s">
        <v>267</v>
      </c>
      <c r="AN7" s="96" t="s">
        <v>268</v>
      </c>
      <c r="AO7" s="96" t="s">
        <v>197</v>
      </c>
      <c r="AP7" s="96"/>
      <c r="AQ7" s="92" t="s">
        <v>254</v>
      </c>
      <c r="AR7" s="92" t="s">
        <v>269</v>
      </c>
      <c r="AS7" s="100" t="s">
        <v>270</v>
      </c>
      <c r="AT7" s="80" t="s">
        <v>201</v>
      </c>
      <c r="AU7" s="80" t="s">
        <v>171</v>
      </c>
      <c r="AV7" s="80" t="s">
        <v>172</v>
      </c>
      <c r="AW7" s="125">
        <v>12500000</v>
      </c>
      <c r="AX7" s="104">
        <v>12700000</v>
      </c>
      <c r="AY7" s="80">
        <v>12</v>
      </c>
      <c r="AZ7" s="102">
        <f t="shared" si="2"/>
        <v>152400000</v>
      </c>
      <c r="BA7" s="116">
        <v>10000000</v>
      </c>
      <c r="BB7" s="115">
        <v>10100000</v>
      </c>
      <c r="BC7" s="126">
        <v>46023</v>
      </c>
      <c r="BD7" s="117"/>
      <c r="BE7" s="117"/>
      <c r="BF7" s="118"/>
      <c r="BG7" s="117"/>
      <c r="BH7" s="118"/>
      <c r="BI7" s="117"/>
      <c r="BJ7" s="117"/>
      <c r="BK7" s="117"/>
      <c r="BL7" s="117"/>
      <c r="BM7" s="117"/>
      <c r="BN7" s="117"/>
      <c r="BO7" s="117"/>
      <c r="BP7" s="117"/>
      <c r="BQ7" s="106"/>
      <c r="BR7" s="102"/>
      <c r="BS7" s="107"/>
      <c r="BT7" s="107"/>
      <c r="BU7" s="102"/>
      <c r="BV7" s="102"/>
      <c r="BW7" s="102">
        <f t="shared" si="3"/>
        <v>63910</v>
      </c>
      <c r="BX7" s="102">
        <f t="shared" si="4"/>
        <v>22360</v>
      </c>
      <c r="BY7" s="104">
        <f t="shared" si="5"/>
        <v>10100000</v>
      </c>
      <c r="BZ7" s="108"/>
      <c r="CA7" s="102"/>
      <c r="CB7" s="108">
        <f t="shared" si="8"/>
        <v>122235240</v>
      </c>
      <c r="CC7" s="109">
        <f t="shared" si="6"/>
        <v>30164760</v>
      </c>
      <c r="CD7" s="110">
        <f t="shared" si="7"/>
        <v>19.793149606299213</v>
      </c>
      <c r="DL7" s="79"/>
      <c r="DM7" s="79"/>
    </row>
    <row r="8" spans="1:117" ht="17.25" customHeight="1">
      <c r="A8" s="80">
        <f t="shared" si="9"/>
        <v>5</v>
      </c>
      <c r="B8" s="80" t="s">
        <v>248</v>
      </c>
      <c r="C8" s="112"/>
      <c r="D8" s="92" t="s">
        <v>227</v>
      </c>
      <c r="E8" s="80" t="s">
        <v>271</v>
      </c>
      <c r="F8" s="80" t="s">
        <v>271</v>
      </c>
      <c r="G8" s="80" t="s">
        <v>251</v>
      </c>
      <c r="H8" s="80" t="s">
        <v>272</v>
      </c>
      <c r="I8" s="80" t="s">
        <v>151</v>
      </c>
      <c r="J8" s="83" t="s">
        <v>178</v>
      </c>
      <c r="K8" s="96" t="s">
        <v>179</v>
      </c>
      <c r="L8" s="85" t="s">
        <v>273</v>
      </c>
      <c r="M8" s="80"/>
      <c r="N8" s="88" t="s">
        <v>274</v>
      </c>
      <c r="O8" s="127" t="s">
        <v>275</v>
      </c>
      <c r="P8" s="88" t="s">
        <v>276</v>
      </c>
      <c r="Q8" s="89">
        <v>37561</v>
      </c>
      <c r="R8" s="89">
        <v>45748</v>
      </c>
      <c r="S8" s="80"/>
      <c r="T8" s="90" t="s">
        <v>259</v>
      </c>
      <c r="U8" s="90" t="s">
        <v>277</v>
      </c>
      <c r="V8" s="92" t="s">
        <v>278</v>
      </c>
      <c r="W8" s="92"/>
      <c r="X8" s="92"/>
      <c r="Y8" s="92"/>
      <c r="Z8" s="93">
        <f t="shared" ca="1" si="0"/>
        <v>8600</v>
      </c>
      <c r="AA8" s="93">
        <f t="shared" ca="1" si="1"/>
        <v>413</v>
      </c>
      <c r="AB8" s="94">
        <v>46203</v>
      </c>
      <c r="AC8" s="123"/>
      <c r="AD8" s="96" t="s">
        <v>279</v>
      </c>
      <c r="AE8" s="96" t="s">
        <v>217</v>
      </c>
      <c r="AF8" s="96" t="s">
        <v>218</v>
      </c>
      <c r="AG8" s="96" t="s">
        <v>218</v>
      </c>
      <c r="AH8" s="80" t="s">
        <v>161</v>
      </c>
      <c r="AI8" s="80" t="s">
        <v>242</v>
      </c>
      <c r="AJ8" s="80"/>
      <c r="AK8" s="124">
        <v>13486</v>
      </c>
      <c r="AL8" s="96" t="s">
        <v>163</v>
      </c>
      <c r="AM8" s="97">
        <v>11939</v>
      </c>
      <c r="AN8" s="96" t="s">
        <v>280</v>
      </c>
      <c r="AO8" s="96" t="s">
        <v>166</v>
      </c>
      <c r="AP8" s="96" t="s">
        <v>281</v>
      </c>
      <c r="AQ8" s="92" t="s">
        <v>282</v>
      </c>
      <c r="AR8" s="92"/>
      <c r="AS8" s="100" t="s">
        <v>247</v>
      </c>
      <c r="AT8" s="80" t="s">
        <v>201</v>
      </c>
      <c r="AU8" s="80" t="s">
        <v>171</v>
      </c>
      <c r="AV8" s="80" t="s">
        <v>172</v>
      </c>
      <c r="AW8" s="128">
        <v>5674000</v>
      </c>
      <c r="AX8" s="102">
        <v>5674000</v>
      </c>
      <c r="AY8" s="80">
        <v>12</v>
      </c>
      <c r="AZ8" s="102">
        <f t="shared" si="2"/>
        <v>68088000</v>
      </c>
      <c r="BA8" s="116">
        <v>4700000</v>
      </c>
      <c r="BB8" s="115">
        <v>4850000</v>
      </c>
      <c r="BC8" s="126">
        <v>46023</v>
      </c>
      <c r="BD8" s="117"/>
      <c r="BE8" s="117"/>
      <c r="BF8" s="118"/>
      <c r="BG8" s="117"/>
      <c r="BH8" s="118"/>
      <c r="BI8" s="117"/>
      <c r="BJ8" s="117"/>
      <c r="BK8" s="117"/>
      <c r="BL8" s="117"/>
      <c r="BM8" s="117"/>
      <c r="BN8" s="117"/>
      <c r="BO8" s="117"/>
      <c r="BP8" s="117"/>
      <c r="BQ8" s="106"/>
      <c r="BR8" s="102"/>
      <c r="BS8" s="107"/>
      <c r="BT8" s="107"/>
      <c r="BU8" s="102"/>
      <c r="BV8" s="102"/>
      <c r="BW8" s="102">
        <f t="shared" si="3"/>
        <v>30690</v>
      </c>
      <c r="BX8" s="102">
        <f t="shared" si="4"/>
        <v>10740</v>
      </c>
      <c r="BY8" s="104">
        <f t="shared" si="5"/>
        <v>4850000</v>
      </c>
      <c r="BZ8" s="108"/>
      <c r="CA8" s="102"/>
      <c r="CB8" s="108">
        <f t="shared" si="8"/>
        <v>58697160</v>
      </c>
      <c r="CC8" s="109">
        <f t="shared" si="6"/>
        <v>9390840</v>
      </c>
      <c r="CD8" s="110">
        <f t="shared" si="7"/>
        <v>13.792210081071554</v>
      </c>
      <c r="DL8" s="79"/>
      <c r="DM8" s="79"/>
    </row>
    <row r="9" spans="1:117" ht="17.25" customHeight="1">
      <c r="A9" s="80">
        <f t="shared" si="9"/>
        <v>6</v>
      </c>
      <c r="B9" s="80"/>
      <c r="C9" s="112">
        <v>2026501</v>
      </c>
      <c r="D9" s="92" t="s">
        <v>283</v>
      </c>
      <c r="E9" s="80" t="s">
        <v>284</v>
      </c>
      <c r="F9" s="80" t="s">
        <v>284</v>
      </c>
      <c r="G9" s="80" t="s">
        <v>176</v>
      </c>
      <c r="H9" s="80" t="s">
        <v>177</v>
      </c>
      <c r="I9" s="80" t="s">
        <v>151</v>
      </c>
      <c r="J9" s="83" t="s">
        <v>178</v>
      </c>
      <c r="K9" s="96" t="s">
        <v>208</v>
      </c>
      <c r="L9" s="80" t="s">
        <v>285</v>
      </c>
      <c r="M9" s="80"/>
      <c r="N9" s="88" t="s">
        <v>286</v>
      </c>
      <c r="O9" s="127"/>
      <c r="P9" s="88" t="s">
        <v>287</v>
      </c>
      <c r="Q9" s="89">
        <v>40183</v>
      </c>
      <c r="R9" s="89">
        <v>46027</v>
      </c>
      <c r="S9" s="80"/>
      <c r="T9" s="92" t="s">
        <v>288</v>
      </c>
      <c r="U9" s="92" t="s">
        <v>289</v>
      </c>
      <c r="V9" s="92" t="s">
        <v>290</v>
      </c>
      <c r="W9" s="92" t="s">
        <v>291</v>
      </c>
      <c r="X9" s="92" t="s">
        <v>292</v>
      </c>
      <c r="Y9" s="92" t="s">
        <v>293</v>
      </c>
      <c r="Z9" s="93">
        <f t="shared" ca="1" si="0"/>
        <v>5978</v>
      </c>
      <c r="AA9" s="93">
        <f ca="1">$A$1-R9</f>
        <v>134</v>
      </c>
      <c r="AB9" s="95">
        <v>46387</v>
      </c>
      <c r="AC9" s="123"/>
      <c r="AD9" s="96" t="s">
        <v>294</v>
      </c>
      <c r="AE9" s="96" t="s">
        <v>190</v>
      </c>
      <c r="AF9" s="96" t="s">
        <v>263</v>
      </c>
      <c r="AG9" s="96" t="s">
        <v>263</v>
      </c>
      <c r="AH9" s="80" t="s">
        <v>161</v>
      </c>
      <c r="AI9" s="80" t="s">
        <v>295</v>
      </c>
      <c r="AJ9" s="80" t="s">
        <v>296</v>
      </c>
      <c r="AK9" s="124" t="s">
        <v>297</v>
      </c>
      <c r="AL9" s="96" t="s">
        <v>298</v>
      </c>
      <c r="AM9" s="97" t="s">
        <v>299</v>
      </c>
      <c r="AN9" s="129" t="s">
        <v>300</v>
      </c>
      <c r="AO9" s="96" t="s">
        <v>301</v>
      </c>
      <c r="AP9" s="96" t="s">
        <v>302</v>
      </c>
      <c r="AQ9" s="92" t="s">
        <v>303</v>
      </c>
      <c r="AR9" s="92"/>
      <c r="AS9" s="100" t="s">
        <v>304</v>
      </c>
      <c r="AT9" s="80" t="s">
        <v>201</v>
      </c>
      <c r="AU9" s="80" t="s">
        <v>171</v>
      </c>
      <c r="AV9" s="80" t="s">
        <v>172</v>
      </c>
      <c r="AW9" s="128">
        <v>6700000</v>
      </c>
      <c r="AX9" s="102">
        <v>6700000</v>
      </c>
      <c r="AY9" s="80">
        <v>12</v>
      </c>
      <c r="AZ9" s="102">
        <f t="shared" si="2"/>
        <v>80400000</v>
      </c>
      <c r="BA9" s="96"/>
      <c r="BB9" s="116">
        <v>5500000</v>
      </c>
      <c r="BC9" s="105">
        <v>46023</v>
      </c>
      <c r="BD9" s="117"/>
      <c r="BE9" s="117"/>
      <c r="BF9" s="118"/>
      <c r="BG9" s="117"/>
      <c r="BH9" s="118"/>
      <c r="BI9" s="117"/>
      <c r="BJ9" s="117"/>
      <c r="BK9" s="117"/>
      <c r="BL9" s="117"/>
      <c r="BM9" s="117"/>
      <c r="BN9" s="117"/>
      <c r="BO9" s="117"/>
      <c r="BP9" s="117"/>
      <c r="BQ9" s="106"/>
      <c r="BR9" s="102"/>
      <c r="BS9" s="107"/>
      <c r="BT9" s="107"/>
      <c r="BU9" s="102"/>
      <c r="BV9" s="102"/>
      <c r="BW9" s="102">
        <f t="shared" si="3"/>
        <v>34800</v>
      </c>
      <c r="BX9" s="102">
        <f t="shared" si="4"/>
        <v>12180</v>
      </c>
      <c r="BY9" s="104">
        <f t="shared" si="5"/>
        <v>5500000</v>
      </c>
      <c r="BZ9" s="108"/>
      <c r="CA9" s="102"/>
      <c r="CB9" s="108">
        <f t="shared" si="8"/>
        <v>66563760</v>
      </c>
      <c r="CC9" s="109">
        <f t="shared" si="6"/>
        <v>13836240</v>
      </c>
      <c r="CD9" s="110">
        <f t="shared" si="7"/>
        <v>17.209253731343281</v>
      </c>
      <c r="CH9" s="23" t="s">
        <v>305</v>
      </c>
      <c r="DL9" s="79"/>
      <c r="DM9" s="79"/>
    </row>
    <row r="10" spans="1:117" ht="17.100000000000001" customHeight="1">
      <c r="A10" s="80">
        <f>ROW()-3</f>
        <v>7</v>
      </c>
      <c r="B10" s="80" t="s">
        <v>248</v>
      </c>
      <c r="C10" s="112">
        <v>2026502</v>
      </c>
      <c r="D10" s="92" t="s">
        <v>306</v>
      </c>
      <c r="E10" s="80" t="s">
        <v>307</v>
      </c>
      <c r="F10" s="80" t="s">
        <v>307</v>
      </c>
      <c r="G10" s="80" t="s">
        <v>251</v>
      </c>
      <c r="H10" s="80" t="s">
        <v>308</v>
      </c>
      <c r="I10" s="80" t="s">
        <v>309</v>
      </c>
      <c r="J10" s="83" t="s">
        <v>232</v>
      </c>
      <c r="K10" s="96" t="s">
        <v>310</v>
      </c>
      <c r="L10" s="80" t="s">
        <v>311</v>
      </c>
      <c r="M10" s="80"/>
      <c r="N10" s="88" t="s">
        <v>312</v>
      </c>
      <c r="O10" s="127" t="s">
        <v>313</v>
      </c>
      <c r="P10" s="88" t="s">
        <v>314</v>
      </c>
      <c r="Q10" s="89"/>
      <c r="R10" s="89">
        <v>46097</v>
      </c>
      <c r="S10" s="80"/>
      <c r="T10" s="90" t="s">
        <v>315</v>
      </c>
      <c r="U10" s="90"/>
      <c r="V10" s="92" t="s">
        <v>316</v>
      </c>
      <c r="W10" s="92" t="s">
        <v>317</v>
      </c>
      <c r="X10" s="92"/>
      <c r="Y10" s="92"/>
      <c r="Z10" s="93" t="str">
        <f>IF(Q10&lt;&gt;"",$A$1-Q10,"")</f>
        <v/>
      </c>
      <c r="AA10" s="93">
        <f ca="1">$A$1-R10</f>
        <v>64</v>
      </c>
      <c r="AB10" s="95">
        <v>46310</v>
      </c>
      <c r="AC10" s="123"/>
      <c r="AD10" s="92" t="s">
        <v>318</v>
      </c>
      <c r="AE10" s="96" t="s">
        <v>319</v>
      </c>
      <c r="AF10" s="96"/>
      <c r="AG10" s="96" t="s">
        <v>320</v>
      </c>
      <c r="AH10" s="80" t="s">
        <v>161</v>
      </c>
      <c r="AI10" s="80" t="s">
        <v>321</v>
      </c>
      <c r="AJ10" s="80"/>
      <c r="AK10" s="124"/>
      <c r="AL10" s="96"/>
      <c r="AM10" s="97" t="s">
        <v>322</v>
      </c>
      <c r="AN10" s="96" t="s">
        <v>323</v>
      </c>
      <c r="AO10" s="96" t="s">
        <v>324</v>
      </c>
      <c r="AP10" s="96" t="s">
        <v>325</v>
      </c>
      <c r="AQ10" s="92" t="s">
        <v>326</v>
      </c>
      <c r="AR10" s="92"/>
      <c r="AS10" s="100"/>
      <c r="AT10" s="80" t="s">
        <v>201</v>
      </c>
      <c r="AU10" s="80" t="s">
        <v>171</v>
      </c>
      <c r="AV10" s="80" t="s">
        <v>172</v>
      </c>
      <c r="AW10" s="125"/>
      <c r="AX10" s="104">
        <v>10000000</v>
      </c>
      <c r="AY10" s="80">
        <v>7</v>
      </c>
      <c r="AZ10" s="102">
        <f>AX10*AY10</f>
        <v>70000000</v>
      </c>
      <c r="BA10" s="116"/>
      <c r="BB10" s="115">
        <v>8500000</v>
      </c>
      <c r="BC10" s="105">
        <v>46097</v>
      </c>
      <c r="BD10" s="117"/>
      <c r="BE10" s="117"/>
      <c r="BF10" s="118"/>
      <c r="BG10" s="117"/>
      <c r="BH10" s="118"/>
      <c r="BI10" s="117"/>
      <c r="BJ10" s="117"/>
      <c r="BK10" s="117"/>
      <c r="BL10" s="117"/>
      <c r="BM10" s="117"/>
      <c r="BN10" s="117"/>
      <c r="BO10" s="117"/>
      <c r="BP10" s="117"/>
      <c r="BQ10" s="106"/>
      <c r="BR10" s="102"/>
      <c r="BS10" s="107"/>
      <c r="BT10" s="107"/>
      <c r="BU10" s="102"/>
      <c r="BV10" s="102"/>
      <c r="BW10" s="102">
        <f>IF((BB10-BB10*$B$1)&lt;800000,"해당없음",ROUNDDOWN(IF(BB10-BB10*$B$1&lt;1330000,1330000*0.016/2,(BB10-BB10*$B$1)*(0.016/2)),-1))</f>
        <v>53780</v>
      </c>
      <c r="BX10" s="102">
        <f>ROUNDDOWN((BB10-BB10*$B$1)*(0.28%),-1)</f>
        <v>18820</v>
      </c>
      <c r="BY10" s="104">
        <f>BB10</f>
        <v>8500000</v>
      </c>
      <c r="BZ10" s="108"/>
      <c r="CA10" s="102"/>
      <c r="CB10" s="108">
        <f>BB10*AY10+(BW10+BX10)*AY10</f>
        <v>60008200</v>
      </c>
      <c r="CC10" s="109">
        <f>AZ10-CB10</f>
        <v>9991800</v>
      </c>
      <c r="CD10" s="110">
        <f>IFERROR((CC10/AZ10)*100,0)</f>
        <v>14.274000000000001</v>
      </c>
      <c r="CH10" s="23" t="s">
        <v>305</v>
      </c>
      <c r="DL10" s="79"/>
      <c r="DM10" s="79"/>
    </row>
    <row r="11" spans="1:117" ht="17.25" customHeight="1">
      <c r="A11" s="80">
        <f t="shared" ref="A11:A14" si="10">ROW()-3</f>
        <v>8</v>
      </c>
      <c r="B11" s="80" t="s">
        <v>248</v>
      </c>
      <c r="C11" s="112">
        <v>2026503</v>
      </c>
      <c r="D11" s="92" t="s">
        <v>306</v>
      </c>
      <c r="E11" s="80" t="s">
        <v>327</v>
      </c>
      <c r="F11" s="80" t="s">
        <v>328</v>
      </c>
      <c r="G11" s="80" t="s">
        <v>251</v>
      </c>
      <c r="H11" s="80" t="s">
        <v>308</v>
      </c>
      <c r="I11" s="80" t="s">
        <v>309</v>
      </c>
      <c r="J11" s="83" t="s">
        <v>232</v>
      </c>
      <c r="K11" s="96" t="s">
        <v>310</v>
      </c>
      <c r="L11" s="80" t="s">
        <v>311</v>
      </c>
      <c r="M11" s="80"/>
      <c r="N11" s="88" t="s">
        <v>329</v>
      </c>
      <c r="O11" s="127" t="s">
        <v>330</v>
      </c>
      <c r="P11" s="88" t="s">
        <v>331</v>
      </c>
      <c r="Q11" s="89"/>
      <c r="R11" s="89">
        <v>46113</v>
      </c>
      <c r="S11" s="80"/>
      <c r="T11" s="90" t="s">
        <v>332</v>
      </c>
      <c r="U11" s="90" t="s">
        <v>333</v>
      </c>
      <c r="V11" s="92" t="s">
        <v>334</v>
      </c>
      <c r="W11" s="92" t="s">
        <v>335</v>
      </c>
      <c r="X11" s="92"/>
      <c r="Y11" s="92"/>
      <c r="Z11" s="93" t="str">
        <f>IF(Q11&lt;&gt;"",$A$1-Q11,"")</f>
        <v/>
      </c>
      <c r="AA11" s="93">
        <f ca="1">$A$1-R11</f>
        <v>48</v>
      </c>
      <c r="AB11" s="130">
        <v>46326</v>
      </c>
      <c r="AC11" s="123"/>
      <c r="AD11" s="92" t="s">
        <v>318</v>
      </c>
      <c r="AE11" s="96" t="s">
        <v>319</v>
      </c>
      <c r="AF11" s="96"/>
      <c r="AG11" s="96" t="s">
        <v>320</v>
      </c>
      <c r="AH11" s="80" t="s">
        <v>161</v>
      </c>
      <c r="AI11" s="80" t="s">
        <v>321</v>
      </c>
      <c r="AJ11" s="80"/>
      <c r="AK11" s="124"/>
      <c r="AL11" s="96"/>
      <c r="AM11" s="97" t="s">
        <v>336</v>
      </c>
      <c r="AN11" s="96" t="s">
        <v>337</v>
      </c>
      <c r="AO11" s="96" t="s">
        <v>324</v>
      </c>
      <c r="AP11" s="96" t="s">
        <v>325</v>
      </c>
      <c r="AQ11" s="92" t="s">
        <v>338</v>
      </c>
      <c r="AR11" s="92"/>
      <c r="AS11" s="100"/>
      <c r="AT11" s="80" t="s">
        <v>201</v>
      </c>
      <c r="AU11" s="80" t="s">
        <v>171</v>
      </c>
      <c r="AV11" s="80" t="s">
        <v>172</v>
      </c>
      <c r="AW11" s="125"/>
      <c r="AX11" s="104">
        <v>10000000</v>
      </c>
      <c r="AY11" s="80">
        <v>7</v>
      </c>
      <c r="AZ11" s="102">
        <f>AX11*AY11</f>
        <v>70000000</v>
      </c>
      <c r="BA11" s="116"/>
      <c r="BB11" s="115">
        <v>8500000</v>
      </c>
      <c r="BC11" s="126"/>
      <c r="BD11" s="117"/>
      <c r="BE11" s="117"/>
      <c r="BF11" s="118"/>
      <c r="BG11" s="117"/>
      <c r="BH11" s="118"/>
      <c r="BI11" s="117"/>
      <c r="BJ11" s="117"/>
      <c r="BK11" s="117"/>
      <c r="BL11" s="117"/>
      <c r="BM11" s="117"/>
      <c r="BN11" s="117"/>
      <c r="BO11" s="117"/>
      <c r="BP11" s="117"/>
      <c r="BQ11" s="106"/>
      <c r="BR11" s="102"/>
      <c r="BS11" s="107"/>
      <c r="BT11" s="107"/>
      <c r="BU11" s="102"/>
      <c r="BV11" s="102"/>
      <c r="BW11" s="102">
        <f>IF((BB11-BB11*$B$1)&lt;800000,"해당없음",ROUNDDOWN(IF(BB11-BB11*$B$1&lt;1330000,1330000*0.016/2,(BB11-BB11*$B$1)*(0.016/2)),-1))</f>
        <v>53780</v>
      </c>
      <c r="BX11" s="102">
        <f>ROUNDDOWN((BB11-BB11*$B$1)*(0.28%),-1)</f>
        <v>18820</v>
      </c>
      <c r="BY11" s="104">
        <f>BB11</f>
        <v>8500000</v>
      </c>
      <c r="BZ11" s="108"/>
      <c r="CA11" s="102"/>
      <c r="CB11" s="108">
        <f>BB11*AY11+(BW11+BX11)*AY11</f>
        <v>60008200</v>
      </c>
      <c r="CC11" s="109">
        <f>AZ11-CB11</f>
        <v>9991800</v>
      </c>
      <c r="CD11" s="110">
        <f>IFERROR((CC11/AZ11)*100,0)</f>
        <v>14.274000000000001</v>
      </c>
      <c r="CG11" s="23" t="s">
        <v>339</v>
      </c>
      <c r="CH11" s="23" t="s">
        <v>340</v>
      </c>
      <c r="DL11" s="79"/>
      <c r="DM11" s="79"/>
    </row>
    <row r="12" spans="1:117" ht="17.25" customHeight="1">
      <c r="A12" s="80">
        <f t="shared" si="10"/>
        <v>9</v>
      </c>
      <c r="B12" s="80" t="s">
        <v>248</v>
      </c>
      <c r="C12" s="112">
        <v>2026504</v>
      </c>
      <c r="D12" s="92" t="s">
        <v>306</v>
      </c>
      <c r="E12" s="80" t="s">
        <v>327</v>
      </c>
      <c r="F12" s="80" t="s">
        <v>341</v>
      </c>
      <c r="G12" s="80" t="s">
        <v>251</v>
      </c>
      <c r="H12" s="80" t="s">
        <v>308</v>
      </c>
      <c r="I12" s="80" t="s">
        <v>309</v>
      </c>
      <c r="J12" s="83" t="s">
        <v>232</v>
      </c>
      <c r="K12" s="96" t="s">
        <v>342</v>
      </c>
      <c r="L12" s="80" t="s">
        <v>311</v>
      </c>
      <c r="M12" s="80"/>
      <c r="N12" s="88" t="s">
        <v>343</v>
      </c>
      <c r="O12" s="127" t="s">
        <v>344</v>
      </c>
      <c r="P12" s="88" t="s">
        <v>345</v>
      </c>
      <c r="Q12" s="89"/>
      <c r="R12" s="89">
        <v>46113</v>
      </c>
      <c r="S12" s="80"/>
      <c r="T12" s="90" t="s">
        <v>346</v>
      </c>
      <c r="U12" s="90" t="s">
        <v>347</v>
      </c>
      <c r="V12" s="92" t="s">
        <v>290</v>
      </c>
      <c r="W12" s="92"/>
      <c r="X12" s="92"/>
      <c r="Y12" s="92"/>
      <c r="Z12" s="93" t="str">
        <f t="shared" ref="Z12:Z14" si="11">IF(Q12&lt;&gt;"",$A$1-Q12,"")</f>
        <v/>
      </c>
      <c r="AA12" s="93">
        <f t="shared" ref="AA12:AA14" ca="1" si="12">$A$1-R12</f>
        <v>48</v>
      </c>
      <c r="AB12" s="130">
        <v>46295</v>
      </c>
      <c r="AC12" s="123"/>
      <c r="AD12" s="92" t="s">
        <v>318</v>
      </c>
      <c r="AE12" s="96" t="s">
        <v>319</v>
      </c>
      <c r="AF12" s="96"/>
      <c r="AG12" s="96" t="s">
        <v>320</v>
      </c>
      <c r="AH12" s="80" t="s">
        <v>348</v>
      </c>
      <c r="AI12" s="80" t="s">
        <v>321</v>
      </c>
      <c r="AJ12" s="80"/>
      <c r="AK12" s="124"/>
      <c r="AL12" s="96"/>
      <c r="AM12" s="97" t="s">
        <v>349</v>
      </c>
      <c r="AN12" s="96" t="s">
        <v>350</v>
      </c>
      <c r="AO12" s="96" t="s">
        <v>324</v>
      </c>
      <c r="AP12" s="96" t="s">
        <v>325</v>
      </c>
      <c r="AQ12" s="92" t="s">
        <v>351</v>
      </c>
      <c r="AR12" s="92"/>
      <c r="AS12" s="100"/>
      <c r="AT12" s="80" t="s">
        <v>201</v>
      </c>
      <c r="AU12" s="80" t="s">
        <v>171</v>
      </c>
      <c r="AV12" s="80" t="s">
        <v>172</v>
      </c>
      <c r="AW12" s="125"/>
      <c r="AX12" s="104">
        <v>10000000</v>
      </c>
      <c r="AY12" s="80">
        <v>6</v>
      </c>
      <c r="AZ12" s="102">
        <f t="shared" ref="AZ12:AZ14" si="13">AX12*AY12</f>
        <v>60000000</v>
      </c>
      <c r="BA12" s="116"/>
      <c r="BB12" s="115">
        <v>8500000</v>
      </c>
      <c r="BC12" s="126"/>
      <c r="BD12" s="117"/>
      <c r="BE12" s="117"/>
      <c r="BF12" s="118"/>
      <c r="BG12" s="117"/>
      <c r="BH12" s="118"/>
      <c r="BI12" s="117"/>
      <c r="BJ12" s="117"/>
      <c r="BK12" s="117"/>
      <c r="BL12" s="117"/>
      <c r="BM12" s="117"/>
      <c r="BN12" s="117"/>
      <c r="BO12" s="117"/>
      <c r="BP12" s="117"/>
      <c r="BQ12" s="106"/>
      <c r="BR12" s="102"/>
      <c r="BS12" s="107"/>
      <c r="BT12" s="107"/>
      <c r="BU12" s="102"/>
      <c r="BV12" s="102"/>
      <c r="BW12" s="102">
        <f t="shared" ref="BW12:BW14" si="14">IF((BB12-BB12*$B$1)&lt;800000,"해당없음",ROUNDDOWN(IF(BB12-BB12*$B$1&lt;1330000,1330000*0.016/2,(BB12-BB12*$B$1)*(0.016/2)),-1))</f>
        <v>53780</v>
      </c>
      <c r="BX12" s="102">
        <f t="shared" ref="BX12:BX14" si="15">ROUNDDOWN((BB12-BB12*$B$1)*(0.28%),-1)</f>
        <v>18820</v>
      </c>
      <c r="BY12" s="104">
        <f t="shared" ref="BY12:BY14" si="16">BB12</f>
        <v>8500000</v>
      </c>
      <c r="BZ12" s="108"/>
      <c r="CA12" s="102"/>
      <c r="CB12" s="108">
        <f t="shared" ref="CB12:CB14" si="17">BB12*AY12+(BW12+BX12)*AY12</f>
        <v>51435600</v>
      </c>
      <c r="CC12" s="109">
        <f t="shared" ref="CC12:CC14" si="18">AZ12-CB12</f>
        <v>8564400</v>
      </c>
      <c r="CD12" s="110">
        <f t="shared" ref="CD12:CD14" si="19">IFERROR((CC12/AZ12)*100,0)</f>
        <v>14.274000000000001</v>
      </c>
      <c r="CG12" s="23" t="s">
        <v>339</v>
      </c>
      <c r="CH12" s="23" t="s">
        <v>340</v>
      </c>
      <c r="DL12" s="79"/>
      <c r="DM12" s="79"/>
    </row>
    <row r="13" spans="1:117" ht="17.25" customHeight="1">
      <c r="A13" s="80">
        <f t="shared" si="10"/>
        <v>10</v>
      </c>
      <c r="B13" s="80" t="s">
        <v>248</v>
      </c>
      <c r="C13" s="112">
        <v>2026505</v>
      </c>
      <c r="D13" s="92" t="s">
        <v>352</v>
      </c>
      <c r="E13" s="80" t="s">
        <v>353</v>
      </c>
      <c r="F13" s="80" t="s">
        <v>354</v>
      </c>
      <c r="G13" s="80" t="s">
        <v>251</v>
      </c>
      <c r="H13" s="80" t="s">
        <v>308</v>
      </c>
      <c r="I13" s="80" t="s">
        <v>309</v>
      </c>
      <c r="J13" s="83" t="s">
        <v>232</v>
      </c>
      <c r="K13" s="96" t="s">
        <v>355</v>
      </c>
      <c r="L13" s="80" t="s">
        <v>356</v>
      </c>
      <c r="M13" s="80"/>
      <c r="N13" s="88" t="s">
        <v>357</v>
      </c>
      <c r="O13" s="127" t="s">
        <v>358</v>
      </c>
      <c r="P13" s="88" t="s">
        <v>359</v>
      </c>
      <c r="Q13" s="89"/>
      <c r="R13" s="89">
        <v>46113</v>
      </c>
      <c r="S13" s="80"/>
      <c r="T13" s="90" t="s">
        <v>360</v>
      </c>
      <c r="U13" s="90" t="s">
        <v>361</v>
      </c>
      <c r="V13" s="92" t="s">
        <v>290</v>
      </c>
      <c r="W13" s="92" t="s">
        <v>362</v>
      </c>
      <c r="X13" s="92"/>
      <c r="Y13" s="92"/>
      <c r="Z13" s="93" t="str">
        <f t="shared" si="11"/>
        <v/>
      </c>
      <c r="AA13" s="93">
        <f t="shared" ca="1" si="12"/>
        <v>48</v>
      </c>
      <c r="AB13" s="94"/>
      <c r="AC13" s="123"/>
      <c r="AD13" s="92" t="s">
        <v>363</v>
      </c>
      <c r="AE13" s="96" t="s">
        <v>364</v>
      </c>
      <c r="AF13" s="96"/>
      <c r="AG13" s="96" t="s">
        <v>191</v>
      </c>
      <c r="AH13" s="80" t="s">
        <v>161</v>
      </c>
      <c r="AI13" s="80" t="s">
        <v>365</v>
      </c>
      <c r="AJ13" s="80"/>
      <c r="AK13" s="124"/>
      <c r="AL13" s="96"/>
      <c r="AM13" s="97" t="s">
        <v>366</v>
      </c>
      <c r="AN13" s="96" t="s">
        <v>367</v>
      </c>
      <c r="AO13" s="96" t="s">
        <v>324</v>
      </c>
      <c r="AP13" s="96" t="s">
        <v>368</v>
      </c>
      <c r="AQ13" s="92" t="s">
        <v>369</v>
      </c>
      <c r="AR13" s="92"/>
      <c r="AS13" s="100"/>
      <c r="AT13" s="80" t="s">
        <v>201</v>
      </c>
      <c r="AU13" s="80" t="s">
        <v>171</v>
      </c>
      <c r="AV13" s="80" t="s">
        <v>172</v>
      </c>
      <c r="AW13" s="125"/>
      <c r="AX13" s="104">
        <v>8950000</v>
      </c>
      <c r="AY13" s="80">
        <v>12</v>
      </c>
      <c r="AZ13" s="102">
        <f t="shared" si="13"/>
        <v>107400000</v>
      </c>
      <c r="BA13" s="116"/>
      <c r="BB13" s="115">
        <v>7500000</v>
      </c>
      <c r="BC13" s="126"/>
      <c r="BD13" s="117"/>
      <c r="BE13" s="117"/>
      <c r="BF13" s="118"/>
      <c r="BG13" s="117"/>
      <c r="BH13" s="118"/>
      <c r="BI13" s="117"/>
      <c r="BJ13" s="117"/>
      <c r="BK13" s="117"/>
      <c r="BL13" s="117"/>
      <c r="BM13" s="117"/>
      <c r="BN13" s="117"/>
      <c r="BO13" s="117"/>
      <c r="BP13" s="117"/>
      <c r="BQ13" s="106"/>
      <c r="BR13" s="102"/>
      <c r="BS13" s="107"/>
      <c r="BT13" s="107"/>
      <c r="BU13" s="102"/>
      <c r="BV13" s="102"/>
      <c r="BW13" s="102">
        <f t="shared" si="14"/>
        <v>47460</v>
      </c>
      <c r="BX13" s="102">
        <f t="shared" si="15"/>
        <v>16610</v>
      </c>
      <c r="BY13" s="104">
        <f t="shared" si="16"/>
        <v>7500000</v>
      </c>
      <c r="BZ13" s="108"/>
      <c r="CA13" s="102"/>
      <c r="CB13" s="108">
        <f t="shared" si="17"/>
        <v>90768840</v>
      </c>
      <c r="CC13" s="109">
        <f t="shared" si="18"/>
        <v>16631160</v>
      </c>
      <c r="CD13" s="110">
        <f t="shared" si="19"/>
        <v>15.485251396648044</v>
      </c>
      <c r="CG13" s="23" t="s">
        <v>339</v>
      </c>
      <c r="CH13" s="23" t="s">
        <v>340</v>
      </c>
      <c r="DL13" s="79"/>
      <c r="DM13" s="79"/>
    </row>
    <row r="14" spans="1:117" ht="17.25" customHeight="1">
      <c r="A14" s="80">
        <f t="shared" si="10"/>
        <v>11</v>
      </c>
      <c r="B14" s="80" t="s">
        <v>248</v>
      </c>
      <c r="C14" s="112">
        <v>2026506</v>
      </c>
      <c r="D14" s="92" t="s">
        <v>370</v>
      </c>
      <c r="E14" s="80" t="s">
        <v>353</v>
      </c>
      <c r="F14" s="80" t="s">
        <v>371</v>
      </c>
      <c r="G14" s="80" t="s">
        <v>251</v>
      </c>
      <c r="H14" s="80" t="s">
        <v>308</v>
      </c>
      <c r="I14" s="80" t="s">
        <v>309</v>
      </c>
      <c r="J14" s="83" t="s">
        <v>232</v>
      </c>
      <c r="K14" s="96" t="s">
        <v>372</v>
      </c>
      <c r="L14" s="80" t="s">
        <v>356</v>
      </c>
      <c r="M14" s="80"/>
      <c r="N14" s="88" t="s">
        <v>373</v>
      </c>
      <c r="O14" s="127" t="s">
        <v>374</v>
      </c>
      <c r="P14" s="88" t="s">
        <v>375</v>
      </c>
      <c r="Q14" s="89"/>
      <c r="R14" s="89">
        <v>46113</v>
      </c>
      <c r="S14" s="80"/>
      <c r="T14" s="90" t="s">
        <v>376</v>
      </c>
      <c r="U14" s="90" t="s">
        <v>377</v>
      </c>
      <c r="V14" s="92" t="s">
        <v>290</v>
      </c>
      <c r="W14" s="92" t="s">
        <v>378</v>
      </c>
      <c r="X14" s="92" t="s">
        <v>379</v>
      </c>
      <c r="Y14" s="92" t="s">
        <v>380</v>
      </c>
      <c r="Z14" s="93" t="str">
        <f t="shared" si="11"/>
        <v/>
      </c>
      <c r="AA14" s="93">
        <f t="shared" ca="1" si="12"/>
        <v>48</v>
      </c>
      <c r="AB14" s="94"/>
      <c r="AC14" s="123"/>
      <c r="AD14" s="92" t="s">
        <v>381</v>
      </c>
      <c r="AE14" s="96" t="s">
        <v>364</v>
      </c>
      <c r="AF14" s="96"/>
      <c r="AG14" s="96" t="s">
        <v>191</v>
      </c>
      <c r="AH14" s="80" t="s">
        <v>161</v>
      </c>
      <c r="AI14" s="80" t="s">
        <v>365</v>
      </c>
      <c r="AJ14" s="80"/>
      <c r="AK14" s="124"/>
      <c r="AL14" s="96"/>
      <c r="AM14" s="97" t="s">
        <v>382</v>
      </c>
      <c r="AN14" s="96" t="s">
        <v>383</v>
      </c>
      <c r="AO14" s="96" t="s">
        <v>324</v>
      </c>
      <c r="AP14" s="96" t="s">
        <v>384</v>
      </c>
      <c r="AQ14" s="92" t="s">
        <v>385</v>
      </c>
      <c r="AR14" s="92"/>
      <c r="AS14" s="100"/>
      <c r="AT14" s="80" t="s">
        <v>201</v>
      </c>
      <c r="AU14" s="80" t="s">
        <v>171</v>
      </c>
      <c r="AV14" s="80" t="s">
        <v>172</v>
      </c>
      <c r="AW14" s="125"/>
      <c r="AX14" s="104">
        <v>10000000</v>
      </c>
      <c r="AY14" s="80">
        <v>12</v>
      </c>
      <c r="AZ14" s="102">
        <f t="shared" si="13"/>
        <v>120000000</v>
      </c>
      <c r="BA14" s="116"/>
      <c r="BB14" s="115">
        <v>8500000</v>
      </c>
      <c r="BC14" s="126"/>
      <c r="BD14" s="117"/>
      <c r="BE14" s="117"/>
      <c r="BF14" s="118"/>
      <c r="BG14" s="117"/>
      <c r="BH14" s="118"/>
      <c r="BI14" s="117"/>
      <c r="BJ14" s="117"/>
      <c r="BK14" s="117"/>
      <c r="BL14" s="117"/>
      <c r="BM14" s="117"/>
      <c r="BN14" s="117"/>
      <c r="BO14" s="117"/>
      <c r="BP14" s="117"/>
      <c r="BQ14" s="106"/>
      <c r="BR14" s="102"/>
      <c r="BS14" s="107"/>
      <c r="BT14" s="107"/>
      <c r="BU14" s="102"/>
      <c r="BV14" s="102"/>
      <c r="BW14" s="102">
        <f t="shared" si="14"/>
        <v>53780</v>
      </c>
      <c r="BX14" s="102">
        <f t="shared" si="15"/>
        <v>18820</v>
      </c>
      <c r="BY14" s="104">
        <f t="shared" si="16"/>
        <v>8500000</v>
      </c>
      <c r="BZ14" s="108"/>
      <c r="CA14" s="102"/>
      <c r="CB14" s="108">
        <f t="shared" si="17"/>
        <v>102871200</v>
      </c>
      <c r="CC14" s="109">
        <f t="shared" si="18"/>
        <v>17128800</v>
      </c>
      <c r="CD14" s="110">
        <f t="shared" si="19"/>
        <v>14.274000000000001</v>
      </c>
      <c r="CG14" s="23" t="s">
        <v>340</v>
      </c>
      <c r="CH14" s="23" t="s">
        <v>340</v>
      </c>
      <c r="DL14" s="79"/>
      <c r="DM14" s="79"/>
    </row>
    <row r="15" spans="1:117" s="121" customFormat="1" ht="17.25" customHeight="1">
      <c r="A15" s="131">
        <f t="shared" si="9"/>
        <v>12</v>
      </c>
      <c r="B15" s="132"/>
      <c r="C15" s="133">
        <v>2021701</v>
      </c>
      <c r="D15" s="134" t="s">
        <v>386</v>
      </c>
      <c r="E15" s="132" t="s">
        <v>387</v>
      </c>
      <c r="F15" s="132" t="s">
        <v>387</v>
      </c>
      <c r="G15" s="132" t="s">
        <v>176</v>
      </c>
      <c r="H15" s="132" t="s">
        <v>177</v>
      </c>
      <c r="I15" s="132" t="s">
        <v>151</v>
      </c>
      <c r="J15" s="134" t="s">
        <v>178</v>
      </c>
      <c r="K15" s="135" t="s">
        <v>179</v>
      </c>
      <c r="L15" s="131" t="s">
        <v>388</v>
      </c>
      <c r="M15" s="132"/>
      <c r="N15" s="136" t="s">
        <v>389</v>
      </c>
      <c r="O15" s="137" t="s">
        <v>390</v>
      </c>
      <c r="P15" s="136" t="s">
        <v>391</v>
      </c>
      <c r="Q15" s="138">
        <v>40544</v>
      </c>
      <c r="R15" s="138">
        <v>44348</v>
      </c>
      <c r="S15" s="132"/>
      <c r="T15" s="139" t="s">
        <v>392</v>
      </c>
      <c r="U15" s="139" t="s">
        <v>393</v>
      </c>
      <c r="V15" s="140" t="s">
        <v>394</v>
      </c>
      <c r="W15" s="139" t="s">
        <v>187</v>
      </c>
      <c r="X15" s="140" t="s">
        <v>188</v>
      </c>
      <c r="Y15" s="140" t="s">
        <v>395</v>
      </c>
      <c r="Z15" s="141">
        <v>5316</v>
      </c>
      <c r="AA15" s="141">
        <f t="shared" ca="1" si="1"/>
        <v>1813</v>
      </c>
      <c r="AB15" s="142">
        <v>46112</v>
      </c>
      <c r="AC15" s="143"/>
      <c r="AD15" s="144" t="s">
        <v>396</v>
      </c>
      <c r="AE15" s="144" t="s">
        <v>217</v>
      </c>
      <c r="AF15" s="144" t="s">
        <v>263</v>
      </c>
      <c r="AG15" s="144" t="s">
        <v>263</v>
      </c>
      <c r="AH15" s="132" t="s">
        <v>348</v>
      </c>
      <c r="AI15" s="132" t="s">
        <v>397</v>
      </c>
      <c r="AJ15" s="132"/>
      <c r="AK15" s="132">
        <v>13558</v>
      </c>
      <c r="AL15" s="144" t="s">
        <v>398</v>
      </c>
      <c r="AM15" s="145" t="s">
        <v>399</v>
      </c>
      <c r="AN15" s="144" t="s">
        <v>400</v>
      </c>
      <c r="AO15" s="144" t="s">
        <v>401</v>
      </c>
      <c r="AP15" s="144" t="s">
        <v>402</v>
      </c>
      <c r="AQ15" s="140" t="s">
        <v>403</v>
      </c>
      <c r="AR15" s="140" t="s">
        <v>404</v>
      </c>
      <c r="AS15" s="146" t="s">
        <v>405</v>
      </c>
      <c r="AT15" s="132" t="s">
        <v>406</v>
      </c>
      <c r="AU15" s="132" t="s">
        <v>407</v>
      </c>
      <c r="AV15" s="132" t="s">
        <v>408</v>
      </c>
      <c r="AW15" s="147">
        <v>6306000</v>
      </c>
      <c r="AX15" s="148">
        <v>6306000</v>
      </c>
      <c r="AY15" s="132">
        <v>12</v>
      </c>
      <c r="AZ15" s="149">
        <f t="shared" si="2"/>
        <v>75672000</v>
      </c>
      <c r="BA15" s="149">
        <v>5880000</v>
      </c>
      <c r="BB15" s="149">
        <v>6000000</v>
      </c>
      <c r="BC15" s="150">
        <v>45839</v>
      </c>
      <c r="BD15" s="144"/>
      <c r="BE15" s="144"/>
      <c r="BF15" s="144"/>
      <c r="BG15" s="144"/>
      <c r="BH15" s="144"/>
      <c r="BI15" s="144"/>
      <c r="BJ15" s="144"/>
      <c r="BK15" s="144"/>
      <c r="BL15" s="144"/>
      <c r="BM15" s="144"/>
      <c r="BN15" s="144"/>
      <c r="BO15" s="144"/>
      <c r="BP15" s="144"/>
      <c r="BQ15" s="144"/>
      <c r="BR15" s="144"/>
      <c r="BS15" s="144"/>
      <c r="BT15" s="144"/>
      <c r="BU15" s="144"/>
      <c r="BV15" s="144"/>
      <c r="BW15" s="144"/>
      <c r="BX15" s="144"/>
      <c r="BY15" s="149">
        <f t="shared" ref="BY15:BY78" si="20">CB15/AY15</f>
        <v>6000000</v>
      </c>
      <c r="BZ15" s="144"/>
      <c r="CA15" s="144"/>
      <c r="CB15" s="151">
        <f>AY15*BB15</f>
        <v>72000000</v>
      </c>
      <c r="CC15" s="152">
        <f t="shared" si="6"/>
        <v>3672000</v>
      </c>
      <c r="CD15" s="153">
        <f t="shared" si="7"/>
        <v>4.8525214081826835</v>
      </c>
      <c r="CE15" s="77"/>
      <c r="CF15" s="77"/>
      <c r="CG15" s="23"/>
      <c r="CH15" s="23"/>
      <c r="CI15" s="78"/>
      <c r="CJ15" s="78"/>
      <c r="CK15" s="78"/>
      <c r="CL15" s="78"/>
      <c r="CM15" s="78"/>
      <c r="CN15" s="78"/>
      <c r="CO15" s="78"/>
      <c r="CP15" s="78"/>
      <c r="CQ15" s="78"/>
      <c r="CR15" s="78"/>
      <c r="CS15" s="78"/>
      <c r="CT15" s="78"/>
      <c r="CU15" s="78"/>
      <c r="CV15" s="78"/>
      <c r="CW15" s="78"/>
      <c r="CX15" s="78"/>
      <c r="CY15" s="78"/>
      <c r="CZ15" s="78"/>
      <c r="DA15" s="78"/>
      <c r="DB15" s="78"/>
      <c r="DC15" s="78"/>
      <c r="DD15" s="78"/>
      <c r="DE15" s="78"/>
      <c r="DF15" s="78"/>
      <c r="DG15" s="78"/>
      <c r="DH15" s="78"/>
      <c r="DI15" s="78"/>
      <c r="DJ15" s="78"/>
      <c r="DK15" s="78"/>
      <c r="DL15" s="78"/>
      <c r="DM15" s="78"/>
    </row>
    <row r="16" spans="1:117" ht="17.25" customHeight="1">
      <c r="A16" s="154">
        <f t="shared" si="9"/>
        <v>13</v>
      </c>
      <c r="B16" s="154"/>
      <c r="C16" s="155">
        <v>2025042</v>
      </c>
      <c r="D16" s="156" t="s">
        <v>409</v>
      </c>
      <c r="E16" s="157" t="s">
        <v>410</v>
      </c>
      <c r="F16" s="157" t="s">
        <v>411</v>
      </c>
      <c r="G16" s="154" t="s">
        <v>412</v>
      </c>
      <c r="H16" s="157" t="s">
        <v>413</v>
      </c>
      <c r="I16" s="157" t="s">
        <v>414</v>
      </c>
      <c r="J16" s="158" t="s">
        <v>178</v>
      </c>
      <c r="K16" s="159" t="s">
        <v>415</v>
      </c>
      <c r="L16" s="157" t="s">
        <v>416</v>
      </c>
      <c r="M16" s="157" t="s">
        <v>417</v>
      </c>
      <c r="N16" s="160" t="s">
        <v>418</v>
      </c>
      <c r="O16" s="161" t="s">
        <v>419</v>
      </c>
      <c r="P16" s="162" t="s">
        <v>420</v>
      </c>
      <c r="Q16" s="163">
        <v>45873</v>
      </c>
      <c r="R16" s="163">
        <v>45873</v>
      </c>
      <c r="S16" s="163"/>
      <c r="T16" s="164" t="s">
        <v>421</v>
      </c>
      <c r="U16" s="164" t="s">
        <v>422</v>
      </c>
      <c r="V16" s="165" t="s">
        <v>423</v>
      </c>
      <c r="W16" s="166" t="s">
        <v>424</v>
      </c>
      <c r="X16" s="166" t="s">
        <v>425</v>
      </c>
      <c r="Y16" s="166"/>
      <c r="Z16" s="167">
        <f t="shared" ref="Z16:Z79" ca="1" si="21">IF(Q16&lt;&gt;"",$A$1-Q16,"")</f>
        <v>288</v>
      </c>
      <c r="AA16" s="167">
        <f t="shared" ca="1" si="1"/>
        <v>288</v>
      </c>
      <c r="AB16" s="168"/>
      <c r="AC16" s="168"/>
      <c r="AD16" s="169" t="s">
        <v>426</v>
      </c>
      <c r="AE16" s="169" t="s">
        <v>217</v>
      </c>
      <c r="AF16" s="169" t="s">
        <v>218</v>
      </c>
      <c r="AG16" s="169" t="s">
        <v>218</v>
      </c>
      <c r="AH16" s="154" t="s">
        <v>161</v>
      </c>
      <c r="AI16" s="154" t="s">
        <v>162</v>
      </c>
      <c r="AJ16" s="154" t="s">
        <v>427</v>
      </c>
      <c r="AK16" s="154">
        <v>13486</v>
      </c>
      <c r="AL16" s="169" t="s">
        <v>428</v>
      </c>
      <c r="AM16" s="170" t="s">
        <v>429</v>
      </c>
      <c r="AN16" s="171" t="s">
        <v>430</v>
      </c>
      <c r="AO16" s="169" t="s">
        <v>431</v>
      </c>
      <c r="AP16" s="172" t="s">
        <v>432</v>
      </c>
      <c r="AQ16" s="172" t="s">
        <v>433</v>
      </c>
      <c r="AR16" s="165"/>
      <c r="AS16" s="165"/>
      <c r="AT16" s="154" t="s">
        <v>434</v>
      </c>
      <c r="AU16" s="154" t="s">
        <v>435</v>
      </c>
      <c r="AV16" s="173" t="s">
        <v>436</v>
      </c>
      <c r="AW16" s="174">
        <v>0</v>
      </c>
      <c r="AX16" s="175">
        <v>0</v>
      </c>
      <c r="AY16" s="176">
        <v>12</v>
      </c>
      <c r="AZ16" s="177">
        <f t="shared" si="2"/>
        <v>0</v>
      </c>
      <c r="BA16" s="177"/>
      <c r="BB16" s="177"/>
      <c r="BC16" s="178">
        <v>46023</v>
      </c>
      <c r="BD16" s="179"/>
      <c r="BE16" s="179">
        <v>27498000</v>
      </c>
      <c r="BF16" s="180">
        <f t="shared" ref="BF16:BF79" si="22">BG16*12</f>
        <v>28203600</v>
      </c>
      <c r="BG16" s="179">
        <f t="shared" ref="BG16:BG79" si="23">BH16+BM16+BN16+BO16</f>
        <v>2350300</v>
      </c>
      <c r="BH16" s="179">
        <v>1699000</v>
      </c>
      <c r="BI16" s="181">
        <f>ROUND((BH16+BO16)/BJ16,2)</f>
        <v>10320.65</v>
      </c>
      <c r="BJ16" s="181">
        <f>IF(AT16="통상",209,VLOOKUP(AD16,'[2]스케줄 분석_20260109'!$B$3:$F$20,5,FALSE))</f>
        <v>184</v>
      </c>
      <c r="BK16" s="181">
        <f>IF(AT16="통상",15,VLOOKUP(AD16,'[2]스케줄 분석_20260109'!$B$3:$P$20,10,FALSE))</f>
        <v>38.020000000000003</v>
      </c>
      <c r="BL16" s="181">
        <f>IF(AT16="통상",0,VLOOKUP(AD16,'[2]스케줄 분석_20260109'!$B$3:$P$20,11,FALSE))</f>
        <v>49.43</v>
      </c>
      <c r="BM16" s="179">
        <f t="shared" ref="BM16:BM79" si="24">IF(OR(AT16="통상",AT16="스케줄_파라"),ROUNDUP(BI16*BK16*1.5,-2),IF(OR(AT16="스케줄",AT16="휴직_스케줄"),ROUNDUP(BI16*BK16*0.5,-2),"확인바람"))</f>
        <v>196200</v>
      </c>
      <c r="BN16" s="179">
        <f t="shared" ref="BN16:BN79" si="25">ROUNDUP(BI16*BL16*0.5,-2)</f>
        <v>255100</v>
      </c>
      <c r="BO16" s="177">
        <v>200000</v>
      </c>
      <c r="BP16" s="177">
        <f>IF(OR(AT16="스케줄",AT16="스케줄_파라"),ROUNDUP(VLOOKUP(AD16,'[2]스케줄 분석_20260109'!$B$3:$Y$20,23,FALSE)*(VLOOKUP(AD16,'[2]스케줄 분석_20260109'!$B$3:$Y$20,21,FALSE)/VLOOKUP(AD16,'[2]스케줄 분석_20260109'!$B$3:$Y$20,20,FALSE))*VLOOKUP(AD16,'[2]스케줄 분석_20260109'!$B$3:$Y$20,22,FALSE)*VLOOKUP(AD16,'[2]스케줄 분석_20260109'!$B$3:$Y$20,2,FALSE)*1.5*BI16,0),0)</f>
        <v>1869328</v>
      </c>
      <c r="BQ16" s="182" t="str">
        <f t="shared" ref="BQ16:BQ79" si="26">IF(BI16&gt;=$D$1,"적합","미달")</f>
        <v>적합</v>
      </c>
      <c r="BR16" s="177"/>
      <c r="BS16" s="183">
        <f t="shared" ref="BS16:BS79" si="27">IF(AT16="통상",BI16*8*5,IF(OR(AT16="스케줄",AT16="스케줄_파라"),BI16*100,"확인"))</f>
        <v>1032065</v>
      </c>
      <c r="BT16" s="183">
        <f t="shared" ref="BT16:BT79" si="28">BG16+BS16/12</f>
        <v>2436305.4166666665</v>
      </c>
      <c r="BU16" s="177">
        <f t="shared" ref="BU16:BU79" si="29">(BF16-BO16*12)*0.0475</f>
        <v>1225671</v>
      </c>
      <c r="BV16" s="177">
        <f t="shared" ref="BV16:BV79" si="30">(BF16-BO16*12)*0.036+(BF16-BO16*12)*0.036*0.1314</f>
        <v>1050990.9494399999</v>
      </c>
      <c r="BW16" s="177">
        <f t="shared" ref="BW16:BW79" si="31">(BF16-BO16*12)*(0.009+0.0065)</f>
        <v>399955.8</v>
      </c>
      <c r="BX16" s="177">
        <f t="shared" ref="BX16:BX79" si="32">(BF16-BO16*12)*0.0066</f>
        <v>170303.76</v>
      </c>
      <c r="BY16" s="177">
        <f t="shared" si="20"/>
        <v>2937875</v>
      </c>
      <c r="BZ16" s="184">
        <f t="shared" ref="BZ16:BZ79" si="33">SUM(BF16,BS16:BT16)</f>
        <v>31671970.416666668</v>
      </c>
      <c r="CA16" s="177">
        <f t="shared" ref="CA16:CA79" si="34">SUM(BU16:BX16)</f>
        <v>2846921.5094399992</v>
      </c>
      <c r="CB16" s="184">
        <f t="shared" ref="CB16:CB79" si="35">BF16*1.25</f>
        <v>35254500</v>
      </c>
      <c r="CC16" s="185">
        <f t="shared" ref="CC16:CC79" si="36">AZ16-CB16-BP16*1.21</f>
        <v>-37516386.880000003</v>
      </c>
      <c r="CD16" s="186">
        <f t="shared" si="7"/>
        <v>0</v>
      </c>
      <c r="CG16" s="23" t="s">
        <v>437</v>
      </c>
      <c r="CH16" s="23" t="s">
        <v>438</v>
      </c>
      <c r="CK16" s="187"/>
      <c r="CL16" s="188"/>
    </row>
    <row r="17" spans="1:117" ht="17.25" customHeight="1">
      <c r="A17" s="23">
        <f t="shared" si="9"/>
        <v>14</v>
      </c>
      <c r="B17" s="189" t="s">
        <v>439</v>
      </c>
      <c r="C17" s="190">
        <v>2014006</v>
      </c>
      <c r="D17" s="191" t="s">
        <v>409</v>
      </c>
      <c r="E17" s="192" t="s">
        <v>410</v>
      </c>
      <c r="F17" s="193" t="s">
        <v>440</v>
      </c>
      <c r="G17" s="189" t="s">
        <v>441</v>
      </c>
      <c r="H17" s="192" t="s">
        <v>442</v>
      </c>
      <c r="I17" s="192" t="s">
        <v>443</v>
      </c>
      <c r="J17" s="194" t="s">
        <v>178</v>
      </c>
      <c r="K17" s="79" t="s">
        <v>444</v>
      </c>
      <c r="L17" s="195" t="s">
        <v>445</v>
      </c>
      <c r="M17" s="192" t="s">
        <v>417</v>
      </c>
      <c r="N17" s="196" t="s">
        <v>446</v>
      </c>
      <c r="O17" s="197" t="s">
        <v>447</v>
      </c>
      <c r="P17" s="198" t="s">
        <v>448</v>
      </c>
      <c r="Q17" s="199">
        <v>33725</v>
      </c>
      <c r="R17" s="199">
        <v>40613</v>
      </c>
      <c r="S17" s="199">
        <v>41640</v>
      </c>
      <c r="T17" s="200" t="s">
        <v>449</v>
      </c>
      <c r="U17" s="200"/>
      <c r="V17" s="201" t="s">
        <v>215</v>
      </c>
      <c r="W17" s="202"/>
      <c r="X17" s="202"/>
      <c r="Y17" s="202"/>
      <c r="Z17" s="203">
        <f t="shared" ca="1" si="21"/>
        <v>12436</v>
      </c>
      <c r="AA17" s="203">
        <f t="shared" ca="1" si="1"/>
        <v>5548</v>
      </c>
      <c r="AB17" s="204"/>
      <c r="AC17" s="204"/>
      <c r="AD17" t="s">
        <v>450</v>
      </c>
      <c r="AE17" s="78" t="s">
        <v>217</v>
      </c>
      <c r="AF17" s="78" t="s">
        <v>218</v>
      </c>
      <c r="AG17" s="78" t="s">
        <v>218</v>
      </c>
      <c r="AH17" s="23" t="s">
        <v>161</v>
      </c>
      <c r="AI17" s="23" t="s">
        <v>162</v>
      </c>
      <c r="AJ17" s="205" t="s">
        <v>427</v>
      </c>
      <c r="AK17" s="189">
        <v>13486</v>
      </c>
      <c r="AL17" s="78" t="s">
        <v>428</v>
      </c>
      <c r="AM17" s="206">
        <v>10494</v>
      </c>
      <c r="AN17" s="207" t="s">
        <v>451</v>
      </c>
      <c r="AO17" s="78" t="s">
        <v>431</v>
      </c>
      <c r="AP17" s="208" t="s">
        <v>432</v>
      </c>
      <c r="AQ17" s="201" t="s">
        <v>452</v>
      </c>
      <c r="AS17" s="209" t="s">
        <v>453</v>
      </c>
      <c r="AT17" s="23" t="s">
        <v>201</v>
      </c>
      <c r="AU17" s="23" t="s">
        <v>435</v>
      </c>
      <c r="AV17" s="210" t="s">
        <v>454</v>
      </c>
      <c r="AW17" s="211">
        <v>8160000</v>
      </c>
      <c r="AX17" s="175">
        <v>8160000</v>
      </c>
      <c r="AY17" s="212">
        <v>12</v>
      </c>
      <c r="AZ17" s="213">
        <f t="shared" si="2"/>
        <v>97920000</v>
      </c>
      <c r="BA17" s="213"/>
      <c r="BB17" s="213"/>
      <c r="BC17" s="214">
        <v>45839</v>
      </c>
      <c r="BD17" s="215">
        <v>70848000</v>
      </c>
      <c r="BE17" s="215">
        <v>73248000</v>
      </c>
      <c r="BF17" s="215">
        <f t="shared" si="22"/>
        <v>73248000</v>
      </c>
      <c r="BG17" s="215">
        <f t="shared" si="23"/>
        <v>6104000</v>
      </c>
      <c r="BH17" s="215">
        <v>5310700</v>
      </c>
      <c r="BI17" s="216">
        <f t="shared" ref="BI17:BI80" si="37">ROUND((BH17+BO17)/BJ17,2)</f>
        <v>26366.99</v>
      </c>
      <c r="BJ17" s="216">
        <f>IF(AT17="통상",209,VLOOKUP(AD17,'[2]스케줄 분석_20260109'!$B$3:$F$20,5,FALSE))</f>
        <v>209</v>
      </c>
      <c r="BK17" s="216">
        <f>IF(AT17="통상",15,VLOOKUP(AD17,'[2]스케줄 분석_20260109'!$B$3:$P$20,10,FALSE))</f>
        <v>15</v>
      </c>
      <c r="BL17" s="216">
        <f>IF(AT17="통상",0,VLOOKUP(AD17,'[2]스케줄 분석_20260109'!$B$3:$P$20,11,FALSE))</f>
        <v>0</v>
      </c>
      <c r="BM17" s="215">
        <f t="shared" si="24"/>
        <v>593300</v>
      </c>
      <c r="BN17" s="175">
        <f t="shared" si="25"/>
        <v>0</v>
      </c>
      <c r="BO17" s="213">
        <v>200000</v>
      </c>
      <c r="BP17" s="175">
        <f>IF(OR(AT17="스케줄",AT17="스케줄_파라"),ROUNDUP(VLOOKUP(AD17,'[2]스케줄 분석_20260109'!$B$3:$Y$20,23,FALSE)*(VLOOKUP(AD17,'[2]스케줄 분석_20260109'!$B$3:$Y$20,21,FALSE)/VLOOKUP(AD17,'[2]스케줄 분석_20260109'!$B$3:$Y$20,20,FALSE))*VLOOKUP(AD17,'[2]스케줄 분석_20260109'!$B$3:$Y$20,22,FALSE)*VLOOKUP(AD17,'[2]스케줄 분석_20260109'!$B$3:$Y$20,2,FALSE)*1.5*BI17,0),0)</f>
        <v>0</v>
      </c>
      <c r="BQ17" s="217" t="str">
        <f t="shared" si="26"/>
        <v>적합</v>
      </c>
      <c r="BR17" s="213"/>
      <c r="BS17" s="218">
        <f t="shared" si="27"/>
        <v>1054679.6000000001</v>
      </c>
      <c r="BT17" s="219">
        <f t="shared" si="28"/>
        <v>6191889.9666666668</v>
      </c>
      <c r="BU17" s="175">
        <f t="shared" si="29"/>
        <v>3365280</v>
      </c>
      <c r="BV17" s="175">
        <f t="shared" si="30"/>
        <v>2885667.3791999999</v>
      </c>
      <c r="BW17" s="175">
        <f t="shared" si="31"/>
        <v>1098144</v>
      </c>
      <c r="BX17" s="175">
        <f t="shared" si="32"/>
        <v>467596.79999999999</v>
      </c>
      <c r="BY17" s="213">
        <f t="shared" si="20"/>
        <v>7630000</v>
      </c>
      <c r="BZ17" s="220">
        <f t="shared" si="33"/>
        <v>80494569.566666663</v>
      </c>
      <c r="CA17" s="213">
        <f t="shared" si="34"/>
        <v>7816688.1792000001</v>
      </c>
      <c r="CB17" s="221">
        <f t="shared" si="35"/>
        <v>91560000</v>
      </c>
      <c r="CC17" s="222">
        <f t="shared" si="36"/>
        <v>6360000</v>
      </c>
      <c r="CD17" s="223">
        <f t="shared" si="7"/>
        <v>6.4950980392156872</v>
      </c>
      <c r="CE17" s="224"/>
      <c r="CF17" s="224"/>
      <c r="CG17" s="225"/>
      <c r="CH17" s="225"/>
      <c r="CI17" s="226"/>
      <c r="CK17" s="187"/>
      <c r="CL17" s="188"/>
    </row>
    <row r="18" spans="1:117" ht="17.25" customHeight="1">
      <c r="A18" s="23">
        <f t="shared" si="9"/>
        <v>15</v>
      </c>
      <c r="B18" s="23" t="s">
        <v>439</v>
      </c>
      <c r="C18" s="190">
        <v>2014010</v>
      </c>
      <c r="D18" s="194" t="s">
        <v>455</v>
      </c>
      <c r="E18" s="227" t="s">
        <v>456</v>
      </c>
      <c r="F18" s="227" t="s">
        <v>456</v>
      </c>
      <c r="G18" s="23" t="s">
        <v>251</v>
      </c>
      <c r="H18" s="227" t="s">
        <v>457</v>
      </c>
      <c r="I18" s="227" t="s">
        <v>206</v>
      </c>
      <c r="J18" s="194" t="s">
        <v>207</v>
      </c>
      <c r="K18" s="79" t="s">
        <v>458</v>
      </c>
      <c r="L18" s="227"/>
      <c r="M18" s="227" t="s">
        <v>459</v>
      </c>
      <c r="N18" s="228" t="s">
        <v>460</v>
      </c>
      <c r="O18" s="197" t="s">
        <v>461</v>
      </c>
      <c r="P18" s="229" t="s">
        <v>462</v>
      </c>
      <c r="Q18" s="214">
        <v>33664</v>
      </c>
      <c r="R18" s="230">
        <v>45139</v>
      </c>
      <c r="S18" s="214"/>
      <c r="T18" s="231" t="s">
        <v>463</v>
      </c>
      <c r="U18" s="200"/>
      <c r="V18" s="201" t="s">
        <v>278</v>
      </c>
      <c r="W18" s="200"/>
      <c r="X18" s="200"/>
      <c r="Y18" s="200"/>
      <c r="Z18" s="203">
        <f t="shared" ca="1" si="21"/>
        <v>12497</v>
      </c>
      <c r="AA18" s="203">
        <f t="shared" ca="1" si="1"/>
        <v>1022</v>
      </c>
      <c r="AB18" s="232"/>
      <c r="AC18" s="232"/>
      <c r="AD18" t="s">
        <v>464</v>
      </c>
      <c r="AE18" s="78" t="s">
        <v>190</v>
      </c>
      <c r="AF18" s="78" t="s">
        <v>263</v>
      </c>
      <c r="AG18" s="78" t="s">
        <v>263</v>
      </c>
      <c r="AH18" s="23" t="s">
        <v>161</v>
      </c>
      <c r="AI18" s="23" t="s">
        <v>465</v>
      </c>
      <c r="AJ18" s="23" t="s">
        <v>466</v>
      </c>
      <c r="AK18" s="233" t="s">
        <v>467</v>
      </c>
      <c r="AL18" s="78" t="s">
        <v>468</v>
      </c>
      <c r="AM18" s="206">
        <v>15875</v>
      </c>
      <c r="AN18" s="207" t="s">
        <v>469</v>
      </c>
      <c r="AO18" s="78" t="s">
        <v>222</v>
      </c>
      <c r="AP18" s="78" t="s">
        <v>470</v>
      </c>
      <c r="AQ18" s="201" t="s">
        <v>471</v>
      </c>
      <c r="AR18" s="201" t="s">
        <v>472</v>
      </c>
      <c r="AS18" s="209" t="s">
        <v>473</v>
      </c>
      <c r="AT18" s="23" t="s">
        <v>201</v>
      </c>
      <c r="AU18" s="23" t="s">
        <v>435</v>
      </c>
      <c r="AV18" s="210" t="s">
        <v>454</v>
      </c>
      <c r="AW18" s="211">
        <v>6598000</v>
      </c>
      <c r="AX18" s="175">
        <v>6598000</v>
      </c>
      <c r="AY18" s="212">
        <v>12</v>
      </c>
      <c r="AZ18" s="213">
        <f t="shared" si="2"/>
        <v>79176000</v>
      </c>
      <c r="BA18" s="234"/>
      <c r="BB18" s="234"/>
      <c r="BC18" s="214">
        <v>45839</v>
      </c>
      <c r="BD18" s="235">
        <v>54444000</v>
      </c>
      <c r="BE18" s="215">
        <v>55644000</v>
      </c>
      <c r="BF18" s="215">
        <f t="shared" si="22"/>
        <v>55644000</v>
      </c>
      <c r="BG18" s="215">
        <f t="shared" si="23"/>
        <v>4637000</v>
      </c>
      <c r="BH18" s="215">
        <v>3986300</v>
      </c>
      <c r="BI18" s="216">
        <f t="shared" si="37"/>
        <v>20030.14</v>
      </c>
      <c r="BJ18" s="216">
        <f>IF(AT18="통상",209,VLOOKUP(AD18,'[2]스케줄 분석_20260109'!$B$3:$F$20,5,FALSE))</f>
        <v>209</v>
      </c>
      <c r="BK18" s="216">
        <f>IF(AT18="통상",15,VLOOKUP(AD18,'[2]스케줄 분석_20260109'!$B$3:$P$20,10,FALSE))</f>
        <v>15</v>
      </c>
      <c r="BL18" s="216">
        <f>IF(AT18="통상",0,VLOOKUP(AD18,'[2]스케줄 분석_20260109'!$B$3:$P$20,11,FALSE))</f>
        <v>0</v>
      </c>
      <c r="BM18" s="215">
        <f t="shared" si="24"/>
        <v>450700</v>
      </c>
      <c r="BN18" s="175">
        <f t="shared" si="25"/>
        <v>0</v>
      </c>
      <c r="BO18" s="213">
        <v>200000</v>
      </c>
      <c r="BP18" s="175">
        <f>IF(OR(AT18="스케줄",AT18="스케줄_파라"),ROUNDUP(VLOOKUP(AD18,'[2]스케줄 분석_20260109'!$B$3:$Y$20,23,FALSE)*(VLOOKUP(AD18,'[2]스케줄 분석_20260109'!$B$3:$Y$20,21,FALSE)/VLOOKUP(AD18,'[2]스케줄 분석_20260109'!$B$3:$Y$20,20,FALSE))*VLOOKUP(AD18,'[2]스케줄 분석_20260109'!$B$3:$Y$20,22,FALSE)*VLOOKUP(AD18,'[2]스케줄 분석_20260109'!$B$3:$Y$20,2,FALSE)*1.5*BI18,0),0)</f>
        <v>0</v>
      </c>
      <c r="BQ18" s="217" t="str">
        <f t="shared" si="26"/>
        <v>적합</v>
      </c>
      <c r="BR18" s="213"/>
      <c r="BS18" s="218">
        <f t="shared" si="27"/>
        <v>801205.6</v>
      </c>
      <c r="BT18" s="219">
        <f t="shared" si="28"/>
        <v>4703767.1333333338</v>
      </c>
      <c r="BU18" s="175">
        <f t="shared" si="29"/>
        <v>2529090</v>
      </c>
      <c r="BV18" s="175">
        <f t="shared" si="30"/>
        <v>2168649.4175999998</v>
      </c>
      <c r="BW18" s="175">
        <f t="shared" si="31"/>
        <v>825282</v>
      </c>
      <c r="BX18" s="175">
        <f t="shared" si="32"/>
        <v>351410.4</v>
      </c>
      <c r="BY18" s="213">
        <f t="shared" si="20"/>
        <v>5796250</v>
      </c>
      <c r="BZ18" s="220">
        <f t="shared" si="33"/>
        <v>61148972.733333334</v>
      </c>
      <c r="CA18" s="213">
        <f t="shared" si="34"/>
        <v>5874431.8176000006</v>
      </c>
      <c r="CB18" s="221">
        <f t="shared" si="35"/>
        <v>69555000</v>
      </c>
      <c r="CC18" s="222">
        <f t="shared" si="36"/>
        <v>9621000</v>
      </c>
      <c r="CD18" s="223">
        <f t="shared" si="7"/>
        <v>12.151409518035768</v>
      </c>
      <c r="CK18" s="187"/>
      <c r="CL18" s="188"/>
    </row>
    <row r="19" spans="1:117" ht="17.25" customHeight="1">
      <c r="A19" s="23">
        <f t="shared" si="9"/>
        <v>16</v>
      </c>
      <c r="B19" s="23" t="s">
        <v>439</v>
      </c>
      <c r="C19" s="190">
        <v>2014013</v>
      </c>
      <c r="D19" s="194" t="s">
        <v>474</v>
      </c>
      <c r="E19" s="227" t="s">
        <v>149</v>
      </c>
      <c r="F19" s="227" t="s">
        <v>475</v>
      </c>
      <c r="G19" s="23" t="s">
        <v>476</v>
      </c>
      <c r="H19" s="227" t="s">
        <v>442</v>
      </c>
      <c r="I19" s="227" t="s">
        <v>309</v>
      </c>
      <c r="J19" s="194" t="s">
        <v>207</v>
      </c>
      <c r="K19" s="79" t="s">
        <v>179</v>
      </c>
      <c r="L19" s="227"/>
      <c r="M19" s="227" t="s">
        <v>477</v>
      </c>
      <c r="N19" s="228" t="s">
        <v>478</v>
      </c>
      <c r="O19" s="197" t="s">
        <v>479</v>
      </c>
      <c r="P19" s="229" t="s">
        <v>480</v>
      </c>
      <c r="Q19" s="214">
        <v>32964</v>
      </c>
      <c r="R19" s="214">
        <v>40613</v>
      </c>
      <c r="S19" s="214">
        <v>41640</v>
      </c>
      <c r="T19" s="231" t="s">
        <v>481</v>
      </c>
      <c r="U19" s="200"/>
      <c r="V19" s="201" t="s">
        <v>394</v>
      </c>
      <c r="W19" s="200"/>
      <c r="X19" s="200"/>
      <c r="Y19" s="200"/>
      <c r="Z19" s="203">
        <f t="shared" ca="1" si="21"/>
        <v>13197</v>
      </c>
      <c r="AA19" s="203">
        <f t="shared" ca="1" si="1"/>
        <v>5548</v>
      </c>
      <c r="AB19" s="232"/>
      <c r="AC19" s="232"/>
      <c r="AD19" s="78" t="s">
        <v>482</v>
      </c>
      <c r="AE19" s="78" t="s">
        <v>217</v>
      </c>
      <c r="AF19" s="78" t="s">
        <v>160</v>
      </c>
      <c r="AG19" s="78" t="s">
        <v>160</v>
      </c>
      <c r="AH19" s="23" t="s">
        <v>161</v>
      </c>
      <c r="AI19" s="23" t="s">
        <v>162</v>
      </c>
      <c r="AJ19" s="23" t="s">
        <v>483</v>
      </c>
      <c r="AK19" s="23">
        <v>13486</v>
      </c>
      <c r="AL19" s="78" t="s">
        <v>484</v>
      </c>
      <c r="AM19" s="206">
        <v>13436</v>
      </c>
      <c r="AN19" s="207" t="s">
        <v>485</v>
      </c>
      <c r="AO19" s="78" t="s">
        <v>166</v>
      </c>
      <c r="AP19" s="78" t="s">
        <v>486</v>
      </c>
      <c r="AQ19" s="201" t="s">
        <v>487</v>
      </c>
      <c r="AS19" s="209" t="s">
        <v>488</v>
      </c>
      <c r="AT19" s="23" t="s">
        <v>201</v>
      </c>
      <c r="AU19" s="23" t="s">
        <v>435</v>
      </c>
      <c r="AV19" s="210" t="s">
        <v>454</v>
      </c>
      <c r="AW19" s="211">
        <v>7355000</v>
      </c>
      <c r="AX19" s="175">
        <v>7355000</v>
      </c>
      <c r="AY19" s="236">
        <v>12</v>
      </c>
      <c r="AZ19" s="213">
        <f t="shared" si="2"/>
        <v>88260000</v>
      </c>
      <c r="BA19" s="213"/>
      <c r="BB19" s="213"/>
      <c r="BC19" s="214">
        <v>45839</v>
      </c>
      <c r="BD19" s="215">
        <v>65040000</v>
      </c>
      <c r="BE19" s="215">
        <v>66480000</v>
      </c>
      <c r="BF19" s="215">
        <f t="shared" si="22"/>
        <v>66480000</v>
      </c>
      <c r="BG19" s="215">
        <f t="shared" si="23"/>
        <v>5540000</v>
      </c>
      <c r="BH19" s="215">
        <v>4801500</v>
      </c>
      <c r="BI19" s="216">
        <f t="shared" si="37"/>
        <v>23930.62</v>
      </c>
      <c r="BJ19" s="216">
        <f>IF(AT19="통상",209,VLOOKUP(AD19,'[2]스케줄 분석_20260109'!$B$3:$F$20,5,FALSE))</f>
        <v>209</v>
      </c>
      <c r="BK19" s="216">
        <f>IF(AT19="통상",15,VLOOKUP(AD19,'[2]스케줄 분석_20260109'!$B$3:$P$20,10,FALSE))</f>
        <v>15</v>
      </c>
      <c r="BL19" s="216">
        <f>IF(AT19="통상",0,VLOOKUP(AD19,'[2]스케줄 분석_20260109'!$B$3:$P$20,11,FALSE))</f>
        <v>0</v>
      </c>
      <c r="BM19" s="215">
        <f t="shared" si="24"/>
        <v>538500</v>
      </c>
      <c r="BN19" s="175">
        <f t="shared" si="25"/>
        <v>0</v>
      </c>
      <c r="BO19" s="213">
        <v>200000</v>
      </c>
      <c r="BP19" s="175">
        <f>IF(OR(AT19="스케줄",AT19="스케줄_파라"),ROUNDUP(VLOOKUP(AD19,'[2]스케줄 분석_20260109'!$B$3:$Y$20,23,FALSE)*(VLOOKUP(AD19,'[2]스케줄 분석_20260109'!$B$3:$Y$20,21,FALSE)/VLOOKUP(AD19,'[2]스케줄 분석_20260109'!$B$3:$Y$20,20,FALSE))*VLOOKUP(AD19,'[2]스케줄 분석_20260109'!$B$3:$Y$20,22,FALSE)*VLOOKUP(AD19,'[2]스케줄 분석_20260109'!$B$3:$Y$20,2,FALSE)*1.5*BI19,0),0)</f>
        <v>0</v>
      </c>
      <c r="BQ19" s="217" t="str">
        <f t="shared" si="26"/>
        <v>적합</v>
      </c>
      <c r="BR19" s="213"/>
      <c r="BS19" s="218">
        <f t="shared" si="27"/>
        <v>957224.79999999993</v>
      </c>
      <c r="BT19" s="219">
        <f t="shared" si="28"/>
        <v>5619768.7333333334</v>
      </c>
      <c r="BU19" s="175">
        <f t="shared" si="29"/>
        <v>3043800</v>
      </c>
      <c r="BV19" s="175">
        <f t="shared" si="30"/>
        <v>2610004.0320000001</v>
      </c>
      <c r="BW19" s="175">
        <f t="shared" si="31"/>
        <v>993240</v>
      </c>
      <c r="BX19" s="175">
        <f t="shared" si="32"/>
        <v>422928</v>
      </c>
      <c r="BY19" s="213">
        <f t="shared" si="20"/>
        <v>6925000</v>
      </c>
      <c r="BZ19" s="220">
        <f t="shared" si="33"/>
        <v>73056993.533333331</v>
      </c>
      <c r="CA19" s="213">
        <f t="shared" si="34"/>
        <v>7069972.0319999997</v>
      </c>
      <c r="CB19" s="221">
        <f t="shared" si="35"/>
        <v>83100000</v>
      </c>
      <c r="CC19" s="222">
        <f t="shared" si="36"/>
        <v>5160000</v>
      </c>
      <c r="CD19" s="223">
        <f t="shared" si="7"/>
        <v>5.8463630183548609</v>
      </c>
      <c r="CI19" s="78" t="s">
        <v>489</v>
      </c>
      <c r="CK19" s="187"/>
      <c r="CL19" s="188"/>
    </row>
    <row r="20" spans="1:117" ht="17.100000000000001" customHeight="1">
      <c r="A20" s="23">
        <f t="shared" si="9"/>
        <v>17</v>
      </c>
      <c r="B20" s="23" t="s">
        <v>439</v>
      </c>
      <c r="C20" s="190">
        <v>2014016</v>
      </c>
      <c r="D20" s="194" t="s">
        <v>490</v>
      </c>
      <c r="E20" s="227" t="s">
        <v>491</v>
      </c>
      <c r="F20" s="227" t="s">
        <v>492</v>
      </c>
      <c r="G20" s="23" t="s">
        <v>476</v>
      </c>
      <c r="H20" s="227" t="s">
        <v>457</v>
      </c>
      <c r="I20" s="227" t="s">
        <v>309</v>
      </c>
      <c r="J20" s="194" t="s">
        <v>207</v>
      </c>
      <c r="K20" s="79" t="s">
        <v>444</v>
      </c>
      <c r="L20" s="227"/>
      <c r="M20" s="227" t="s">
        <v>493</v>
      </c>
      <c r="N20" s="228" t="s">
        <v>494</v>
      </c>
      <c r="O20" s="237" t="s">
        <v>495</v>
      </c>
      <c r="P20" s="229" t="s">
        <v>496</v>
      </c>
      <c r="Q20" s="214">
        <v>36008</v>
      </c>
      <c r="R20" s="214">
        <v>40634</v>
      </c>
      <c r="S20" s="214">
        <v>41640</v>
      </c>
      <c r="T20" s="231" t="s">
        <v>497</v>
      </c>
      <c r="U20" s="200"/>
      <c r="V20" s="201" t="s">
        <v>215</v>
      </c>
      <c r="W20" s="231" t="s">
        <v>498</v>
      </c>
      <c r="X20" s="200" t="s">
        <v>499</v>
      </c>
      <c r="Y20" s="200" t="s">
        <v>500</v>
      </c>
      <c r="Z20" s="203">
        <f t="shared" ca="1" si="21"/>
        <v>10153</v>
      </c>
      <c r="AA20" s="203">
        <f t="shared" ca="1" si="1"/>
        <v>5527</v>
      </c>
      <c r="AB20" s="232"/>
      <c r="AC20" s="232"/>
      <c r="AD20" t="s">
        <v>501</v>
      </c>
      <c r="AE20" s="78" t="s">
        <v>190</v>
      </c>
      <c r="AF20" s="78" t="s">
        <v>218</v>
      </c>
      <c r="AG20" s="78" t="s">
        <v>502</v>
      </c>
      <c r="AH20" s="23" t="s">
        <v>161</v>
      </c>
      <c r="AI20" s="23" t="s">
        <v>503</v>
      </c>
      <c r="AJ20" s="23" t="s">
        <v>504</v>
      </c>
      <c r="AK20" s="23" t="s">
        <v>505</v>
      </c>
      <c r="AL20" s="78" t="s">
        <v>506</v>
      </c>
      <c r="AM20" s="206" t="s">
        <v>507</v>
      </c>
      <c r="AN20" s="207" t="s">
        <v>508</v>
      </c>
      <c r="AO20" s="78" t="s">
        <v>222</v>
      </c>
      <c r="AP20" s="78" t="s">
        <v>509</v>
      </c>
      <c r="AQ20" s="201" t="s">
        <v>471</v>
      </c>
      <c r="AR20" s="201" t="s">
        <v>510</v>
      </c>
      <c r="AS20" s="209" t="s">
        <v>226</v>
      </c>
      <c r="AT20" s="23" t="s">
        <v>201</v>
      </c>
      <c r="AU20" s="23" t="s">
        <v>435</v>
      </c>
      <c r="AV20" s="210" t="s">
        <v>454</v>
      </c>
      <c r="AW20" s="211">
        <v>6316000</v>
      </c>
      <c r="AX20" s="175">
        <v>6316000</v>
      </c>
      <c r="AY20" s="212">
        <v>12</v>
      </c>
      <c r="AZ20" s="213">
        <f t="shared" si="2"/>
        <v>75792000</v>
      </c>
      <c r="BA20" s="213"/>
      <c r="BB20" s="213"/>
      <c r="BC20" s="214">
        <v>45839</v>
      </c>
      <c r="BD20" s="215">
        <v>56604000</v>
      </c>
      <c r="BE20" s="215">
        <v>57804000</v>
      </c>
      <c r="BF20" s="215">
        <f t="shared" si="22"/>
        <v>57804000</v>
      </c>
      <c r="BG20" s="215">
        <f t="shared" si="23"/>
        <v>4817000</v>
      </c>
      <c r="BH20" s="215">
        <v>4148800</v>
      </c>
      <c r="BI20" s="216">
        <f t="shared" si="37"/>
        <v>20807.66</v>
      </c>
      <c r="BJ20" s="216">
        <f>IF(AT20="통상",209,VLOOKUP(AD20,'[2]스케줄 분석_20260109'!$B$3:$F$20,5,FALSE))</f>
        <v>209</v>
      </c>
      <c r="BK20" s="216">
        <f>IF(AT20="통상",15,VLOOKUP(AD20,'[2]스케줄 분석_20260109'!$B$3:$P$20,10,FALSE))</f>
        <v>15</v>
      </c>
      <c r="BL20" s="216">
        <f>IF(AT20="통상",0,VLOOKUP(AD20,'[2]스케줄 분석_20260109'!$B$3:$P$20,11,FALSE))</f>
        <v>0</v>
      </c>
      <c r="BM20" s="215">
        <f t="shared" si="24"/>
        <v>468200</v>
      </c>
      <c r="BN20" s="175">
        <f t="shared" si="25"/>
        <v>0</v>
      </c>
      <c r="BO20" s="213">
        <v>200000</v>
      </c>
      <c r="BP20" s="175">
        <f>IF(OR(AT20="스케줄",AT20="스케줄_파라"),ROUNDUP(VLOOKUP(AD20,'[2]스케줄 분석_20260109'!$B$3:$Y$20,23,FALSE)*(VLOOKUP(AD20,'[2]스케줄 분석_20260109'!$B$3:$Y$20,21,FALSE)/VLOOKUP(AD20,'[2]스케줄 분석_20260109'!$B$3:$Y$20,20,FALSE))*VLOOKUP(AD20,'[2]스케줄 분석_20260109'!$B$3:$Y$20,22,FALSE)*VLOOKUP(AD20,'[2]스케줄 분석_20260109'!$B$3:$Y$20,2,FALSE)*1.5*BI20,0),0)</f>
        <v>0</v>
      </c>
      <c r="BQ20" s="217" t="str">
        <f t="shared" si="26"/>
        <v>적합</v>
      </c>
      <c r="BR20" s="213"/>
      <c r="BS20" s="218">
        <f t="shared" si="27"/>
        <v>832306.4</v>
      </c>
      <c r="BT20" s="219">
        <f t="shared" si="28"/>
        <v>4886358.8666666662</v>
      </c>
      <c r="BU20" s="175">
        <f t="shared" si="29"/>
        <v>2631690</v>
      </c>
      <c r="BV20" s="175">
        <f t="shared" si="30"/>
        <v>2256627.0815999997</v>
      </c>
      <c r="BW20" s="175">
        <f t="shared" si="31"/>
        <v>858762</v>
      </c>
      <c r="BX20" s="175">
        <f t="shared" si="32"/>
        <v>365666.4</v>
      </c>
      <c r="BY20" s="213">
        <f t="shared" si="20"/>
        <v>6021250</v>
      </c>
      <c r="BZ20" s="220">
        <f t="shared" si="33"/>
        <v>63522665.266666666</v>
      </c>
      <c r="CA20" s="213">
        <f t="shared" si="34"/>
        <v>6112745.4815999996</v>
      </c>
      <c r="CB20" s="221">
        <f t="shared" si="35"/>
        <v>72255000</v>
      </c>
      <c r="CC20" s="222">
        <f t="shared" si="36"/>
        <v>3537000</v>
      </c>
      <c r="CD20" s="223">
        <f t="shared" si="7"/>
        <v>4.6667194426852436</v>
      </c>
      <c r="CK20" s="187"/>
      <c r="CL20" s="188"/>
    </row>
    <row r="21" spans="1:117" ht="17.25" customHeight="1">
      <c r="A21" s="23">
        <f t="shared" si="9"/>
        <v>18</v>
      </c>
      <c r="B21" s="23" t="s">
        <v>439</v>
      </c>
      <c r="C21" s="190">
        <v>2014017</v>
      </c>
      <c r="D21" s="194" t="s">
        <v>511</v>
      </c>
      <c r="E21" s="227" t="s">
        <v>512</v>
      </c>
      <c r="F21" s="227" t="s">
        <v>512</v>
      </c>
      <c r="G21" s="23" t="s">
        <v>251</v>
      </c>
      <c r="H21" s="227" t="s">
        <v>457</v>
      </c>
      <c r="I21" s="227" t="s">
        <v>443</v>
      </c>
      <c r="J21" s="194" t="s">
        <v>207</v>
      </c>
      <c r="K21" s="79" t="s">
        <v>458</v>
      </c>
      <c r="L21" s="227"/>
      <c r="M21" s="227" t="s">
        <v>513</v>
      </c>
      <c r="N21" s="228" t="s">
        <v>514</v>
      </c>
      <c r="O21" t="s">
        <v>515</v>
      </c>
      <c r="P21" s="229" t="s">
        <v>516</v>
      </c>
      <c r="Q21" s="214">
        <v>33512</v>
      </c>
      <c r="R21" s="214">
        <v>40634</v>
      </c>
      <c r="S21" s="214">
        <v>41640</v>
      </c>
      <c r="T21" s="231" t="s">
        <v>517</v>
      </c>
      <c r="U21" s="200"/>
      <c r="V21" s="201" t="s">
        <v>215</v>
      </c>
      <c r="W21" s="231" t="s">
        <v>518</v>
      </c>
      <c r="X21" s="200"/>
      <c r="Y21" s="200"/>
      <c r="Z21" s="203">
        <f t="shared" ca="1" si="21"/>
        <v>12649</v>
      </c>
      <c r="AA21" s="203">
        <f t="shared" ca="1" si="1"/>
        <v>5527</v>
      </c>
      <c r="AB21" s="232"/>
      <c r="AC21" s="232"/>
      <c r="AD21" s="78" t="s">
        <v>519</v>
      </c>
      <c r="AE21" s="78" t="s">
        <v>217</v>
      </c>
      <c r="AF21" s="78" t="s">
        <v>218</v>
      </c>
      <c r="AG21" s="78" t="s">
        <v>218</v>
      </c>
      <c r="AH21" s="23" t="s">
        <v>161</v>
      </c>
      <c r="AI21" s="23" t="s">
        <v>162</v>
      </c>
      <c r="AJ21" s="23" t="s">
        <v>520</v>
      </c>
      <c r="AK21" s="23">
        <v>13558</v>
      </c>
      <c r="AL21" s="78" t="s">
        <v>521</v>
      </c>
      <c r="AM21" s="206" t="s">
        <v>522</v>
      </c>
      <c r="AN21" s="207" t="s">
        <v>523</v>
      </c>
      <c r="AO21" s="78" t="s">
        <v>524</v>
      </c>
      <c r="AP21" s="201" t="s">
        <v>525</v>
      </c>
      <c r="AQ21" s="201" t="s">
        <v>471</v>
      </c>
      <c r="AS21" s="209" t="s">
        <v>526</v>
      </c>
      <c r="AT21" s="23" t="s">
        <v>201</v>
      </c>
      <c r="AU21" s="23" t="s">
        <v>435</v>
      </c>
      <c r="AV21" s="210" t="s">
        <v>454</v>
      </c>
      <c r="AW21" s="211">
        <v>6600000</v>
      </c>
      <c r="AX21" s="175">
        <v>6600000</v>
      </c>
      <c r="AY21" s="212">
        <v>12</v>
      </c>
      <c r="AZ21" s="213">
        <f t="shared" si="2"/>
        <v>79200000</v>
      </c>
      <c r="BA21" s="213"/>
      <c r="BB21" s="213"/>
      <c r="BC21" s="214">
        <v>45839</v>
      </c>
      <c r="BD21" s="235">
        <v>51444000</v>
      </c>
      <c r="BE21" s="215">
        <v>52644000</v>
      </c>
      <c r="BF21" s="215">
        <f t="shared" si="22"/>
        <v>52644000</v>
      </c>
      <c r="BG21" s="215">
        <f t="shared" si="23"/>
        <v>4387000</v>
      </c>
      <c r="BH21" s="215">
        <v>3760600</v>
      </c>
      <c r="BI21" s="216">
        <f t="shared" si="37"/>
        <v>18950.240000000002</v>
      </c>
      <c r="BJ21" s="216">
        <f>IF(AT21="통상",209,VLOOKUP(AD21,'[2]스케줄 분석_20260109'!$B$3:$F$20,5,FALSE))</f>
        <v>209</v>
      </c>
      <c r="BK21" s="216">
        <f>IF(AT21="통상",15,VLOOKUP(AD21,'[2]스케줄 분석_20260109'!$B$3:$P$20,10,FALSE))</f>
        <v>15</v>
      </c>
      <c r="BL21" s="216">
        <f>IF(AT21="통상",0,VLOOKUP(AD21,'[2]스케줄 분석_20260109'!$B$3:$P$20,11,FALSE))</f>
        <v>0</v>
      </c>
      <c r="BM21" s="215">
        <f t="shared" si="24"/>
        <v>426400</v>
      </c>
      <c r="BN21" s="175">
        <f t="shared" si="25"/>
        <v>0</v>
      </c>
      <c r="BO21" s="213">
        <v>200000</v>
      </c>
      <c r="BP21" s="175">
        <f>IF(OR(AT21="스케줄",AT21="스케줄_파라"),ROUNDUP(VLOOKUP(AD21,'[2]스케줄 분석_20260109'!$B$3:$Y$20,23,FALSE)*(VLOOKUP(AD21,'[2]스케줄 분석_20260109'!$B$3:$Y$20,21,FALSE)/VLOOKUP(AD21,'[2]스케줄 분석_20260109'!$B$3:$Y$20,20,FALSE))*VLOOKUP(AD21,'[2]스케줄 분석_20260109'!$B$3:$Y$20,22,FALSE)*VLOOKUP(AD21,'[2]스케줄 분석_20260109'!$B$3:$Y$20,2,FALSE)*1.5*BI21,0),0)</f>
        <v>0</v>
      </c>
      <c r="BQ21" s="217" t="str">
        <f t="shared" si="26"/>
        <v>적합</v>
      </c>
      <c r="BR21" s="213"/>
      <c r="BS21" s="218">
        <f t="shared" si="27"/>
        <v>758009.60000000009</v>
      </c>
      <c r="BT21" s="219">
        <f t="shared" si="28"/>
        <v>4450167.4666666668</v>
      </c>
      <c r="BU21" s="175">
        <f t="shared" si="29"/>
        <v>2386590</v>
      </c>
      <c r="BV21" s="175">
        <f t="shared" si="30"/>
        <v>2046458.2175999996</v>
      </c>
      <c r="BW21" s="175">
        <f t="shared" si="31"/>
        <v>778782</v>
      </c>
      <c r="BX21" s="175">
        <f t="shared" si="32"/>
        <v>331610.40000000002</v>
      </c>
      <c r="BY21" s="213">
        <f t="shared" si="20"/>
        <v>5483750</v>
      </c>
      <c r="BZ21" s="220">
        <f t="shared" si="33"/>
        <v>57852177.06666667</v>
      </c>
      <c r="CA21" s="213">
        <f t="shared" si="34"/>
        <v>5543440.6175999995</v>
      </c>
      <c r="CB21" s="221">
        <f t="shared" si="35"/>
        <v>65805000</v>
      </c>
      <c r="CC21" s="222">
        <f t="shared" si="36"/>
        <v>13395000</v>
      </c>
      <c r="CD21" s="223">
        <f t="shared" si="7"/>
        <v>16.912878787878789</v>
      </c>
      <c r="CK21" s="187"/>
      <c r="CL21" s="188"/>
    </row>
    <row r="22" spans="1:117" ht="17.25" customHeight="1">
      <c r="A22" s="23">
        <f t="shared" si="9"/>
        <v>19</v>
      </c>
      <c r="B22" s="23" t="s">
        <v>439</v>
      </c>
      <c r="C22" s="190">
        <v>2014021</v>
      </c>
      <c r="D22" s="194" t="s">
        <v>527</v>
      </c>
      <c r="E22" s="227" t="s">
        <v>528</v>
      </c>
      <c r="F22" s="227" t="s">
        <v>528</v>
      </c>
      <c r="G22" s="23" t="s">
        <v>251</v>
      </c>
      <c r="H22" s="238" t="s">
        <v>308</v>
      </c>
      <c r="I22" s="227" t="s">
        <v>443</v>
      </c>
      <c r="J22" s="194" t="s">
        <v>207</v>
      </c>
      <c r="K22" s="79" t="s">
        <v>529</v>
      </c>
      <c r="L22" s="227"/>
      <c r="M22" s="227" t="s">
        <v>530</v>
      </c>
      <c r="N22" s="228" t="s">
        <v>531</v>
      </c>
      <c r="O22" s="197" t="s">
        <v>532</v>
      </c>
      <c r="P22" s="229" t="s">
        <v>533</v>
      </c>
      <c r="Q22" s="214">
        <v>33970</v>
      </c>
      <c r="R22" s="214">
        <v>40664</v>
      </c>
      <c r="S22" s="214">
        <v>41640</v>
      </c>
      <c r="T22" s="231" t="s">
        <v>534</v>
      </c>
      <c r="U22" s="200"/>
      <c r="V22" s="201" t="s">
        <v>278</v>
      </c>
      <c r="W22" s="200"/>
      <c r="X22" s="200"/>
      <c r="Y22" s="200"/>
      <c r="Z22" s="203">
        <f t="shared" ca="1" si="21"/>
        <v>12191</v>
      </c>
      <c r="AA22" s="203">
        <f t="shared" ca="1" si="1"/>
        <v>5497</v>
      </c>
      <c r="AB22" s="232"/>
      <c r="AC22" s="232"/>
      <c r="AD22" s="78" t="s">
        <v>216</v>
      </c>
      <c r="AE22" s="78" t="s">
        <v>217</v>
      </c>
      <c r="AF22" s="78" t="s">
        <v>218</v>
      </c>
      <c r="AG22" s="78" t="s">
        <v>218</v>
      </c>
      <c r="AH22" s="23" t="s">
        <v>161</v>
      </c>
      <c r="AI22" s="23" t="s">
        <v>162</v>
      </c>
      <c r="AJ22" s="23" t="s">
        <v>535</v>
      </c>
      <c r="AK22" s="23">
        <v>13594</v>
      </c>
      <c r="AL22" s="78" t="s">
        <v>219</v>
      </c>
      <c r="AM22" s="206" t="s">
        <v>536</v>
      </c>
      <c r="AN22" s="207" t="s">
        <v>537</v>
      </c>
      <c r="AO22" s="78" t="s">
        <v>222</v>
      </c>
      <c r="AP22" s="78" t="s">
        <v>538</v>
      </c>
      <c r="AQ22" s="201" t="s">
        <v>539</v>
      </c>
      <c r="AR22" s="201" t="s">
        <v>540</v>
      </c>
      <c r="AS22" s="209" t="s">
        <v>226</v>
      </c>
      <c r="AT22" s="23" t="s">
        <v>201</v>
      </c>
      <c r="AU22" s="23" t="s">
        <v>435</v>
      </c>
      <c r="AV22" s="210" t="s">
        <v>454</v>
      </c>
      <c r="AW22" s="211">
        <v>8615000</v>
      </c>
      <c r="AX22" s="175">
        <v>8615000</v>
      </c>
      <c r="AY22" s="212">
        <v>12</v>
      </c>
      <c r="AZ22" s="213">
        <f t="shared" si="2"/>
        <v>103380000</v>
      </c>
      <c r="BA22" s="213"/>
      <c r="BB22" s="213"/>
      <c r="BC22" s="214">
        <v>45839</v>
      </c>
      <c r="BD22" s="215">
        <v>72900000</v>
      </c>
      <c r="BE22" s="215">
        <v>74520000</v>
      </c>
      <c r="BF22" s="215">
        <f t="shared" si="22"/>
        <v>74520000</v>
      </c>
      <c r="BG22" s="215">
        <f t="shared" si="23"/>
        <v>6210000</v>
      </c>
      <c r="BH22" s="215">
        <v>5406400</v>
      </c>
      <c r="BI22" s="216">
        <f t="shared" si="37"/>
        <v>26824.880000000001</v>
      </c>
      <c r="BJ22" s="216">
        <f>IF(AT22="통상",209,VLOOKUP(AD22,'[2]스케줄 분석_20260109'!$B$3:$F$20,5,FALSE))</f>
        <v>209</v>
      </c>
      <c r="BK22" s="216">
        <f>IF(AT22="통상",15,VLOOKUP(AD22,'[2]스케줄 분석_20260109'!$B$3:$P$20,10,FALSE))</f>
        <v>15</v>
      </c>
      <c r="BL22" s="216">
        <f>IF(AT22="통상",0,VLOOKUP(AD22,'[2]스케줄 분석_20260109'!$B$3:$P$20,11,FALSE))</f>
        <v>0</v>
      </c>
      <c r="BM22" s="215">
        <f t="shared" si="24"/>
        <v>603600</v>
      </c>
      <c r="BN22" s="175">
        <f t="shared" si="25"/>
        <v>0</v>
      </c>
      <c r="BO22" s="213">
        <v>200000</v>
      </c>
      <c r="BP22" s="175">
        <f>IF(OR(AT22="스케줄",AT22="스케줄_파라"),ROUNDUP(VLOOKUP(AD22,'[2]스케줄 분석_20260109'!$B$3:$Y$20,23,FALSE)*(VLOOKUP(AD22,'[2]스케줄 분석_20260109'!$B$3:$Y$20,21,FALSE)/VLOOKUP(AD22,'[2]스케줄 분석_20260109'!$B$3:$Y$20,20,FALSE))*VLOOKUP(AD22,'[2]스케줄 분석_20260109'!$B$3:$Y$20,22,FALSE)*VLOOKUP(AD22,'[2]스케줄 분석_20260109'!$B$3:$Y$20,2,FALSE)*1.5*BI22,0),0)</f>
        <v>0</v>
      </c>
      <c r="BQ22" s="217" t="str">
        <f t="shared" si="26"/>
        <v>적합</v>
      </c>
      <c r="BR22" s="213"/>
      <c r="BS22" s="218">
        <f t="shared" si="27"/>
        <v>1072995.2</v>
      </c>
      <c r="BT22" s="219">
        <f t="shared" si="28"/>
        <v>6299416.2666666666</v>
      </c>
      <c r="BU22" s="175">
        <f t="shared" si="29"/>
        <v>3425700</v>
      </c>
      <c r="BV22" s="175">
        <f t="shared" si="30"/>
        <v>2937476.4479999999</v>
      </c>
      <c r="BW22" s="175">
        <f t="shared" si="31"/>
        <v>1117860</v>
      </c>
      <c r="BX22" s="175">
        <f t="shared" si="32"/>
        <v>475992</v>
      </c>
      <c r="BY22" s="213">
        <f t="shared" si="20"/>
        <v>7762500</v>
      </c>
      <c r="BZ22" s="220">
        <f t="shared" si="33"/>
        <v>81892411.466666669</v>
      </c>
      <c r="CA22" s="213">
        <f t="shared" si="34"/>
        <v>7957028.4479999999</v>
      </c>
      <c r="CB22" s="221">
        <f t="shared" si="35"/>
        <v>93150000</v>
      </c>
      <c r="CC22" s="222">
        <f t="shared" si="36"/>
        <v>10230000</v>
      </c>
      <c r="CD22" s="223">
        <f t="shared" si="7"/>
        <v>9.8955310504933252</v>
      </c>
      <c r="CJ22" s="120"/>
      <c r="CK22" s="187"/>
      <c r="CL22" s="188"/>
    </row>
    <row r="23" spans="1:117" s="121" customFormat="1" ht="17.25" customHeight="1">
      <c r="A23" s="23">
        <f t="shared" si="9"/>
        <v>20</v>
      </c>
      <c r="B23" s="23" t="s">
        <v>439</v>
      </c>
      <c r="C23" s="190">
        <v>2014022</v>
      </c>
      <c r="D23" s="194" t="s">
        <v>541</v>
      </c>
      <c r="E23" s="227" t="s">
        <v>542</v>
      </c>
      <c r="F23" s="227" t="s">
        <v>543</v>
      </c>
      <c r="G23" s="23" t="s">
        <v>476</v>
      </c>
      <c r="H23" s="227" t="s">
        <v>544</v>
      </c>
      <c r="I23" s="227" t="s">
        <v>443</v>
      </c>
      <c r="J23" s="194" t="s">
        <v>207</v>
      </c>
      <c r="K23" s="79" t="s">
        <v>179</v>
      </c>
      <c r="L23" s="227"/>
      <c r="M23" s="227" t="s">
        <v>545</v>
      </c>
      <c r="N23" s="228" t="s">
        <v>546</v>
      </c>
      <c r="O23" s="197" t="s">
        <v>547</v>
      </c>
      <c r="P23" s="239" t="s">
        <v>548</v>
      </c>
      <c r="Q23" s="214">
        <v>36373</v>
      </c>
      <c r="R23" s="214">
        <v>41000</v>
      </c>
      <c r="S23" s="214">
        <v>41640</v>
      </c>
      <c r="T23" s="231" t="s">
        <v>549</v>
      </c>
      <c r="U23" s="201"/>
      <c r="V23" s="201" t="s">
        <v>394</v>
      </c>
      <c r="W23" s="231" t="s">
        <v>550</v>
      </c>
      <c r="X23" s="201"/>
      <c r="Y23" s="201"/>
      <c r="Z23" s="203">
        <f t="shared" ca="1" si="21"/>
        <v>9788</v>
      </c>
      <c r="AA23" s="203">
        <f t="shared" ca="1" si="1"/>
        <v>5161</v>
      </c>
      <c r="AB23" s="232"/>
      <c r="AC23" s="232"/>
      <c r="AD23" s="78" t="s">
        <v>551</v>
      </c>
      <c r="AE23" s="78" t="s">
        <v>190</v>
      </c>
      <c r="AF23" s="78" t="s">
        <v>218</v>
      </c>
      <c r="AG23" s="78" t="s">
        <v>218</v>
      </c>
      <c r="AH23" s="23" t="s">
        <v>161</v>
      </c>
      <c r="AI23" s="23" t="s">
        <v>552</v>
      </c>
      <c r="AJ23" s="23" t="s">
        <v>542</v>
      </c>
      <c r="AK23" s="233" t="s">
        <v>553</v>
      </c>
      <c r="AL23" s="78" t="s">
        <v>554</v>
      </c>
      <c r="AM23" s="206" t="s">
        <v>555</v>
      </c>
      <c r="AN23" s="207" t="s">
        <v>556</v>
      </c>
      <c r="AO23" s="78" t="s">
        <v>557</v>
      </c>
      <c r="AP23" s="78" t="s">
        <v>558</v>
      </c>
      <c r="AQ23" s="201" t="s">
        <v>559</v>
      </c>
      <c r="AR23" s="201"/>
      <c r="AS23" s="209" t="s">
        <v>560</v>
      </c>
      <c r="AT23" s="23" t="s">
        <v>201</v>
      </c>
      <c r="AU23" s="23" t="s">
        <v>435</v>
      </c>
      <c r="AV23" s="210" t="s">
        <v>454</v>
      </c>
      <c r="AW23" s="211">
        <v>8373000</v>
      </c>
      <c r="AX23" s="175">
        <v>8373000</v>
      </c>
      <c r="AY23" s="212">
        <v>12</v>
      </c>
      <c r="AZ23" s="213">
        <f t="shared" si="2"/>
        <v>100476000</v>
      </c>
      <c r="BA23" s="234"/>
      <c r="BB23" s="234"/>
      <c r="BC23" s="214">
        <v>45839</v>
      </c>
      <c r="BD23" s="235">
        <v>70008000.000000015</v>
      </c>
      <c r="BE23" s="215">
        <v>71568000</v>
      </c>
      <c r="BF23" s="215">
        <f t="shared" si="22"/>
        <v>71568000</v>
      </c>
      <c r="BG23" s="215">
        <f t="shared" si="23"/>
        <v>5964000</v>
      </c>
      <c r="BH23" s="215">
        <v>5184300</v>
      </c>
      <c r="BI23" s="216">
        <f t="shared" si="37"/>
        <v>25762.2</v>
      </c>
      <c r="BJ23" s="216">
        <f>IF(AT23="통상",209,VLOOKUP(AD23,'[2]스케줄 분석_20260109'!$B$3:$F$20,5,FALSE))</f>
        <v>209</v>
      </c>
      <c r="BK23" s="216">
        <f>IF(AT23="통상",15,VLOOKUP(AD23,'[2]스케줄 분석_20260109'!$B$3:$P$20,10,FALSE))</f>
        <v>15</v>
      </c>
      <c r="BL23" s="216">
        <f>IF(AT23="통상",0,VLOOKUP(AD23,'[2]스케줄 분석_20260109'!$B$3:$P$20,11,FALSE))</f>
        <v>0</v>
      </c>
      <c r="BM23" s="215">
        <f t="shared" si="24"/>
        <v>579700</v>
      </c>
      <c r="BN23" s="175">
        <f t="shared" si="25"/>
        <v>0</v>
      </c>
      <c r="BO23" s="213">
        <v>200000</v>
      </c>
      <c r="BP23" s="175">
        <f>IF(OR(AT23="스케줄",AT23="스케줄_파라"),ROUNDUP(VLOOKUP(AD23,'[2]스케줄 분석_20260109'!$B$3:$Y$20,23,FALSE)*(VLOOKUP(AD23,'[2]스케줄 분석_20260109'!$B$3:$Y$20,21,FALSE)/VLOOKUP(AD23,'[2]스케줄 분석_20260109'!$B$3:$Y$20,20,FALSE))*VLOOKUP(AD23,'[2]스케줄 분석_20260109'!$B$3:$Y$20,22,FALSE)*VLOOKUP(AD23,'[2]스케줄 분석_20260109'!$B$3:$Y$20,2,FALSE)*1.5*BI23,0),0)</f>
        <v>0</v>
      </c>
      <c r="BQ23" s="217" t="str">
        <f t="shared" si="26"/>
        <v>적합</v>
      </c>
      <c r="BR23" s="213"/>
      <c r="BS23" s="218">
        <f t="shared" si="27"/>
        <v>1030488</v>
      </c>
      <c r="BT23" s="219">
        <f t="shared" si="28"/>
        <v>6049874</v>
      </c>
      <c r="BU23" s="175">
        <f t="shared" si="29"/>
        <v>3285480</v>
      </c>
      <c r="BV23" s="175">
        <f t="shared" si="30"/>
        <v>2817240.3072000002</v>
      </c>
      <c r="BW23" s="175">
        <f t="shared" si="31"/>
        <v>1072104</v>
      </c>
      <c r="BX23" s="175">
        <f t="shared" si="32"/>
        <v>456508.8</v>
      </c>
      <c r="BY23" s="213">
        <f t="shared" si="20"/>
        <v>7455000</v>
      </c>
      <c r="BZ23" s="220">
        <f t="shared" si="33"/>
        <v>78648362</v>
      </c>
      <c r="CA23" s="213">
        <f t="shared" si="34"/>
        <v>7631333.1071999995</v>
      </c>
      <c r="CB23" s="221">
        <f t="shared" si="35"/>
        <v>89460000</v>
      </c>
      <c r="CC23" s="222">
        <f t="shared" si="36"/>
        <v>11016000</v>
      </c>
      <c r="CD23" s="223">
        <f t="shared" si="7"/>
        <v>10.963812253672518</v>
      </c>
      <c r="CE23" s="77"/>
      <c r="CF23" s="77"/>
      <c r="CG23" s="23"/>
      <c r="CH23" s="23"/>
      <c r="CI23" s="78"/>
      <c r="CJ23" s="78"/>
      <c r="CK23" s="187"/>
      <c r="CL23" s="188"/>
      <c r="CM23" s="78"/>
      <c r="CN23" s="78"/>
      <c r="CO23" s="78"/>
      <c r="CP23" s="78"/>
      <c r="CQ23" s="78"/>
      <c r="CR23" s="78"/>
      <c r="CS23" s="78"/>
      <c r="CT23" s="78"/>
      <c r="CU23" s="78"/>
      <c r="CV23" s="78"/>
      <c r="CW23" s="78"/>
      <c r="CX23" s="78"/>
      <c r="CY23" s="78"/>
      <c r="CZ23" s="78"/>
      <c r="DA23" s="78"/>
      <c r="DB23" s="78"/>
      <c r="DC23" s="78"/>
      <c r="DD23" s="78"/>
      <c r="DE23" s="78"/>
      <c r="DF23" s="78"/>
      <c r="DG23" s="78"/>
      <c r="DH23" s="78"/>
      <c r="DI23" s="78"/>
      <c r="DJ23" s="78"/>
      <c r="DK23" s="78"/>
      <c r="DL23" s="78"/>
      <c r="DM23" s="78"/>
    </row>
    <row r="24" spans="1:117" ht="17.25" customHeight="1">
      <c r="A24" s="23">
        <f t="shared" si="9"/>
        <v>21</v>
      </c>
      <c r="B24" s="23" t="s">
        <v>439</v>
      </c>
      <c r="C24" s="190">
        <v>2014023</v>
      </c>
      <c r="D24" s="194" t="s">
        <v>561</v>
      </c>
      <c r="E24" s="227" t="s">
        <v>174</v>
      </c>
      <c r="F24" s="227" t="s">
        <v>174</v>
      </c>
      <c r="G24" s="23" t="s">
        <v>251</v>
      </c>
      <c r="H24" s="227" t="s">
        <v>308</v>
      </c>
      <c r="I24" s="227" t="s">
        <v>443</v>
      </c>
      <c r="J24" s="194" t="s">
        <v>178</v>
      </c>
      <c r="K24" s="79" t="s">
        <v>233</v>
      </c>
      <c r="L24" s="227"/>
      <c r="M24" s="227" t="s">
        <v>562</v>
      </c>
      <c r="N24" s="228" t="s">
        <v>563</v>
      </c>
      <c r="O24" s="240" t="s">
        <v>564</v>
      </c>
      <c r="P24" s="239" t="s">
        <v>565</v>
      </c>
      <c r="Q24" s="214">
        <v>33543</v>
      </c>
      <c r="R24" s="214">
        <v>41091</v>
      </c>
      <c r="S24" s="214">
        <v>41640</v>
      </c>
      <c r="T24" s="231" t="s">
        <v>566</v>
      </c>
      <c r="V24" s="201" t="s">
        <v>278</v>
      </c>
      <c r="W24" s="231" t="s">
        <v>567</v>
      </c>
      <c r="X24" s="201" t="s">
        <v>568</v>
      </c>
      <c r="Z24" s="203">
        <f t="shared" ca="1" si="21"/>
        <v>12618</v>
      </c>
      <c r="AA24" s="203">
        <f t="shared" ca="1" si="1"/>
        <v>5070</v>
      </c>
      <c r="AB24" s="232"/>
      <c r="AC24" s="232"/>
      <c r="AD24" s="78" t="s">
        <v>189</v>
      </c>
      <c r="AE24" s="78" t="s">
        <v>190</v>
      </c>
      <c r="AF24" s="78" t="s">
        <v>191</v>
      </c>
      <c r="AG24" s="78" t="s">
        <v>191</v>
      </c>
      <c r="AH24" s="23" t="s">
        <v>161</v>
      </c>
      <c r="AI24" s="23" t="s">
        <v>192</v>
      </c>
      <c r="AJ24" s="23" t="s">
        <v>569</v>
      </c>
      <c r="AK24" s="233" t="s">
        <v>193</v>
      </c>
      <c r="AL24" s="78" t="s">
        <v>570</v>
      </c>
      <c r="AM24" s="206" t="s">
        <v>571</v>
      </c>
      <c r="AN24" s="207" t="s">
        <v>572</v>
      </c>
      <c r="AO24" s="78" t="s">
        <v>197</v>
      </c>
      <c r="AP24" s="78" t="s">
        <v>198</v>
      </c>
      <c r="AQ24" s="201" t="s">
        <v>573</v>
      </c>
      <c r="AS24" s="209" t="s">
        <v>200</v>
      </c>
      <c r="AT24" s="23" t="s">
        <v>201</v>
      </c>
      <c r="AU24" s="23" t="s">
        <v>435</v>
      </c>
      <c r="AV24" s="210" t="s">
        <v>454</v>
      </c>
      <c r="AW24" s="211">
        <v>7186000</v>
      </c>
      <c r="AX24" s="175">
        <v>7186000</v>
      </c>
      <c r="AY24" s="212">
        <v>12</v>
      </c>
      <c r="AZ24" s="213">
        <f t="shared" si="2"/>
        <v>86232000</v>
      </c>
      <c r="BC24" s="214">
        <v>45839</v>
      </c>
      <c r="BD24" s="215">
        <v>63204000</v>
      </c>
      <c r="BE24" s="215">
        <v>64548000</v>
      </c>
      <c r="BF24" s="215">
        <f t="shared" si="22"/>
        <v>64548000</v>
      </c>
      <c r="BG24" s="215">
        <f t="shared" si="23"/>
        <v>5379000</v>
      </c>
      <c r="BH24" s="215">
        <v>4656200</v>
      </c>
      <c r="BI24" s="216">
        <f t="shared" si="37"/>
        <v>23235.41</v>
      </c>
      <c r="BJ24" s="216">
        <f>IF(AT24="통상",209,VLOOKUP(AD24,'[2]스케줄 분석_20260109'!$B$3:$F$20,5,FALSE))</f>
        <v>209</v>
      </c>
      <c r="BK24" s="216">
        <f>IF(AT24="통상",15,VLOOKUP(AD24,'[2]스케줄 분석_20260109'!$B$3:$P$20,10,FALSE))</f>
        <v>15</v>
      </c>
      <c r="BL24" s="216">
        <f>IF(AT24="통상",0,VLOOKUP(AD24,'[2]스케줄 분석_20260109'!$B$3:$P$20,11,FALSE))</f>
        <v>0</v>
      </c>
      <c r="BM24" s="215">
        <f t="shared" si="24"/>
        <v>522800</v>
      </c>
      <c r="BN24" s="175">
        <f t="shared" si="25"/>
        <v>0</v>
      </c>
      <c r="BO24" s="213">
        <v>200000</v>
      </c>
      <c r="BP24" s="175">
        <f>IF(OR(AT24="스케줄",AT24="스케줄_파라"),ROUNDUP(VLOOKUP(AD24,'[2]스케줄 분석_20260109'!$B$3:$Y$20,23,FALSE)*(VLOOKUP(AD24,'[2]스케줄 분석_20260109'!$B$3:$Y$20,21,FALSE)/VLOOKUP(AD24,'[2]스케줄 분석_20260109'!$B$3:$Y$20,20,FALSE))*VLOOKUP(AD24,'[2]스케줄 분석_20260109'!$B$3:$Y$20,22,FALSE)*VLOOKUP(AD24,'[2]스케줄 분석_20260109'!$B$3:$Y$20,2,FALSE)*1.5*BI24,0),0)</f>
        <v>0</v>
      </c>
      <c r="BQ24" s="217" t="str">
        <f t="shared" si="26"/>
        <v>적합</v>
      </c>
      <c r="BR24" s="213"/>
      <c r="BS24" s="218">
        <f t="shared" si="27"/>
        <v>929416.4</v>
      </c>
      <c r="BT24" s="219">
        <f t="shared" si="28"/>
        <v>5456451.3666666662</v>
      </c>
      <c r="BU24" s="175">
        <f t="shared" si="29"/>
        <v>2952030</v>
      </c>
      <c r="BV24" s="175">
        <f t="shared" si="30"/>
        <v>2531312.8991999999</v>
      </c>
      <c r="BW24" s="175">
        <f t="shared" si="31"/>
        <v>963294</v>
      </c>
      <c r="BX24" s="175">
        <f t="shared" si="32"/>
        <v>410176.8</v>
      </c>
      <c r="BY24" s="213">
        <f t="shared" si="20"/>
        <v>6723750</v>
      </c>
      <c r="BZ24" s="220">
        <f t="shared" si="33"/>
        <v>70933867.766666666</v>
      </c>
      <c r="CA24" s="213">
        <f t="shared" si="34"/>
        <v>6856813.6991999997</v>
      </c>
      <c r="CB24" s="221">
        <f t="shared" si="35"/>
        <v>80685000</v>
      </c>
      <c r="CC24" s="222">
        <f t="shared" si="36"/>
        <v>5547000</v>
      </c>
      <c r="CD24" s="223">
        <f t="shared" si="7"/>
        <v>6.4326468132479819</v>
      </c>
      <c r="CJ24" s="226"/>
      <c r="CK24" s="187"/>
      <c r="CL24" s="188"/>
      <c r="CM24" s="226"/>
      <c r="CN24" s="226"/>
      <c r="CO24" s="226"/>
      <c r="CP24" s="226"/>
      <c r="CQ24" s="226"/>
      <c r="CR24" s="226"/>
      <c r="CS24" s="226"/>
      <c r="CT24" s="226"/>
      <c r="CU24" s="226"/>
      <c r="CV24" s="226"/>
      <c r="CW24" s="226"/>
      <c r="CX24" s="226"/>
      <c r="CY24" s="226"/>
      <c r="CZ24" s="226"/>
      <c r="DA24" s="226"/>
      <c r="DB24" s="226"/>
      <c r="DC24" s="226"/>
      <c r="DD24" s="226"/>
      <c r="DE24" s="226"/>
      <c r="DF24" s="226"/>
      <c r="DG24" s="226"/>
      <c r="DH24" s="226"/>
      <c r="DI24" s="226"/>
      <c r="DJ24" s="226"/>
      <c r="DK24" s="226"/>
      <c r="DL24" s="121"/>
      <c r="DM24" s="121"/>
    </row>
    <row r="25" spans="1:117" ht="17.100000000000001" customHeight="1">
      <c r="A25" s="23">
        <f t="shared" si="9"/>
        <v>22</v>
      </c>
      <c r="B25" s="23" t="s">
        <v>439</v>
      </c>
      <c r="C25" s="190">
        <v>2014024</v>
      </c>
      <c r="D25" s="194" t="s">
        <v>561</v>
      </c>
      <c r="E25" s="227" t="s">
        <v>574</v>
      </c>
      <c r="F25" s="227" t="s">
        <v>575</v>
      </c>
      <c r="G25" s="23" t="s">
        <v>476</v>
      </c>
      <c r="H25" s="227" t="s">
        <v>576</v>
      </c>
      <c r="I25" s="227" t="s">
        <v>443</v>
      </c>
      <c r="J25" s="194" t="s">
        <v>178</v>
      </c>
      <c r="K25" s="79" t="s">
        <v>208</v>
      </c>
      <c r="L25" s="227" t="s">
        <v>577</v>
      </c>
      <c r="M25" s="227" t="s">
        <v>578</v>
      </c>
      <c r="N25" s="228" t="s">
        <v>579</v>
      </c>
      <c r="O25" s="241" t="s">
        <v>580</v>
      </c>
      <c r="P25" s="239" t="s">
        <v>581</v>
      </c>
      <c r="Q25" s="214">
        <v>35582</v>
      </c>
      <c r="R25" s="214">
        <v>41275</v>
      </c>
      <c r="S25" s="214">
        <v>41640</v>
      </c>
      <c r="T25" s="231" t="s">
        <v>582</v>
      </c>
      <c r="V25" s="201" t="s">
        <v>394</v>
      </c>
      <c r="W25" s="231" t="s">
        <v>498</v>
      </c>
      <c r="X25" s="201" t="s">
        <v>583</v>
      </c>
      <c r="Z25" s="203">
        <f t="shared" ca="1" si="21"/>
        <v>10579</v>
      </c>
      <c r="AA25" s="203">
        <f t="shared" ca="1" si="1"/>
        <v>4886</v>
      </c>
      <c r="AB25" s="232"/>
      <c r="AC25" s="232"/>
      <c r="AD25" s="78" t="s">
        <v>189</v>
      </c>
      <c r="AE25" s="78" t="s">
        <v>190</v>
      </c>
      <c r="AF25" s="78" t="s">
        <v>191</v>
      </c>
      <c r="AG25" s="78" t="s">
        <v>191</v>
      </c>
      <c r="AH25" s="23" t="s">
        <v>161</v>
      </c>
      <c r="AI25" s="23" t="s">
        <v>192</v>
      </c>
      <c r="AJ25" s="23" t="s">
        <v>569</v>
      </c>
      <c r="AK25" s="233" t="s">
        <v>193</v>
      </c>
      <c r="AL25" s="78" t="s">
        <v>570</v>
      </c>
      <c r="AM25" s="206" t="s">
        <v>584</v>
      </c>
      <c r="AN25" s="207" t="s">
        <v>585</v>
      </c>
      <c r="AO25" s="78" t="s">
        <v>197</v>
      </c>
      <c r="AP25" s="78" t="s">
        <v>223</v>
      </c>
      <c r="AQ25" s="201" t="s">
        <v>223</v>
      </c>
      <c r="AR25" s="201" t="s">
        <v>586</v>
      </c>
      <c r="AS25" s="209" t="s">
        <v>200</v>
      </c>
      <c r="AT25" s="23" t="s">
        <v>201</v>
      </c>
      <c r="AU25" s="23" t="s">
        <v>435</v>
      </c>
      <c r="AV25" s="210" t="s">
        <v>454</v>
      </c>
      <c r="AW25" s="211">
        <v>7186000</v>
      </c>
      <c r="AX25" s="175">
        <v>7186000</v>
      </c>
      <c r="AY25" s="212">
        <v>12</v>
      </c>
      <c r="AZ25" s="213">
        <f t="shared" si="2"/>
        <v>86232000</v>
      </c>
      <c r="BA25" s="234"/>
      <c r="BB25" s="234"/>
      <c r="BC25" s="214">
        <v>45839</v>
      </c>
      <c r="BD25" s="235">
        <v>61800000</v>
      </c>
      <c r="BE25" s="215">
        <v>63144000</v>
      </c>
      <c r="BF25" s="215">
        <f t="shared" si="22"/>
        <v>63144000</v>
      </c>
      <c r="BG25" s="215">
        <f t="shared" si="23"/>
        <v>5262000</v>
      </c>
      <c r="BH25" s="215">
        <v>4550500</v>
      </c>
      <c r="BI25" s="216">
        <f t="shared" si="37"/>
        <v>22729.67</v>
      </c>
      <c r="BJ25" s="216">
        <f>IF(AT25="통상",209,VLOOKUP(AD25,'[2]스케줄 분석_20260109'!$B$3:$F$20,5,FALSE))</f>
        <v>209</v>
      </c>
      <c r="BK25" s="216">
        <f>IF(AT25="통상",15,VLOOKUP(AD25,'[2]스케줄 분석_20260109'!$B$3:$P$20,10,FALSE))</f>
        <v>15</v>
      </c>
      <c r="BL25" s="216">
        <f>IF(AT25="통상",0,VLOOKUP(AD25,'[2]스케줄 분석_20260109'!$B$3:$P$20,11,FALSE))</f>
        <v>0</v>
      </c>
      <c r="BM25" s="215">
        <f t="shared" si="24"/>
        <v>511500</v>
      </c>
      <c r="BN25" s="175">
        <f t="shared" si="25"/>
        <v>0</v>
      </c>
      <c r="BO25" s="213">
        <v>200000</v>
      </c>
      <c r="BP25" s="175">
        <f>IF(OR(AT25="스케줄",AT25="스케줄_파라"),ROUNDUP(VLOOKUP(AD25,'[2]스케줄 분석_20260109'!$B$3:$Y$20,23,FALSE)*(VLOOKUP(AD25,'[2]스케줄 분석_20260109'!$B$3:$Y$20,21,FALSE)/VLOOKUP(AD25,'[2]스케줄 분석_20260109'!$B$3:$Y$20,20,FALSE))*VLOOKUP(AD25,'[2]스케줄 분석_20260109'!$B$3:$Y$20,22,FALSE)*VLOOKUP(AD25,'[2]스케줄 분석_20260109'!$B$3:$Y$20,2,FALSE)*1.5*BI25,0),0)</f>
        <v>0</v>
      </c>
      <c r="BQ25" s="217" t="str">
        <f t="shared" si="26"/>
        <v>적합</v>
      </c>
      <c r="BR25" s="213"/>
      <c r="BS25" s="218">
        <f t="shared" si="27"/>
        <v>909186.79999999993</v>
      </c>
      <c r="BT25" s="219">
        <f t="shared" si="28"/>
        <v>5337765.5666666664</v>
      </c>
      <c r="BU25" s="175">
        <f t="shared" si="29"/>
        <v>2885340</v>
      </c>
      <c r="BV25" s="175">
        <f t="shared" si="30"/>
        <v>2474127.4175999998</v>
      </c>
      <c r="BW25" s="175">
        <f t="shared" si="31"/>
        <v>941532</v>
      </c>
      <c r="BX25" s="175">
        <f t="shared" si="32"/>
        <v>400910.4</v>
      </c>
      <c r="BY25" s="213">
        <f t="shared" si="20"/>
        <v>6577500</v>
      </c>
      <c r="BZ25" s="220">
        <f t="shared" si="33"/>
        <v>69390952.36666666</v>
      </c>
      <c r="CA25" s="213">
        <f t="shared" si="34"/>
        <v>6701909.8176000006</v>
      </c>
      <c r="CB25" s="221">
        <f t="shared" si="35"/>
        <v>78930000</v>
      </c>
      <c r="CC25" s="222">
        <f t="shared" si="36"/>
        <v>7302000</v>
      </c>
      <c r="CD25" s="223">
        <f t="shared" si="7"/>
        <v>8.467854160868356</v>
      </c>
      <c r="CK25" s="187"/>
      <c r="CL25" s="188"/>
    </row>
    <row r="26" spans="1:117" ht="17.25" customHeight="1">
      <c r="A26" s="23">
        <f t="shared" si="9"/>
        <v>23</v>
      </c>
      <c r="B26" s="23" t="s">
        <v>439</v>
      </c>
      <c r="C26" s="190">
        <v>2014029</v>
      </c>
      <c r="D26" s="194" t="s">
        <v>202</v>
      </c>
      <c r="E26" s="227" t="s">
        <v>587</v>
      </c>
      <c r="F26" s="227" t="s">
        <v>588</v>
      </c>
      <c r="G26" s="23" t="s">
        <v>476</v>
      </c>
      <c r="H26" s="227" t="s">
        <v>205</v>
      </c>
      <c r="I26" s="227" t="s">
        <v>206</v>
      </c>
      <c r="J26" s="194" t="s">
        <v>207</v>
      </c>
      <c r="K26" s="79" t="s">
        <v>589</v>
      </c>
      <c r="L26" s="227"/>
      <c r="M26" s="227" t="s">
        <v>590</v>
      </c>
      <c r="N26" s="228" t="s">
        <v>591</v>
      </c>
      <c r="O26" t="s">
        <v>592</v>
      </c>
      <c r="P26" s="229" t="s">
        <v>593</v>
      </c>
      <c r="Q26" s="214">
        <v>38112</v>
      </c>
      <c r="R26" s="214">
        <v>40360</v>
      </c>
      <c r="S26" s="214">
        <v>41640</v>
      </c>
      <c r="T26" s="231" t="s">
        <v>594</v>
      </c>
      <c r="U26" s="200"/>
      <c r="V26" s="201" t="s">
        <v>394</v>
      </c>
      <c r="W26" s="200"/>
      <c r="X26" s="200"/>
      <c r="Y26" s="200"/>
      <c r="Z26" s="203">
        <f t="shared" ca="1" si="21"/>
        <v>8049</v>
      </c>
      <c r="AA26" s="203">
        <f t="shared" ca="1" si="1"/>
        <v>5801</v>
      </c>
      <c r="AB26" s="232"/>
      <c r="AC26" s="232"/>
      <c r="AD26" s="78" t="s">
        <v>216</v>
      </c>
      <c r="AE26" s="78" t="s">
        <v>217</v>
      </c>
      <c r="AF26" s="78" t="s">
        <v>218</v>
      </c>
      <c r="AG26" s="78" t="s">
        <v>218</v>
      </c>
      <c r="AH26" s="23" t="s">
        <v>161</v>
      </c>
      <c r="AI26" s="23" t="s">
        <v>162</v>
      </c>
      <c r="AJ26" s="23" t="s">
        <v>535</v>
      </c>
      <c r="AK26" s="23">
        <v>13594</v>
      </c>
      <c r="AL26" s="78" t="s">
        <v>219</v>
      </c>
      <c r="AM26" s="206" t="s">
        <v>595</v>
      </c>
      <c r="AN26" s="207" t="s">
        <v>596</v>
      </c>
      <c r="AO26" s="78" t="s">
        <v>222</v>
      </c>
      <c r="AP26" s="78" t="s">
        <v>597</v>
      </c>
      <c r="AQ26" s="201" t="s">
        <v>598</v>
      </c>
      <c r="AS26" s="209" t="s">
        <v>226</v>
      </c>
      <c r="AT26" s="23" t="s">
        <v>201</v>
      </c>
      <c r="AU26" s="23" t="s">
        <v>435</v>
      </c>
      <c r="AV26" s="210" t="s">
        <v>454</v>
      </c>
      <c r="AW26" s="211">
        <v>6800000</v>
      </c>
      <c r="AX26" s="175">
        <v>6800000</v>
      </c>
      <c r="AY26" s="212">
        <v>12</v>
      </c>
      <c r="AZ26" s="213">
        <f t="shared" si="2"/>
        <v>81600000</v>
      </c>
      <c r="BA26" s="234"/>
      <c r="BB26" s="234"/>
      <c r="BC26" s="214">
        <v>45839</v>
      </c>
      <c r="BD26" s="235">
        <v>51408000</v>
      </c>
      <c r="BE26" s="215">
        <v>52608000</v>
      </c>
      <c r="BF26" s="215">
        <f t="shared" si="22"/>
        <v>52608000</v>
      </c>
      <c r="BG26" s="215">
        <f t="shared" si="23"/>
        <v>4384000</v>
      </c>
      <c r="BH26" s="215">
        <v>3757900</v>
      </c>
      <c r="BI26" s="216">
        <f t="shared" si="37"/>
        <v>18937.32</v>
      </c>
      <c r="BJ26" s="216">
        <f>IF(AT26="통상",209,VLOOKUP(AD26,'[2]스케줄 분석_20260109'!$B$3:$F$20,5,FALSE))</f>
        <v>209</v>
      </c>
      <c r="BK26" s="216">
        <f>IF(AT26="통상",15,VLOOKUP(AD26,'[2]스케줄 분석_20260109'!$B$3:$P$20,10,FALSE))</f>
        <v>15</v>
      </c>
      <c r="BL26" s="216">
        <f>IF(AT26="통상",0,VLOOKUP(AD26,'[2]스케줄 분석_20260109'!$B$3:$P$20,11,FALSE))</f>
        <v>0</v>
      </c>
      <c r="BM26" s="215">
        <f t="shared" si="24"/>
        <v>426100</v>
      </c>
      <c r="BN26" s="175">
        <f t="shared" si="25"/>
        <v>0</v>
      </c>
      <c r="BO26" s="213">
        <v>200000</v>
      </c>
      <c r="BP26" s="175">
        <f>IF(OR(AT26="스케줄",AT26="스케줄_파라"),ROUNDUP(VLOOKUP(AD26,'[2]스케줄 분석_20260109'!$B$3:$Y$20,23,FALSE)*(VLOOKUP(AD26,'[2]스케줄 분석_20260109'!$B$3:$Y$20,21,FALSE)/VLOOKUP(AD26,'[2]스케줄 분석_20260109'!$B$3:$Y$20,20,FALSE))*VLOOKUP(AD26,'[2]스케줄 분석_20260109'!$B$3:$Y$20,22,FALSE)*VLOOKUP(AD26,'[2]스케줄 분석_20260109'!$B$3:$Y$20,2,FALSE)*1.5*BI26,0),0)</f>
        <v>0</v>
      </c>
      <c r="BQ26" s="217" t="str">
        <f t="shared" si="26"/>
        <v>적합</v>
      </c>
      <c r="BR26" s="213"/>
      <c r="BS26" s="218">
        <f t="shared" si="27"/>
        <v>757492.8</v>
      </c>
      <c r="BT26" s="219">
        <f t="shared" si="28"/>
        <v>4447124.4000000004</v>
      </c>
      <c r="BU26" s="175">
        <f t="shared" si="29"/>
        <v>2384880</v>
      </c>
      <c r="BV26" s="175">
        <f t="shared" si="30"/>
        <v>2044991.9231999996</v>
      </c>
      <c r="BW26" s="175">
        <f t="shared" si="31"/>
        <v>778224</v>
      </c>
      <c r="BX26" s="175">
        <f t="shared" si="32"/>
        <v>331372.79999999999</v>
      </c>
      <c r="BY26" s="213">
        <f t="shared" si="20"/>
        <v>5480000</v>
      </c>
      <c r="BZ26" s="220">
        <f t="shared" si="33"/>
        <v>57812617.199999996</v>
      </c>
      <c r="CA26" s="213">
        <f t="shared" si="34"/>
        <v>5539468.7231999999</v>
      </c>
      <c r="CB26" s="221">
        <f t="shared" si="35"/>
        <v>65760000</v>
      </c>
      <c r="CC26" s="222">
        <f t="shared" si="36"/>
        <v>15840000</v>
      </c>
      <c r="CD26" s="223">
        <f t="shared" si="7"/>
        <v>19.411764705882355</v>
      </c>
      <c r="CK26" s="187"/>
      <c r="CL26" s="188"/>
    </row>
    <row r="27" spans="1:117" ht="17.25" customHeight="1">
      <c r="A27" s="23">
        <f t="shared" si="9"/>
        <v>24</v>
      </c>
      <c r="B27" s="23" t="s">
        <v>439</v>
      </c>
      <c r="C27" s="190">
        <v>2014039</v>
      </c>
      <c r="D27" s="194" t="s">
        <v>599</v>
      </c>
      <c r="E27" s="227" t="s">
        <v>600</v>
      </c>
      <c r="F27" s="227" t="s">
        <v>535</v>
      </c>
      <c r="G27" s="23" t="s">
        <v>476</v>
      </c>
      <c r="H27" s="227" t="s">
        <v>231</v>
      </c>
      <c r="I27" s="227" t="s">
        <v>206</v>
      </c>
      <c r="J27" s="194" t="s">
        <v>207</v>
      </c>
      <c r="K27" s="79" t="s">
        <v>601</v>
      </c>
      <c r="L27" s="227"/>
      <c r="M27" s="227" t="s">
        <v>602</v>
      </c>
      <c r="N27" s="228" t="s">
        <v>603</v>
      </c>
      <c r="O27" s="194" t="s">
        <v>604</v>
      </c>
      <c r="P27" s="229" t="s">
        <v>605</v>
      </c>
      <c r="Q27" s="214">
        <v>35034</v>
      </c>
      <c r="R27" s="214">
        <v>40634</v>
      </c>
      <c r="S27" s="214">
        <v>41640</v>
      </c>
      <c r="T27" s="231" t="s">
        <v>606</v>
      </c>
      <c r="U27" s="200"/>
      <c r="V27" s="201" t="s">
        <v>278</v>
      </c>
      <c r="W27" s="231" t="s">
        <v>607</v>
      </c>
      <c r="X27" s="200" t="s">
        <v>608</v>
      </c>
      <c r="Y27" s="200" t="s">
        <v>609</v>
      </c>
      <c r="Z27" s="203">
        <f t="shared" ca="1" si="21"/>
        <v>11127</v>
      </c>
      <c r="AA27" s="203">
        <f t="shared" ca="1" si="1"/>
        <v>5527</v>
      </c>
      <c r="AB27" s="232"/>
      <c r="AC27" s="232"/>
      <c r="AD27" s="78" t="s">
        <v>610</v>
      </c>
      <c r="AE27" s="78" t="s">
        <v>217</v>
      </c>
      <c r="AF27" s="78" t="s">
        <v>218</v>
      </c>
      <c r="AG27" s="78" t="s">
        <v>218</v>
      </c>
      <c r="AH27" s="23" t="s">
        <v>161</v>
      </c>
      <c r="AI27" s="23" t="s">
        <v>162</v>
      </c>
      <c r="AJ27" s="23" t="s">
        <v>520</v>
      </c>
      <c r="AK27" s="23">
        <v>13558</v>
      </c>
      <c r="AL27" s="78" t="s">
        <v>611</v>
      </c>
      <c r="AM27" s="206">
        <v>13584</v>
      </c>
      <c r="AN27" s="207" t="s">
        <v>612</v>
      </c>
      <c r="AO27" s="78" t="s">
        <v>613</v>
      </c>
      <c r="AP27" s="78" t="s">
        <v>614</v>
      </c>
      <c r="AQ27" s="201" t="s">
        <v>615</v>
      </c>
      <c r="AS27" s="209" t="s">
        <v>616</v>
      </c>
      <c r="AT27" s="23" t="s">
        <v>201</v>
      </c>
      <c r="AU27" s="23" t="s">
        <v>435</v>
      </c>
      <c r="AV27" s="210" t="s">
        <v>454</v>
      </c>
      <c r="AW27" s="211">
        <v>5320000</v>
      </c>
      <c r="AX27" s="175">
        <v>5320000</v>
      </c>
      <c r="AY27" s="212">
        <v>12</v>
      </c>
      <c r="AZ27" s="213">
        <f t="shared" si="2"/>
        <v>63840000</v>
      </c>
      <c r="BA27" s="213"/>
      <c r="BB27" s="213"/>
      <c r="BC27" s="214">
        <v>45839</v>
      </c>
      <c r="BD27" s="235">
        <v>43307999.999999993</v>
      </c>
      <c r="BE27" s="215">
        <v>44316000</v>
      </c>
      <c r="BF27" s="215">
        <f t="shared" si="22"/>
        <v>44316000</v>
      </c>
      <c r="BG27" s="215">
        <f t="shared" si="23"/>
        <v>3693000</v>
      </c>
      <c r="BH27" s="215">
        <v>3134000</v>
      </c>
      <c r="BI27" s="216">
        <f t="shared" si="37"/>
        <v>15952.15</v>
      </c>
      <c r="BJ27" s="216">
        <f>IF(AT27="통상",209,VLOOKUP(AD27,'[2]스케줄 분석_20260109'!$B$3:$F$20,5,FALSE))</f>
        <v>209</v>
      </c>
      <c r="BK27" s="216">
        <f>IF(AT27="통상",15,VLOOKUP(AD27,'[2]스케줄 분석_20260109'!$B$3:$P$20,10,FALSE))</f>
        <v>15</v>
      </c>
      <c r="BL27" s="216">
        <f>IF(AT27="통상",0,VLOOKUP(AD27,'[2]스케줄 분석_20260109'!$B$3:$P$20,11,FALSE))</f>
        <v>0</v>
      </c>
      <c r="BM27" s="215">
        <f t="shared" si="24"/>
        <v>359000</v>
      </c>
      <c r="BN27" s="175">
        <f>ROUNDUP(BI27*BL27*0.5,-2)</f>
        <v>0</v>
      </c>
      <c r="BO27" s="213">
        <v>200000</v>
      </c>
      <c r="BP27" s="175">
        <f>IF(OR(AT27="스케줄",AT27="스케줄_파라"),ROUNDUP(VLOOKUP(AD27,'[2]스케줄 분석_20260109'!$B$3:$Y$20,23,FALSE)*(VLOOKUP(AD27,'[2]스케줄 분석_20260109'!$B$3:$Y$20,21,FALSE)/VLOOKUP(AD27,'[2]스케줄 분석_20260109'!$B$3:$Y$20,20,FALSE))*VLOOKUP(AD27,'[2]스케줄 분석_20260109'!$B$3:$Y$20,22,FALSE)*VLOOKUP(AD27,'[2]스케줄 분석_20260109'!$B$3:$Y$20,2,FALSE)*1.5*BI27,0),0)</f>
        <v>0</v>
      </c>
      <c r="BQ27" s="217" t="str">
        <f t="shared" si="26"/>
        <v>적합</v>
      </c>
      <c r="BR27" s="213"/>
      <c r="BS27" s="218">
        <f t="shared" si="27"/>
        <v>638086</v>
      </c>
      <c r="BT27" s="219">
        <f t="shared" si="28"/>
        <v>3746173.8333333335</v>
      </c>
      <c r="BU27" s="175">
        <f t="shared" si="29"/>
        <v>1991010</v>
      </c>
      <c r="BV27" s="175">
        <f t="shared" si="30"/>
        <v>1707255.4464</v>
      </c>
      <c r="BW27" s="175">
        <f t="shared" si="31"/>
        <v>649698</v>
      </c>
      <c r="BX27" s="175">
        <f t="shared" si="32"/>
        <v>276645.59999999998</v>
      </c>
      <c r="BY27" s="213">
        <f t="shared" si="20"/>
        <v>4616250</v>
      </c>
      <c r="BZ27" s="220">
        <f t="shared" si="33"/>
        <v>48700259.833333336</v>
      </c>
      <c r="CA27" s="213">
        <f t="shared" si="34"/>
        <v>4624609.0463999994</v>
      </c>
      <c r="CB27" s="221">
        <f t="shared" si="35"/>
        <v>55395000</v>
      </c>
      <c r="CC27" s="222">
        <f t="shared" si="36"/>
        <v>8445000</v>
      </c>
      <c r="CD27" s="223">
        <f t="shared" si="7"/>
        <v>13.228383458646617</v>
      </c>
      <c r="CK27" s="187"/>
      <c r="CL27" s="188"/>
      <c r="DL27" s="79"/>
      <c r="DM27" s="79"/>
    </row>
    <row r="28" spans="1:117" ht="17.25" customHeight="1">
      <c r="A28" s="23">
        <f t="shared" si="9"/>
        <v>25</v>
      </c>
      <c r="B28" s="23" t="s">
        <v>439</v>
      </c>
      <c r="C28" s="190">
        <v>2014040</v>
      </c>
      <c r="D28" s="194" t="s">
        <v>541</v>
      </c>
      <c r="E28" s="227" t="s">
        <v>617</v>
      </c>
      <c r="F28" s="227" t="s">
        <v>618</v>
      </c>
      <c r="G28" s="23" t="s">
        <v>476</v>
      </c>
      <c r="H28" s="227" t="s">
        <v>442</v>
      </c>
      <c r="I28" s="227" t="s">
        <v>443</v>
      </c>
      <c r="J28" s="194" t="s">
        <v>207</v>
      </c>
      <c r="K28" s="79" t="s">
        <v>601</v>
      </c>
      <c r="L28" s="227"/>
      <c r="M28" s="227" t="s">
        <v>619</v>
      </c>
      <c r="N28" s="228" t="s">
        <v>620</v>
      </c>
      <c r="O28" s="241" t="s">
        <v>621</v>
      </c>
      <c r="P28" s="229" t="s">
        <v>622</v>
      </c>
      <c r="Q28" s="214">
        <v>34851</v>
      </c>
      <c r="R28" s="214">
        <v>40634</v>
      </c>
      <c r="S28" s="214">
        <v>41640</v>
      </c>
      <c r="T28" s="231" t="s">
        <v>623</v>
      </c>
      <c r="U28" s="200"/>
      <c r="V28" s="201" t="s">
        <v>278</v>
      </c>
      <c r="W28" s="231" t="s">
        <v>498</v>
      </c>
      <c r="X28" s="200"/>
      <c r="Y28" s="200"/>
      <c r="Z28" s="203">
        <f t="shared" ca="1" si="21"/>
        <v>11310</v>
      </c>
      <c r="AA28" s="203">
        <f t="shared" ca="1" si="1"/>
        <v>5527</v>
      </c>
      <c r="AB28" s="232"/>
      <c r="AC28" s="232"/>
      <c r="AD28" s="78" t="s">
        <v>216</v>
      </c>
      <c r="AE28" s="78" t="s">
        <v>217</v>
      </c>
      <c r="AF28" s="78" t="s">
        <v>218</v>
      </c>
      <c r="AG28" s="78" t="s">
        <v>218</v>
      </c>
      <c r="AH28" s="23" t="s">
        <v>161</v>
      </c>
      <c r="AI28" s="23" t="s">
        <v>162</v>
      </c>
      <c r="AJ28" s="23" t="s">
        <v>520</v>
      </c>
      <c r="AK28" s="23">
        <v>13594</v>
      </c>
      <c r="AL28" s="78" t="s">
        <v>219</v>
      </c>
      <c r="AM28" s="206">
        <v>18407</v>
      </c>
      <c r="AN28" s="207" t="s">
        <v>624</v>
      </c>
      <c r="AO28" s="78" t="s">
        <v>557</v>
      </c>
      <c r="AP28" s="78" t="s">
        <v>614</v>
      </c>
      <c r="AQ28" s="201" t="s">
        <v>615</v>
      </c>
      <c r="AS28" s="209" t="s">
        <v>560</v>
      </c>
      <c r="AT28" s="23" t="s">
        <v>201</v>
      </c>
      <c r="AU28" s="23" t="s">
        <v>435</v>
      </c>
      <c r="AV28" s="210" t="s">
        <v>454</v>
      </c>
      <c r="AW28" s="211">
        <v>7040000</v>
      </c>
      <c r="AX28" s="175">
        <v>7040000</v>
      </c>
      <c r="AY28" s="212">
        <v>12</v>
      </c>
      <c r="AZ28" s="213">
        <f t="shared" si="2"/>
        <v>84480000</v>
      </c>
      <c r="BA28" s="213"/>
      <c r="BB28" s="213"/>
      <c r="BC28" s="214">
        <v>45839</v>
      </c>
      <c r="BD28" s="215">
        <v>55404000</v>
      </c>
      <c r="BE28" s="215">
        <v>56736000</v>
      </c>
      <c r="BF28" s="215">
        <f t="shared" si="22"/>
        <v>56736000</v>
      </c>
      <c r="BG28" s="215">
        <f t="shared" si="23"/>
        <v>4728000</v>
      </c>
      <c r="BH28" s="215">
        <v>4068400</v>
      </c>
      <c r="BI28" s="216">
        <f t="shared" si="37"/>
        <v>20422.97</v>
      </c>
      <c r="BJ28" s="216">
        <f>IF(AT28="통상",209,VLOOKUP(AD28,'[2]스케줄 분석_20260109'!$B$3:$F$20,5,FALSE))</f>
        <v>209</v>
      </c>
      <c r="BK28" s="216">
        <f>IF(AT28="통상",15,VLOOKUP(AD28,'[2]스케줄 분석_20260109'!$B$3:$P$20,10,FALSE))</f>
        <v>15</v>
      </c>
      <c r="BL28" s="216">
        <f>IF(AT28="통상",0,VLOOKUP(AD28,'[2]스케줄 분석_20260109'!$B$3:$P$20,11,FALSE))</f>
        <v>0</v>
      </c>
      <c r="BM28" s="215">
        <f t="shared" si="24"/>
        <v>459600</v>
      </c>
      <c r="BN28" s="175">
        <f t="shared" si="25"/>
        <v>0</v>
      </c>
      <c r="BO28" s="213">
        <v>200000</v>
      </c>
      <c r="BP28" s="175">
        <f>IF(OR(AT28="스케줄",AT28="스케줄_파라"),ROUNDUP(VLOOKUP(AD28,'[2]스케줄 분석_20260109'!$B$3:$Y$20,23,FALSE)*(VLOOKUP(AD28,'[2]스케줄 분석_20260109'!$B$3:$Y$20,21,FALSE)/VLOOKUP(AD28,'[2]스케줄 분석_20260109'!$B$3:$Y$20,20,FALSE))*VLOOKUP(AD28,'[2]스케줄 분석_20260109'!$B$3:$Y$20,22,FALSE)*VLOOKUP(AD28,'[2]스케줄 분석_20260109'!$B$3:$Y$20,2,FALSE)*1.5*BI28,0),0)</f>
        <v>0</v>
      </c>
      <c r="BQ28" s="217" t="str">
        <f t="shared" si="26"/>
        <v>적합</v>
      </c>
      <c r="BR28" s="213"/>
      <c r="BS28" s="218">
        <f t="shared" si="27"/>
        <v>816918.8</v>
      </c>
      <c r="BT28" s="219">
        <f t="shared" si="28"/>
        <v>4796076.5666666664</v>
      </c>
      <c r="BU28" s="175">
        <f t="shared" si="29"/>
        <v>2580960</v>
      </c>
      <c r="BV28" s="175">
        <f t="shared" si="30"/>
        <v>2213127.0143999998</v>
      </c>
      <c r="BW28" s="175">
        <f t="shared" si="31"/>
        <v>842208</v>
      </c>
      <c r="BX28" s="175">
        <f t="shared" si="32"/>
        <v>358617.59999999998</v>
      </c>
      <c r="BY28" s="213">
        <f t="shared" si="20"/>
        <v>5910000</v>
      </c>
      <c r="BZ28" s="220">
        <f t="shared" si="33"/>
        <v>62348995.36666666</v>
      </c>
      <c r="CA28" s="213">
        <f t="shared" si="34"/>
        <v>5994912.6143999994</v>
      </c>
      <c r="CB28" s="221">
        <f t="shared" si="35"/>
        <v>70920000</v>
      </c>
      <c r="CC28" s="222">
        <f t="shared" si="36"/>
        <v>13560000</v>
      </c>
      <c r="CD28" s="223">
        <f t="shared" si="7"/>
        <v>16.051136363636363</v>
      </c>
      <c r="CK28" s="187"/>
      <c r="CL28" s="188"/>
    </row>
    <row r="29" spans="1:117" ht="17.25" customHeight="1">
      <c r="A29" s="23">
        <f t="shared" si="9"/>
        <v>26</v>
      </c>
      <c r="B29" s="23" t="s">
        <v>439</v>
      </c>
      <c r="C29" s="190">
        <v>2014041</v>
      </c>
      <c r="D29" s="194" t="s">
        <v>511</v>
      </c>
      <c r="E29" s="227" t="s">
        <v>625</v>
      </c>
      <c r="F29" s="227" t="s">
        <v>626</v>
      </c>
      <c r="G29" s="23" t="s">
        <v>476</v>
      </c>
      <c r="H29" s="227" t="s">
        <v>205</v>
      </c>
      <c r="I29" s="227" t="s">
        <v>206</v>
      </c>
      <c r="J29" s="194" t="s">
        <v>207</v>
      </c>
      <c r="K29" s="79" t="s">
        <v>627</v>
      </c>
      <c r="L29" s="227"/>
      <c r="M29" s="227"/>
      <c r="N29" s="228" t="s">
        <v>628</v>
      </c>
      <c r="O29" t="s">
        <v>629</v>
      </c>
      <c r="P29" s="229" t="s">
        <v>630</v>
      </c>
      <c r="Q29" s="214">
        <v>36617</v>
      </c>
      <c r="R29" s="214">
        <v>40634</v>
      </c>
      <c r="S29" s="214">
        <v>41640</v>
      </c>
      <c r="T29" s="231" t="s">
        <v>631</v>
      </c>
      <c r="U29" s="200"/>
      <c r="V29" s="201" t="s">
        <v>278</v>
      </c>
      <c r="W29" s="200"/>
      <c r="X29" s="200"/>
      <c r="Y29" s="200"/>
      <c r="Z29" s="203">
        <f t="shared" ca="1" si="21"/>
        <v>9544</v>
      </c>
      <c r="AA29" s="203">
        <f t="shared" ca="1" si="1"/>
        <v>5527</v>
      </c>
      <c r="AB29" s="232"/>
      <c r="AC29" s="232"/>
      <c r="AD29" s="78" t="s">
        <v>610</v>
      </c>
      <c r="AE29" s="78" t="s">
        <v>217</v>
      </c>
      <c r="AF29" s="78" t="s">
        <v>218</v>
      </c>
      <c r="AG29" s="78" t="s">
        <v>218</v>
      </c>
      <c r="AH29" s="23" t="s">
        <v>161</v>
      </c>
      <c r="AI29" s="23" t="s">
        <v>632</v>
      </c>
      <c r="AJ29" s="23" t="s">
        <v>633</v>
      </c>
      <c r="AK29" s="23">
        <v>13558</v>
      </c>
      <c r="AL29" s="78" t="s">
        <v>634</v>
      </c>
      <c r="AM29" s="206" t="s">
        <v>635</v>
      </c>
      <c r="AN29" s="207" t="s">
        <v>636</v>
      </c>
      <c r="AO29" s="78" t="s">
        <v>524</v>
      </c>
      <c r="AP29" s="78" t="s">
        <v>637</v>
      </c>
      <c r="AQ29" s="201" t="s">
        <v>638</v>
      </c>
      <c r="AS29" s="209" t="s">
        <v>526</v>
      </c>
      <c r="AT29" s="23" t="s">
        <v>201</v>
      </c>
      <c r="AU29" s="23" t="s">
        <v>435</v>
      </c>
      <c r="AV29" s="210" t="s">
        <v>454</v>
      </c>
      <c r="AW29" s="242">
        <v>5929000</v>
      </c>
      <c r="AX29" s="175">
        <v>5929000</v>
      </c>
      <c r="AY29" s="236">
        <v>12</v>
      </c>
      <c r="AZ29" s="175">
        <f t="shared" si="2"/>
        <v>71148000</v>
      </c>
      <c r="BA29" s="175"/>
      <c r="BB29" s="175"/>
      <c r="BC29" s="214">
        <v>45839</v>
      </c>
      <c r="BD29" s="215">
        <v>48708000</v>
      </c>
      <c r="BE29" s="215">
        <v>49824000</v>
      </c>
      <c r="BF29" s="215">
        <f t="shared" si="22"/>
        <v>49824000</v>
      </c>
      <c r="BG29" s="215">
        <f t="shared" si="23"/>
        <v>4152000</v>
      </c>
      <c r="BH29" s="215">
        <v>3548400</v>
      </c>
      <c r="BI29" s="216">
        <f t="shared" si="37"/>
        <v>17934.93</v>
      </c>
      <c r="BJ29" s="216">
        <f>IF(AT29="통상",209,VLOOKUP(AD29,'[2]스케줄 분석_20260109'!$B$3:$F$20,5,FALSE))</f>
        <v>209</v>
      </c>
      <c r="BK29" s="216">
        <f>IF(AT29="통상",15,VLOOKUP(AD29,'[2]스케줄 분석_20260109'!$B$3:$P$20,10,FALSE))</f>
        <v>15</v>
      </c>
      <c r="BL29" s="216">
        <f>IF(AT29="통상",0,VLOOKUP(AD29,'[2]스케줄 분석_20260109'!$B$3:$P$20,11,FALSE))</f>
        <v>0</v>
      </c>
      <c r="BM29" s="215">
        <f t="shared" si="24"/>
        <v>403600</v>
      </c>
      <c r="BN29" s="175">
        <f t="shared" si="25"/>
        <v>0</v>
      </c>
      <c r="BO29" s="175">
        <v>200000</v>
      </c>
      <c r="BP29" s="175">
        <f>IF(OR(AT29="스케줄",AT29="스케줄_파라"),ROUNDUP(VLOOKUP(AD29,'[2]스케줄 분석_20260109'!$B$3:$Y$20,23,FALSE)*(VLOOKUP(AD29,'[2]스케줄 분석_20260109'!$B$3:$Y$20,21,FALSE)/VLOOKUP(AD29,'[2]스케줄 분석_20260109'!$B$3:$Y$20,20,FALSE))*VLOOKUP(AD29,'[2]스케줄 분석_20260109'!$B$3:$Y$20,22,FALSE)*VLOOKUP(AD29,'[2]스케줄 분석_20260109'!$B$3:$Y$20,2,FALSE)*1.5*BI29,0),0)</f>
        <v>0</v>
      </c>
      <c r="BQ29" s="217" t="str">
        <f t="shared" si="26"/>
        <v>적합</v>
      </c>
      <c r="BR29" s="243"/>
      <c r="BS29" s="218">
        <f t="shared" si="27"/>
        <v>717397.2</v>
      </c>
      <c r="BT29" s="219">
        <f t="shared" si="28"/>
        <v>4211783.0999999996</v>
      </c>
      <c r="BU29" s="175">
        <f t="shared" si="29"/>
        <v>2252640</v>
      </c>
      <c r="BV29" s="175">
        <f t="shared" si="30"/>
        <v>1931598.4895999997</v>
      </c>
      <c r="BW29" s="175">
        <f t="shared" si="31"/>
        <v>735072</v>
      </c>
      <c r="BX29" s="175">
        <f t="shared" si="32"/>
        <v>312998.40000000002</v>
      </c>
      <c r="BY29" s="213">
        <f t="shared" si="20"/>
        <v>5190000</v>
      </c>
      <c r="BZ29" s="220">
        <f t="shared" si="33"/>
        <v>54753180.300000004</v>
      </c>
      <c r="CA29" s="175">
        <f t="shared" si="34"/>
        <v>5232308.8896000003</v>
      </c>
      <c r="CB29" s="221">
        <f t="shared" si="35"/>
        <v>62280000</v>
      </c>
      <c r="CC29" s="222">
        <f t="shared" si="36"/>
        <v>8868000</v>
      </c>
      <c r="CD29" s="223">
        <f t="shared" si="7"/>
        <v>12.464159217405971</v>
      </c>
      <c r="CK29" s="187"/>
      <c r="CL29" s="188"/>
    </row>
    <row r="30" spans="1:117" ht="17.25" customHeight="1">
      <c r="A30" s="23">
        <f t="shared" si="9"/>
        <v>27</v>
      </c>
      <c r="B30" s="23" t="s">
        <v>439</v>
      </c>
      <c r="C30" s="190">
        <v>2014042</v>
      </c>
      <c r="D30" s="194" t="s">
        <v>511</v>
      </c>
      <c r="E30" s="227" t="s">
        <v>639</v>
      </c>
      <c r="F30" s="227" t="s">
        <v>639</v>
      </c>
      <c r="G30" s="23" t="s">
        <v>476</v>
      </c>
      <c r="H30" s="227" t="s">
        <v>640</v>
      </c>
      <c r="I30" s="227" t="s">
        <v>309</v>
      </c>
      <c r="J30" s="194" t="s">
        <v>207</v>
      </c>
      <c r="K30" s="79" t="s">
        <v>641</v>
      </c>
      <c r="L30" s="227"/>
      <c r="M30" s="227" t="s">
        <v>642</v>
      </c>
      <c r="N30" s="228" t="s">
        <v>643</v>
      </c>
      <c r="O30" t="s">
        <v>644</v>
      </c>
      <c r="P30" s="229" t="s">
        <v>645</v>
      </c>
      <c r="Q30" s="214">
        <v>36008</v>
      </c>
      <c r="R30" s="214">
        <v>40634</v>
      </c>
      <c r="S30" s="214">
        <v>41640</v>
      </c>
      <c r="T30" s="231" t="s">
        <v>646</v>
      </c>
      <c r="U30" s="200"/>
      <c r="V30" s="201" t="s">
        <v>215</v>
      </c>
      <c r="W30" s="231" t="s">
        <v>647</v>
      </c>
      <c r="X30" s="200"/>
      <c r="Y30" s="200"/>
      <c r="Z30" s="203">
        <f t="shared" ca="1" si="21"/>
        <v>10153</v>
      </c>
      <c r="AA30" s="203">
        <f t="shared" ca="1" si="1"/>
        <v>5527</v>
      </c>
      <c r="AB30" s="232"/>
      <c r="AC30" s="232"/>
      <c r="AD30" s="78" t="s">
        <v>648</v>
      </c>
      <c r="AE30" s="78" t="s">
        <v>217</v>
      </c>
      <c r="AF30" s="78" t="s">
        <v>218</v>
      </c>
      <c r="AG30" s="78" t="s">
        <v>218</v>
      </c>
      <c r="AH30" s="23" t="s">
        <v>161</v>
      </c>
      <c r="AI30" s="23" t="s">
        <v>649</v>
      </c>
      <c r="AJ30" s="23" t="s">
        <v>650</v>
      </c>
      <c r="AK30" s="23">
        <v>16336</v>
      </c>
      <c r="AL30" s="78" t="s">
        <v>651</v>
      </c>
      <c r="AM30" s="206">
        <v>21577</v>
      </c>
      <c r="AN30" s="207" t="s">
        <v>652</v>
      </c>
      <c r="AO30" s="78" t="s">
        <v>524</v>
      </c>
      <c r="AP30" s="78" t="s">
        <v>653</v>
      </c>
      <c r="AQ30" s="201" t="s">
        <v>638</v>
      </c>
      <c r="AR30" s="201" t="s">
        <v>654</v>
      </c>
      <c r="AS30" s="209" t="s">
        <v>526</v>
      </c>
      <c r="AT30" s="23" t="s">
        <v>201</v>
      </c>
      <c r="AU30" s="23" t="s">
        <v>435</v>
      </c>
      <c r="AV30" s="210" t="s">
        <v>454</v>
      </c>
      <c r="AW30" s="211">
        <v>6592000</v>
      </c>
      <c r="AX30" s="175">
        <v>6592000</v>
      </c>
      <c r="AY30" s="212">
        <v>12</v>
      </c>
      <c r="AZ30" s="213">
        <f t="shared" si="2"/>
        <v>79104000</v>
      </c>
      <c r="BA30" s="213"/>
      <c r="BB30" s="213"/>
      <c r="BC30" s="214">
        <v>45839</v>
      </c>
      <c r="BD30" s="215">
        <v>53400000</v>
      </c>
      <c r="BE30" s="215">
        <v>54600000</v>
      </c>
      <c r="BF30" s="215">
        <f t="shared" si="22"/>
        <v>54600000</v>
      </c>
      <c r="BG30" s="215">
        <f t="shared" si="23"/>
        <v>4550000</v>
      </c>
      <c r="BH30" s="215">
        <v>3907700</v>
      </c>
      <c r="BI30" s="216">
        <f t="shared" si="37"/>
        <v>19654.07</v>
      </c>
      <c r="BJ30" s="216">
        <f>IF(AT30="통상",209,VLOOKUP(AD30,'[2]스케줄 분석_20260109'!$B$3:$F$20,5,FALSE))</f>
        <v>209</v>
      </c>
      <c r="BK30" s="216">
        <f>IF(AT30="통상",15,VLOOKUP(AD30,'[2]스케줄 분석_20260109'!$B$3:$P$20,10,FALSE))</f>
        <v>15</v>
      </c>
      <c r="BL30" s="216">
        <f>IF(AT30="통상",0,VLOOKUP(AD30,'[2]스케줄 분석_20260109'!$B$3:$P$20,11,FALSE))</f>
        <v>0</v>
      </c>
      <c r="BM30" s="215">
        <f t="shared" si="24"/>
        <v>442300</v>
      </c>
      <c r="BN30" s="175">
        <f t="shared" si="25"/>
        <v>0</v>
      </c>
      <c r="BO30" s="213">
        <v>200000</v>
      </c>
      <c r="BP30" s="175">
        <f>IF(OR(AT30="스케줄",AT30="스케줄_파라"),ROUNDUP(VLOOKUP(AD30,'[2]스케줄 분석_20260109'!$B$3:$Y$20,23,FALSE)*(VLOOKUP(AD30,'[2]스케줄 분석_20260109'!$B$3:$Y$20,21,FALSE)/VLOOKUP(AD30,'[2]스케줄 분석_20260109'!$B$3:$Y$20,20,FALSE))*VLOOKUP(AD30,'[2]스케줄 분석_20260109'!$B$3:$Y$20,22,FALSE)*VLOOKUP(AD30,'[2]스케줄 분석_20260109'!$B$3:$Y$20,2,FALSE)*1.5*BI30,0),0)</f>
        <v>0</v>
      </c>
      <c r="BQ30" s="217" t="str">
        <f t="shared" si="26"/>
        <v>적합</v>
      </c>
      <c r="BR30" s="213"/>
      <c r="BS30" s="218">
        <f t="shared" si="27"/>
        <v>786162.8</v>
      </c>
      <c r="BT30" s="219">
        <f t="shared" si="28"/>
        <v>4615513.5666666664</v>
      </c>
      <c r="BU30" s="175">
        <f t="shared" si="29"/>
        <v>2479500</v>
      </c>
      <c r="BV30" s="175">
        <f t="shared" si="30"/>
        <v>2126126.88</v>
      </c>
      <c r="BW30" s="175">
        <f t="shared" si="31"/>
        <v>809100</v>
      </c>
      <c r="BX30" s="175">
        <f t="shared" si="32"/>
        <v>344520</v>
      </c>
      <c r="BY30" s="213">
        <f t="shared" si="20"/>
        <v>5687500</v>
      </c>
      <c r="BZ30" s="220">
        <f t="shared" si="33"/>
        <v>60001676.36666666</v>
      </c>
      <c r="CA30" s="213">
        <f t="shared" si="34"/>
        <v>5759246.8799999999</v>
      </c>
      <c r="CB30" s="221">
        <f t="shared" si="35"/>
        <v>68250000</v>
      </c>
      <c r="CC30" s="222">
        <f t="shared" si="36"/>
        <v>10854000</v>
      </c>
      <c r="CD30" s="223">
        <f t="shared" si="7"/>
        <v>13.721177184466018</v>
      </c>
      <c r="CK30" s="187"/>
      <c r="CL30" s="188"/>
    </row>
    <row r="31" spans="1:117" ht="17.25" customHeight="1">
      <c r="A31" s="23">
        <f t="shared" si="9"/>
        <v>28</v>
      </c>
      <c r="B31" s="23" t="s">
        <v>439</v>
      </c>
      <c r="C31" s="190">
        <v>2014043</v>
      </c>
      <c r="D31" s="194" t="s">
        <v>655</v>
      </c>
      <c r="E31" s="227" t="s">
        <v>656</v>
      </c>
      <c r="F31" s="227" t="s">
        <v>657</v>
      </c>
      <c r="G31" s="23" t="s">
        <v>476</v>
      </c>
      <c r="H31" s="227" t="s">
        <v>272</v>
      </c>
      <c r="I31" s="227" t="s">
        <v>206</v>
      </c>
      <c r="J31" s="194" t="s">
        <v>207</v>
      </c>
      <c r="K31" s="79" t="s">
        <v>233</v>
      </c>
      <c r="L31" s="227"/>
      <c r="M31" s="227" t="s">
        <v>658</v>
      </c>
      <c r="N31" s="228" t="s">
        <v>659</v>
      </c>
      <c r="O31" s="241" t="s">
        <v>660</v>
      </c>
      <c r="P31" s="229" t="s">
        <v>661</v>
      </c>
      <c r="Q31" s="214">
        <v>36161</v>
      </c>
      <c r="R31" s="214">
        <v>40634</v>
      </c>
      <c r="S31" s="214">
        <v>41640</v>
      </c>
      <c r="T31" s="231" t="s">
        <v>662</v>
      </c>
      <c r="U31" s="200"/>
      <c r="V31" s="201" t="s">
        <v>278</v>
      </c>
      <c r="W31" s="200"/>
      <c r="X31" s="200"/>
      <c r="Y31" s="200"/>
      <c r="Z31" s="203">
        <f t="shared" ca="1" si="21"/>
        <v>10000</v>
      </c>
      <c r="AA31" s="203">
        <f t="shared" ca="1" si="1"/>
        <v>5527</v>
      </c>
      <c r="AB31" s="232"/>
      <c r="AC31" s="232"/>
      <c r="AD31" s="78" t="s">
        <v>663</v>
      </c>
      <c r="AE31" s="78" t="s">
        <v>190</v>
      </c>
      <c r="AF31" s="78" t="s">
        <v>160</v>
      </c>
      <c r="AG31" s="78" t="s">
        <v>160</v>
      </c>
      <c r="AH31" s="23" t="s">
        <v>161</v>
      </c>
      <c r="AI31" s="23" t="s">
        <v>162</v>
      </c>
      <c r="AJ31" s="23" t="s">
        <v>483</v>
      </c>
      <c r="AK31" s="244" t="s">
        <v>553</v>
      </c>
      <c r="AL31" s="78" t="s">
        <v>664</v>
      </c>
      <c r="AM31" s="206" t="s">
        <v>665</v>
      </c>
      <c r="AN31" s="207" t="s">
        <v>666</v>
      </c>
      <c r="AO31" s="78" t="s">
        <v>166</v>
      </c>
      <c r="AP31" s="78" t="s">
        <v>667</v>
      </c>
      <c r="AQ31" s="201" t="s">
        <v>668</v>
      </c>
      <c r="AS31" s="209" t="s">
        <v>488</v>
      </c>
      <c r="AT31" s="23" t="s">
        <v>201</v>
      </c>
      <c r="AU31" s="23" t="s">
        <v>435</v>
      </c>
      <c r="AV31" s="210" t="s">
        <v>454</v>
      </c>
      <c r="AW31" s="211">
        <v>4728000</v>
      </c>
      <c r="AX31" s="175">
        <v>4728000</v>
      </c>
      <c r="AY31" s="212">
        <v>12</v>
      </c>
      <c r="AZ31" s="213">
        <f t="shared" si="2"/>
        <v>56736000</v>
      </c>
      <c r="BA31" s="213"/>
      <c r="BB31" s="213"/>
      <c r="BC31" s="214">
        <v>45839</v>
      </c>
      <c r="BD31" s="235">
        <v>42120000</v>
      </c>
      <c r="BE31" s="215">
        <v>43008000</v>
      </c>
      <c r="BF31" s="215">
        <f t="shared" si="22"/>
        <v>43008000</v>
      </c>
      <c r="BG31" s="215">
        <f t="shared" si="23"/>
        <v>3584000</v>
      </c>
      <c r="BH31" s="215">
        <v>3035600</v>
      </c>
      <c r="BI31" s="216">
        <f t="shared" si="37"/>
        <v>15481.34</v>
      </c>
      <c r="BJ31" s="216">
        <f>IF(AT31="통상",209,VLOOKUP(AD31,'[2]스케줄 분석_20260109'!$B$3:$F$20,5,FALSE))</f>
        <v>209</v>
      </c>
      <c r="BK31" s="216">
        <f>IF(AT31="통상",15,VLOOKUP(AD31,'[2]스케줄 분석_20260109'!$B$3:$P$20,10,FALSE))</f>
        <v>15</v>
      </c>
      <c r="BL31" s="216">
        <f>IF(AT31="통상",0,VLOOKUP(AD31,'[2]스케줄 분석_20260109'!$B$3:$P$20,11,FALSE))</f>
        <v>0</v>
      </c>
      <c r="BM31" s="215">
        <f t="shared" si="24"/>
        <v>348400</v>
      </c>
      <c r="BN31" s="175">
        <f t="shared" si="25"/>
        <v>0</v>
      </c>
      <c r="BO31" s="213">
        <v>200000</v>
      </c>
      <c r="BP31" s="175">
        <f>IF(OR(AT31="스케줄",AT31="스케줄_파라"),ROUNDUP(VLOOKUP(AD31,'[2]스케줄 분석_20260109'!$B$3:$Y$20,23,FALSE)*(VLOOKUP(AD31,'[2]스케줄 분석_20260109'!$B$3:$Y$20,21,FALSE)/VLOOKUP(AD31,'[2]스케줄 분석_20260109'!$B$3:$Y$20,20,FALSE))*VLOOKUP(AD31,'[2]스케줄 분석_20260109'!$B$3:$Y$20,22,FALSE)*VLOOKUP(AD31,'[2]스케줄 분석_20260109'!$B$3:$Y$20,2,FALSE)*1.5*BI31,0),0)</f>
        <v>0</v>
      </c>
      <c r="BQ31" s="217" t="str">
        <f t="shared" si="26"/>
        <v>적합</v>
      </c>
      <c r="BR31" s="213"/>
      <c r="BS31" s="218">
        <f t="shared" si="27"/>
        <v>619253.6</v>
      </c>
      <c r="BT31" s="219">
        <f t="shared" si="28"/>
        <v>3635604.4666666668</v>
      </c>
      <c r="BU31" s="175">
        <f t="shared" si="29"/>
        <v>1928880</v>
      </c>
      <c r="BV31" s="175">
        <f t="shared" si="30"/>
        <v>1653980.0832</v>
      </c>
      <c r="BW31" s="175">
        <f t="shared" si="31"/>
        <v>629424</v>
      </c>
      <c r="BX31" s="175">
        <f t="shared" si="32"/>
        <v>268012.79999999999</v>
      </c>
      <c r="BY31" s="213">
        <f t="shared" si="20"/>
        <v>4480000</v>
      </c>
      <c r="BZ31" s="220">
        <f t="shared" si="33"/>
        <v>47262858.06666667</v>
      </c>
      <c r="CA31" s="213">
        <f t="shared" si="34"/>
        <v>4480296.8832</v>
      </c>
      <c r="CB31" s="221">
        <f t="shared" si="35"/>
        <v>53760000</v>
      </c>
      <c r="CC31" s="222">
        <f t="shared" si="36"/>
        <v>2976000</v>
      </c>
      <c r="CD31" s="223">
        <f t="shared" si="7"/>
        <v>5.2453468697123524</v>
      </c>
      <c r="CK31" s="187"/>
      <c r="CL31" s="188"/>
    </row>
    <row r="32" spans="1:117" ht="17.25" customHeight="1">
      <c r="A32" s="23">
        <f t="shared" si="9"/>
        <v>29</v>
      </c>
      <c r="B32" s="23" t="s">
        <v>439</v>
      </c>
      <c r="C32" s="190">
        <v>2014044</v>
      </c>
      <c r="D32" s="194" t="s">
        <v>655</v>
      </c>
      <c r="E32" s="227" t="s">
        <v>656</v>
      </c>
      <c r="F32" s="227" t="s">
        <v>669</v>
      </c>
      <c r="G32" s="23" t="s">
        <v>476</v>
      </c>
      <c r="H32" s="227" t="s">
        <v>177</v>
      </c>
      <c r="I32" s="227" t="s">
        <v>206</v>
      </c>
      <c r="J32" s="194" t="s">
        <v>207</v>
      </c>
      <c r="K32" s="79" t="s">
        <v>233</v>
      </c>
      <c r="L32" s="227"/>
      <c r="M32" s="227" t="s">
        <v>670</v>
      </c>
      <c r="N32" s="228" t="s">
        <v>671</v>
      </c>
      <c r="O32" t="s">
        <v>672</v>
      </c>
      <c r="P32" s="229" t="s">
        <v>673</v>
      </c>
      <c r="Q32" s="214">
        <v>36526</v>
      </c>
      <c r="R32" s="214">
        <v>40634</v>
      </c>
      <c r="S32" s="214">
        <v>41640</v>
      </c>
      <c r="T32" s="231" t="s">
        <v>674</v>
      </c>
      <c r="U32" s="200"/>
      <c r="V32" s="201" t="s">
        <v>278</v>
      </c>
      <c r="W32" s="200"/>
      <c r="X32" s="200"/>
      <c r="Y32" s="200"/>
      <c r="Z32" s="203">
        <f t="shared" ca="1" si="21"/>
        <v>9635</v>
      </c>
      <c r="AA32" s="203">
        <f t="shared" ca="1" si="1"/>
        <v>5527</v>
      </c>
      <c r="AB32" s="232"/>
      <c r="AC32" s="232"/>
      <c r="AD32" t="s">
        <v>675</v>
      </c>
      <c r="AE32" s="78" t="s">
        <v>217</v>
      </c>
      <c r="AF32" s="78" t="s">
        <v>160</v>
      </c>
      <c r="AG32" s="78" t="s">
        <v>160</v>
      </c>
      <c r="AH32" s="23" t="s">
        <v>161</v>
      </c>
      <c r="AI32" s="23" t="s">
        <v>162</v>
      </c>
      <c r="AJ32" s="23" t="s">
        <v>483</v>
      </c>
      <c r="AK32" s="239">
        <v>13486</v>
      </c>
      <c r="AL32" s="78" t="s">
        <v>163</v>
      </c>
      <c r="AM32" s="206" t="s">
        <v>676</v>
      </c>
      <c r="AN32" s="207" t="s">
        <v>677</v>
      </c>
      <c r="AO32" s="78" t="s">
        <v>166</v>
      </c>
      <c r="AP32" s="78" t="s">
        <v>667</v>
      </c>
      <c r="AQ32" s="201" t="s">
        <v>678</v>
      </c>
      <c r="AS32" s="209" t="s">
        <v>488</v>
      </c>
      <c r="AT32" s="23" t="s">
        <v>201</v>
      </c>
      <c r="AU32" s="23" t="s">
        <v>435</v>
      </c>
      <c r="AV32" s="210" t="s">
        <v>454</v>
      </c>
      <c r="AW32" s="211">
        <v>6339000</v>
      </c>
      <c r="AX32" s="175">
        <v>6339000</v>
      </c>
      <c r="AY32" s="212">
        <v>12</v>
      </c>
      <c r="AZ32" s="213">
        <f t="shared" si="2"/>
        <v>76068000</v>
      </c>
      <c r="BA32" s="213"/>
      <c r="BB32" s="213"/>
      <c r="BC32" s="214">
        <v>45839</v>
      </c>
      <c r="BD32" s="215">
        <v>56928000</v>
      </c>
      <c r="BE32" s="215">
        <v>58666800</v>
      </c>
      <c r="BF32" s="215">
        <f t="shared" si="22"/>
        <v>58666800</v>
      </c>
      <c r="BG32" s="215">
        <f t="shared" si="23"/>
        <v>4888900</v>
      </c>
      <c r="BH32" s="215">
        <v>4213700</v>
      </c>
      <c r="BI32" s="216">
        <f t="shared" si="37"/>
        <v>21118.18</v>
      </c>
      <c r="BJ32" s="216">
        <f>IF(AT32="통상",209,VLOOKUP(AD32,'[2]스케줄 분석_20260109'!$B$3:$F$20,5,FALSE))</f>
        <v>209</v>
      </c>
      <c r="BK32" s="216">
        <f>IF(AT32="통상",15,VLOOKUP(AD32,'[2]스케줄 분석_20260109'!$B$3:$P$20,10,FALSE))</f>
        <v>15</v>
      </c>
      <c r="BL32" s="216">
        <f>IF(AT32="통상",0,VLOOKUP(AD32,'[2]스케줄 분석_20260109'!$B$3:$P$20,11,FALSE))</f>
        <v>0</v>
      </c>
      <c r="BM32" s="215">
        <f t="shared" si="24"/>
        <v>475200</v>
      </c>
      <c r="BN32" s="175">
        <f t="shared" si="25"/>
        <v>0</v>
      </c>
      <c r="BO32" s="213">
        <v>200000</v>
      </c>
      <c r="BP32" s="175">
        <f>IF(OR(AT32="스케줄",AT32="스케줄_파라"),ROUNDUP(VLOOKUP(AD32,'[2]스케줄 분석_20260109'!$B$3:$Y$20,23,FALSE)*(VLOOKUP(AD32,'[2]스케줄 분석_20260109'!$B$3:$Y$20,21,FALSE)/VLOOKUP(AD32,'[2]스케줄 분석_20260109'!$B$3:$Y$20,20,FALSE))*VLOOKUP(AD32,'[2]스케줄 분석_20260109'!$B$3:$Y$20,22,FALSE)*VLOOKUP(AD32,'[2]스케줄 분석_20260109'!$B$3:$Y$20,2,FALSE)*1.5*BI32,0),0)</f>
        <v>0</v>
      </c>
      <c r="BQ32" s="217" t="str">
        <f t="shared" si="26"/>
        <v>적합</v>
      </c>
      <c r="BR32" s="213"/>
      <c r="BS32" s="218">
        <f t="shared" si="27"/>
        <v>844727.2</v>
      </c>
      <c r="BT32" s="219">
        <f t="shared" si="28"/>
        <v>4959293.9333333336</v>
      </c>
      <c r="BU32" s="175">
        <f t="shared" si="29"/>
        <v>2672673</v>
      </c>
      <c r="BV32" s="175">
        <f t="shared" si="30"/>
        <v>2291769.2707199999</v>
      </c>
      <c r="BW32" s="175">
        <f t="shared" si="31"/>
        <v>872135.4</v>
      </c>
      <c r="BX32" s="175">
        <f t="shared" si="32"/>
        <v>371360.88</v>
      </c>
      <c r="BY32" s="213">
        <f t="shared" si="20"/>
        <v>6111125</v>
      </c>
      <c r="BZ32" s="220">
        <f t="shared" si="33"/>
        <v>64470821.13333334</v>
      </c>
      <c r="CA32" s="213">
        <f t="shared" si="34"/>
        <v>6207938.5507199997</v>
      </c>
      <c r="CB32" s="221">
        <f t="shared" si="35"/>
        <v>73333500</v>
      </c>
      <c r="CC32" s="222">
        <f t="shared" si="36"/>
        <v>2734500</v>
      </c>
      <c r="CD32" s="223">
        <f t="shared" si="7"/>
        <v>3.594809906925382</v>
      </c>
      <c r="CE32" s="245"/>
      <c r="CF32" s="245"/>
      <c r="CG32" s="246"/>
      <c r="CH32" s="246"/>
      <c r="CI32" s="111"/>
      <c r="CK32" s="187"/>
      <c r="CL32" s="188"/>
    </row>
    <row r="33" spans="1:117" ht="17.25" customHeight="1">
      <c r="A33" s="23">
        <f t="shared" si="9"/>
        <v>30</v>
      </c>
      <c r="B33" s="23" t="s">
        <v>439</v>
      </c>
      <c r="C33" s="190">
        <v>2014045</v>
      </c>
      <c r="D33" s="194" t="s">
        <v>655</v>
      </c>
      <c r="E33" s="227" t="s">
        <v>656</v>
      </c>
      <c r="F33" s="227" t="s">
        <v>679</v>
      </c>
      <c r="G33" s="23" t="s">
        <v>476</v>
      </c>
      <c r="H33" s="227" t="s">
        <v>205</v>
      </c>
      <c r="I33" s="227" t="s">
        <v>206</v>
      </c>
      <c r="J33" s="194" t="s">
        <v>207</v>
      </c>
      <c r="K33" s="79" t="s">
        <v>233</v>
      </c>
      <c r="L33" s="227"/>
      <c r="M33" s="227" t="s">
        <v>680</v>
      </c>
      <c r="N33" s="228" t="s">
        <v>681</v>
      </c>
      <c r="O33" t="s">
        <v>682</v>
      </c>
      <c r="P33" s="229" t="s">
        <v>683</v>
      </c>
      <c r="Q33" s="214">
        <v>35521</v>
      </c>
      <c r="R33" s="214">
        <v>40634</v>
      </c>
      <c r="S33" s="214">
        <v>41640</v>
      </c>
      <c r="T33" s="231" t="s">
        <v>594</v>
      </c>
      <c r="U33" s="200"/>
      <c r="V33" s="201" t="s">
        <v>394</v>
      </c>
      <c r="W33" s="231" t="s">
        <v>498</v>
      </c>
      <c r="X33" s="200" t="s">
        <v>684</v>
      </c>
      <c r="Y33" s="200"/>
      <c r="Z33" s="203">
        <f t="shared" ca="1" si="21"/>
        <v>10640</v>
      </c>
      <c r="AA33" s="203">
        <f t="shared" ca="1" si="1"/>
        <v>5527</v>
      </c>
      <c r="AB33" s="232"/>
      <c r="AC33" s="232"/>
      <c r="AD33" t="s">
        <v>675</v>
      </c>
      <c r="AE33" s="78" t="s">
        <v>217</v>
      </c>
      <c r="AF33" s="78" t="s">
        <v>160</v>
      </c>
      <c r="AG33" s="78" t="s">
        <v>160</v>
      </c>
      <c r="AH33" s="23" t="s">
        <v>161</v>
      </c>
      <c r="AI33" s="23" t="s">
        <v>162</v>
      </c>
      <c r="AJ33" s="23" t="s">
        <v>483</v>
      </c>
      <c r="AK33" s="239">
        <v>13486</v>
      </c>
      <c r="AL33" s="78" t="s">
        <v>163</v>
      </c>
      <c r="AM33" s="206">
        <v>16909</v>
      </c>
      <c r="AN33" s="207" t="s">
        <v>685</v>
      </c>
      <c r="AO33" s="78" t="s">
        <v>166</v>
      </c>
      <c r="AP33" s="78" t="s">
        <v>667</v>
      </c>
      <c r="AQ33" s="201" t="s">
        <v>678</v>
      </c>
      <c r="AS33" s="209" t="s">
        <v>488</v>
      </c>
      <c r="AT33" s="23" t="s">
        <v>201</v>
      </c>
      <c r="AU33" s="23" t="s">
        <v>435</v>
      </c>
      <c r="AV33" s="210" t="s">
        <v>454</v>
      </c>
      <c r="AW33" s="211">
        <v>6304000</v>
      </c>
      <c r="AX33" s="175">
        <v>6304000</v>
      </c>
      <c r="AY33" s="212">
        <v>12</v>
      </c>
      <c r="AZ33" s="213">
        <f t="shared" si="2"/>
        <v>75648000</v>
      </c>
      <c r="BA33" s="213"/>
      <c r="BB33" s="213"/>
      <c r="BC33" s="214">
        <v>45839</v>
      </c>
      <c r="BD33" s="215">
        <v>57588000</v>
      </c>
      <c r="BE33" s="215">
        <v>58788000</v>
      </c>
      <c r="BF33" s="215">
        <f t="shared" si="22"/>
        <v>58788000</v>
      </c>
      <c r="BG33" s="215">
        <f t="shared" si="23"/>
        <v>4899000</v>
      </c>
      <c r="BH33" s="215">
        <v>4222800</v>
      </c>
      <c r="BI33" s="216">
        <f t="shared" si="37"/>
        <v>21161.72</v>
      </c>
      <c r="BJ33" s="216">
        <f>IF(AT33="통상",209,VLOOKUP(AD33,'[2]스케줄 분석_20260109'!$B$3:$F$20,5,FALSE))</f>
        <v>209</v>
      </c>
      <c r="BK33" s="216">
        <f>IF(AT33="통상",15,VLOOKUP(AD33,'[2]스케줄 분석_20260109'!$B$3:$P$20,10,FALSE))</f>
        <v>15</v>
      </c>
      <c r="BL33" s="216">
        <f>IF(AT33="통상",0,VLOOKUP(AD33,'[2]스케줄 분석_20260109'!$B$3:$P$20,11,FALSE))</f>
        <v>0</v>
      </c>
      <c r="BM33" s="215">
        <f t="shared" si="24"/>
        <v>476200</v>
      </c>
      <c r="BN33" s="175">
        <f t="shared" si="25"/>
        <v>0</v>
      </c>
      <c r="BO33" s="213">
        <v>200000</v>
      </c>
      <c r="BP33" s="175">
        <f>IF(OR(AT33="스케줄",AT33="스케줄_파라"),ROUNDUP(VLOOKUP(AD33,'[2]스케줄 분석_20260109'!$B$3:$Y$20,23,FALSE)*(VLOOKUP(AD33,'[2]스케줄 분석_20260109'!$B$3:$Y$20,21,FALSE)/VLOOKUP(AD33,'[2]스케줄 분석_20260109'!$B$3:$Y$20,20,FALSE))*VLOOKUP(AD33,'[2]스케줄 분석_20260109'!$B$3:$Y$20,22,FALSE)*VLOOKUP(AD33,'[2]스케줄 분석_20260109'!$B$3:$Y$20,2,FALSE)*1.5*BI33,0),0)</f>
        <v>0</v>
      </c>
      <c r="BQ33" s="217" t="str">
        <f t="shared" si="26"/>
        <v>적합</v>
      </c>
      <c r="BR33" s="213"/>
      <c r="BS33" s="218">
        <f t="shared" si="27"/>
        <v>846468.8</v>
      </c>
      <c r="BT33" s="219">
        <f t="shared" si="28"/>
        <v>4969539.0666666664</v>
      </c>
      <c r="BU33" s="175">
        <f t="shared" si="29"/>
        <v>2678430</v>
      </c>
      <c r="BV33" s="175">
        <f t="shared" si="30"/>
        <v>2296705.7951999996</v>
      </c>
      <c r="BW33" s="175">
        <f t="shared" si="31"/>
        <v>874014</v>
      </c>
      <c r="BX33" s="175">
        <f t="shared" si="32"/>
        <v>372160.8</v>
      </c>
      <c r="BY33" s="213">
        <f t="shared" si="20"/>
        <v>6123750</v>
      </c>
      <c r="BZ33" s="220">
        <f t="shared" si="33"/>
        <v>64604007.86666666</v>
      </c>
      <c r="CA33" s="213">
        <f t="shared" si="34"/>
        <v>6221310.5951999994</v>
      </c>
      <c r="CB33" s="221">
        <f t="shared" si="35"/>
        <v>73485000</v>
      </c>
      <c r="CC33" s="222">
        <f t="shared" si="36"/>
        <v>2163000</v>
      </c>
      <c r="CD33" s="223">
        <f t="shared" si="7"/>
        <v>2.859295685279188</v>
      </c>
      <c r="CK33" s="187"/>
      <c r="CL33" s="188"/>
    </row>
    <row r="34" spans="1:117" ht="17.25" customHeight="1">
      <c r="A34" s="23">
        <f t="shared" si="9"/>
        <v>31</v>
      </c>
      <c r="B34" s="23" t="s">
        <v>439</v>
      </c>
      <c r="C34" s="190">
        <v>2014046</v>
      </c>
      <c r="D34" s="194" t="s">
        <v>655</v>
      </c>
      <c r="E34" s="227" t="s">
        <v>686</v>
      </c>
      <c r="F34" s="227" t="s">
        <v>687</v>
      </c>
      <c r="G34" s="23" t="s">
        <v>476</v>
      </c>
      <c r="H34" s="238" t="s">
        <v>177</v>
      </c>
      <c r="I34" s="227" t="s">
        <v>206</v>
      </c>
      <c r="J34" s="194" t="s">
        <v>207</v>
      </c>
      <c r="K34" s="79" t="s">
        <v>179</v>
      </c>
      <c r="L34" s="227"/>
      <c r="M34" s="227" t="s">
        <v>688</v>
      </c>
      <c r="N34" s="228" t="s">
        <v>689</v>
      </c>
      <c r="O34" t="s">
        <v>690</v>
      </c>
      <c r="P34" s="229" t="s">
        <v>691</v>
      </c>
      <c r="Q34" s="214">
        <v>35947</v>
      </c>
      <c r="R34" s="214">
        <v>40634</v>
      </c>
      <c r="S34" s="214">
        <v>41640</v>
      </c>
      <c r="T34" s="231" t="s">
        <v>692</v>
      </c>
      <c r="U34" s="200"/>
      <c r="V34" s="201" t="s">
        <v>278</v>
      </c>
      <c r="W34" s="231" t="s">
        <v>693</v>
      </c>
      <c r="X34" s="200" t="s">
        <v>609</v>
      </c>
      <c r="Y34" s="200"/>
      <c r="Z34" s="203">
        <f t="shared" ca="1" si="21"/>
        <v>10214</v>
      </c>
      <c r="AA34" s="203">
        <f t="shared" ca="1" si="1"/>
        <v>5527</v>
      </c>
      <c r="AB34" s="232"/>
      <c r="AC34" s="232"/>
      <c r="AD34" s="78" t="s">
        <v>694</v>
      </c>
      <c r="AE34" s="78" t="s">
        <v>190</v>
      </c>
      <c r="AF34" s="78" t="s">
        <v>160</v>
      </c>
      <c r="AG34" s="78" t="s">
        <v>160</v>
      </c>
      <c r="AH34" s="23" t="s">
        <v>161</v>
      </c>
      <c r="AI34" s="23" t="s">
        <v>503</v>
      </c>
      <c r="AJ34" s="23" t="s">
        <v>695</v>
      </c>
      <c r="AK34" s="239" t="s">
        <v>505</v>
      </c>
      <c r="AL34" s="78" t="s">
        <v>696</v>
      </c>
      <c r="AM34" s="206" t="s">
        <v>697</v>
      </c>
      <c r="AN34" s="207" t="s">
        <v>698</v>
      </c>
      <c r="AO34" s="78" t="s">
        <v>166</v>
      </c>
      <c r="AP34" s="78" t="s">
        <v>667</v>
      </c>
      <c r="AQ34" s="201" t="s">
        <v>678</v>
      </c>
      <c r="AS34" s="209" t="s">
        <v>488</v>
      </c>
      <c r="AT34" s="23" t="s">
        <v>201</v>
      </c>
      <c r="AU34" s="23" t="s">
        <v>435</v>
      </c>
      <c r="AV34" s="210" t="s">
        <v>454</v>
      </c>
      <c r="AW34" s="211">
        <v>5999000</v>
      </c>
      <c r="AX34" s="175">
        <v>5999000</v>
      </c>
      <c r="AY34" s="212">
        <v>12</v>
      </c>
      <c r="AZ34" s="213">
        <f t="shared" si="2"/>
        <v>71988000</v>
      </c>
      <c r="BA34" s="213"/>
      <c r="BB34" s="213"/>
      <c r="BC34" s="214">
        <v>45839</v>
      </c>
      <c r="BD34" s="215">
        <v>51168000</v>
      </c>
      <c r="BE34" s="215">
        <v>53376000</v>
      </c>
      <c r="BF34" s="215">
        <f t="shared" si="22"/>
        <v>53376000</v>
      </c>
      <c r="BG34" s="215">
        <f t="shared" si="23"/>
        <v>4448000</v>
      </c>
      <c r="BH34" s="215">
        <v>3815600</v>
      </c>
      <c r="BI34" s="216">
        <f t="shared" si="37"/>
        <v>19213.400000000001</v>
      </c>
      <c r="BJ34" s="216">
        <f>IF(AT34="통상",209,VLOOKUP(AD34,'[2]스케줄 분석_20260109'!$B$3:$F$20,5,FALSE))</f>
        <v>209</v>
      </c>
      <c r="BK34" s="216">
        <f>IF(AT34="통상",15,VLOOKUP(AD34,'[2]스케줄 분석_20260109'!$B$3:$P$20,10,FALSE))</f>
        <v>15</v>
      </c>
      <c r="BL34" s="216">
        <f>IF(AT34="통상",0,VLOOKUP(AD34,'[2]스케줄 분석_20260109'!$B$3:$P$20,11,FALSE))</f>
        <v>0</v>
      </c>
      <c r="BM34" s="215">
        <f t="shared" si="24"/>
        <v>432400</v>
      </c>
      <c r="BN34" s="175">
        <f t="shared" si="25"/>
        <v>0</v>
      </c>
      <c r="BO34" s="213">
        <v>200000</v>
      </c>
      <c r="BP34" s="175">
        <f>IF(OR(AT34="스케줄",AT34="스케줄_파라"),ROUNDUP(VLOOKUP(AD34,'[2]스케줄 분석_20260109'!$B$3:$Y$20,23,FALSE)*(VLOOKUP(AD34,'[2]스케줄 분석_20260109'!$B$3:$Y$20,21,FALSE)/VLOOKUP(AD34,'[2]스케줄 분석_20260109'!$B$3:$Y$20,20,FALSE))*VLOOKUP(AD34,'[2]스케줄 분석_20260109'!$B$3:$Y$20,22,FALSE)*VLOOKUP(AD34,'[2]스케줄 분석_20260109'!$B$3:$Y$20,2,FALSE)*1.5*BI34,0),0)</f>
        <v>0</v>
      </c>
      <c r="BQ34" s="217" t="str">
        <f t="shared" si="26"/>
        <v>적합</v>
      </c>
      <c r="BR34" s="213"/>
      <c r="BS34" s="218">
        <f t="shared" si="27"/>
        <v>768536</v>
      </c>
      <c r="BT34" s="219">
        <f t="shared" si="28"/>
        <v>4512044.666666667</v>
      </c>
      <c r="BU34" s="175">
        <f t="shared" si="29"/>
        <v>2421360</v>
      </c>
      <c r="BV34" s="175">
        <f t="shared" si="30"/>
        <v>2076272.8703999997</v>
      </c>
      <c r="BW34" s="175">
        <f t="shared" si="31"/>
        <v>790128</v>
      </c>
      <c r="BX34" s="175">
        <f t="shared" si="32"/>
        <v>336441.59999999998</v>
      </c>
      <c r="BY34" s="213">
        <f t="shared" si="20"/>
        <v>5560000</v>
      </c>
      <c r="BZ34" s="220">
        <f t="shared" si="33"/>
        <v>58656580.666666664</v>
      </c>
      <c r="CA34" s="213">
        <f t="shared" si="34"/>
        <v>5624202.4703999991</v>
      </c>
      <c r="CB34" s="221">
        <f t="shared" si="35"/>
        <v>66720000</v>
      </c>
      <c r="CC34" s="222">
        <f t="shared" si="36"/>
        <v>5268000</v>
      </c>
      <c r="CD34" s="223">
        <f t="shared" si="7"/>
        <v>7.3178863143857313</v>
      </c>
      <c r="CK34" s="187"/>
      <c r="CL34" s="188"/>
      <c r="DL34" s="79"/>
      <c r="DM34" s="79"/>
    </row>
    <row r="35" spans="1:117" ht="17.25" customHeight="1">
      <c r="A35" s="23">
        <f t="shared" si="9"/>
        <v>32</v>
      </c>
      <c r="B35" s="23" t="s">
        <v>439</v>
      </c>
      <c r="C35" s="190">
        <v>2014047</v>
      </c>
      <c r="D35" s="194" t="s">
        <v>655</v>
      </c>
      <c r="E35" s="227" t="s">
        <v>656</v>
      </c>
      <c r="F35" s="227" t="s">
        <v>699</v>
      </c>
      <c r="G35" s="23" t="s">
        <v>476</v>
      </c>
      <c r="H35" s="227" t="s">
        <v>177</v>
      </c>
      <c r="I35" s="227" t="s">
        <v>206</v>
      </c>
      <c r="J35" s="194" t="s">
        <v>207</v>
      </c>
      <c r="K35" s="79" t="s">
        <v>179</v>
      </c>
      <c r="L35" s="227"/>
      <c r="M35" s="227" t="s">
        <v>700</v>
      </c>
      <c r="N35" s="228" t="s">
        <v>701</v>
      </c>
      <c r="O35" s="237" t="s">
        <v>702</v>
      </c>
      <c r="P35" s="229" t="s">
        <v>703</v>
      </c>
      <c r="Q35" s="214">
        <v>35065</v>
      </c>
      <c r="R35" s="214">
        <v>40634</v>
      </c>
      <c r="S35" s="214">
        <v>41640</v>
      </c>
      <c r="T35" s="231" t="s">
        <v>704</v>
      </c>
      <c r="U35" s="200"/>
      <c r="V35" s="201" t="s">
        <v>278</v>
      </c>
      <c r="W35" s="200"/>
      <c r="X35" s="200"/>
      <c r="Y35" s="200"/>
      <c r="Z35" s="203">
        <f t="shared" ca="1" si="21"/>
        <v>11096</v>
      </c>
      <c r="AA35" s="203">
        <f t="shared" ca="1" si="1"/>
        <v>5527</v>
      </c>
      <c r="AB35" s="232"/>
      <c r="AC35" s="232"/>
      <c r="AD35" t="s">
        <v>675</v>
      </c>
      <c r="AE35" s="78" t="s">
        <v>217</v>
      </c>
      <c r="AF35" s="78" t="s">
        <v>160</v>
      </c>
      <c r="AG35" s="78" t="s">
        <v>160</v>
      </c>
      <c r="AH35" s="23" t="s">
        <v>161</v>
      </c>
      <c r="AI35" s="23" t="s">
        <v>162</v>
      </c>
      <c r="AJ35" s="23" t="s">
        <v>483</v>
      </c>
      <c r="AK35" s="239">
        <v>13486</v>
      </c>
      <c r="AL35" s="78" t="s">
        <v>163</v>
      </c>
      <c r="AM35" s="206">
        <v>10518</v>
      </c>
      <c r="AN35" s="207" t="s">
        <v>705</v>
      </c>
      <c r="AO35" s="78" t="s">
        <v>166</v>
      </c>
      <c r="AP35" s="78" t="s">
        <v>667</v>
      </c>
      <c r="AQ35" s="201" t="s">
        <v>678</v>
      </c>
      <c r="AR35" s="201" t="s">
        <v>510</v>
      </c>
      <c r="AS35" s="209" t="s">
        <v>488</v>
      </c>
      <c r="AT35" s="23" t="s">
        <v>201</v>
      </c>
      <c r="AU35" s="23" t="s">
        <v>435</v>
      </c>
      <c r="AV35" s="210" t="s">
        <v>454</v>
      </c>
      <c r="AW35" s="211">
        <v>6304000</v>
      </c>
      <c r="AX35" s="175">
        <v>6304000</v>
      </c>
      <c r="AY35" s="236">
        <v>12</v>
      </c>
      <c r="AZ35" s="213">
        <f t="shared" si="2"/>
        <v>75648000</v>
      </c>
      <c r="BA35" s="175"/>
      <c r="BB35" s="175"/>
      <c r="BC35" s="214">
        <v>45839</v>
      </c>
      <c r="BD35" s="215">
        <v>57024000</v>
      </c>
      <c r="BE35" s="215">
        <v>58224000</v>
      </c>
      <c r="BF35" s="215">
        <f t="shared" si="22"/>
        <v>58224000</v>
      </c>
      <c r="BG35" s="215">
        <f t="shared" si="23"/>
        <v>4852000</v>
      </c>
      <c r="BH35" s="215">
        <v>4180400</v>
      </c>
      <c r="BI35" s="216">
        <f t="shared" si="37"/>
        <v>20958.849999999999</v>
      </c>
      <c r="BJ35" s="216">
        <f>IF(AT35="통상",209,VLOOKUP(AD35,'[2]스케줄 분석_20260109'!$B$3:$F$20,5,FALSE))</f>
        <v>209</v>
      </c>
      <c r="BK35" s="216">
        <f>IF(AT35="통상",15,VLOOKUP(AD35,'[2]스케줄 분석_20260109'!$B$3:$P$20,10,FALSE))</f>
        <v>15</v>
      </c>
      <c r="BL35" s="216">
        <f>IF(AT35="통상",0,VLOOKUP(AD35,'[2]스케줄 분석_20260109'!$B$3:$P$20,11,FALSE))</f>
        <v>0</v>
      </c>
      <c r="BM35" s="215">
        <f t="shared" si="24"/>
        <v>471600</v>
      </c>
      <c r="BN35" s="175">
        <f t="shared" si="25"/>
        <v>0</v>
      </c>
      <c r="BO35" s="213">
        <v>200000</v>
      </c>
      <c r="BP35" s="175">
        <f>IF(OR(AT35="스케줄",AT35="스케줄_파라"),ROUNDUP(VLOOKUP(AD35,'[2]스케줄 분석_20260109'!$B$3:$Y$20,23,FALSE)*(VLOOKUP(AD35,'[2]스케줄 분석_20260109'!$B$3:$Y$20,21,FALSE)/VLOOKUP(AD35,'[2]스케줄 분석_20260109'!$B$3:$Y$20,20,FALSE))*VLOOKUP(AD35,'[2]스케줄 분석_20260109'!$B$3:$Y$20,22,FALSE)*VLOOKUP(AD35,'[2]스케줄 분석_20260109'!$B$3:$Y$20,2,FALSE)*1.5*BI35,0),0)</f>
        <v>0</v>
      </c>
      <c r="BQ35" s="217" t="str">
        <f t="shared" si="26"/>
        <v>적합</v>
      </c>
      <c r="BR35" s="175"/>
      <c r="BS35" s="218">
        <f t="shared" si="27"/>
        <v>838354</v>
      </c>
      <c r="BT35" s="219">
        <f t="shared" si="28"/>
        <v>4921862.833333333</v>
      </c>
      <c r="BU35" s="175">
        <f t="shared" si="29"/>
        <v>2651640</v>
      </c>
      <c r="BV35" s="175">
        <f t="shared" si="30"/>
        <v>2273733.8495999998</v>
      </c>
      <c r="BW35" s="175">
        <f t="shared" si="31"/>
        <v>865272</v>
      </c>
      <c r="BX35" s="175">
        <f t="shared" si="32"/>
        <v>368438.4</v>
      </c>
      <c r="BY35" s="213">
        <f t="shared" si="20"/>
        <v>6065000</v>
      </c>
      <c r="BZ35" s="220">
        <f t="shared" si="33"/>
        <v>63984216.833333336</v>
      </c>
      <c r="CA35" s="213">
        <f t="shared" si="34"/>
        <v>6159084.2496000007</v>
      </c>
      <c r="CB35" s="221">
        <f t="shared" si="35"/>
        <v>72780000</v>
      </c>
      <c r="CC35" s="222">
        <f t="shared" si="36"/>
        <v>2868000</v>
      </c>
      <c r="CD35" s="223">
        <f t="shared" si="7"/>
        <v>3.7912436548223347</v>
      </c>
      <c r="CK35" s="187"/>
      <c r="CL35" s="188"/>
    </row>
    <row r="36" spans="1:117" ht="17.25" customHeight="1">
      <c r="A36" s="23">
        <f t="shared" si="9"/>
        <v>33</v>
      </c>
      <c r="B36" s="23" t="s">
        <v>439</v>
      </c>
      <c r="C36" s="190">
        <v>2014048</v>
      </c>
      <c r="D36" s="194" t="s">
        <v>541</v>
      </c>
      <c r="E36" s="227" t="s">
        <v>706</v>
      </c>
      <c r="F36" s="227" t="s">
        <v>707</v>
      </c>
      <c r="G36" s="23" t="s">
        <v>441</v>
      </c>
      <c r="H36" s="227" t="s">
        <v>177</v>
      </c>
      <c r="I36" s="227" t="s">
        <v>206</v>
      </c>
      <c r="J36" s="194" t="s">
        <v>207</v>
      </c>
      <c r="K36" s="79" t="s">
        <v>708</v>
      </c>
      <c r="L36" s="227"/>
      <c r="M36" s="227" t="s">
        <v>709</v>
      </c>
      <c r="N36" s="228" t="s">
        <v>710</v>
      </c>
      <c r="O36" s="241" t="s">
        <v>711</v>
      </c>
      <c r="P36" s="229" t="s">
        <v>712</v>
      </c>
      <c r="Q36" s="214">
        <v>37846</v>
      </c>
      <c r="R36" s="214">
        <v>40634</v>
      </c>
      <c r="S36" s="214">
        <v>41640</v>
      </c>
      <c r="T36" s="231" t="s">
        <v>713</v>
      </c>
      <c r="U36" s="200"/>
      <c r="V36" s="201" t="s">
        <v>394</v>
      </c>
      <c r="W36" s="200"/>
      <c r="X36" s="200"/>
      <c r="Y36" s="200"/>
      <c r="Z36" s="203">
        <f t="shared" ca="1" si="21"/>
        <v>8315</v>
      </c>
      <c r="AA36" s="203">
        <f t="shared" ca="1" si="1"/>
        <v>5527</v>
      </c>
      <c r="AB36" s="232"/>
      <c r="AC36" s="232"/>
      <c r="AD36" s="78" t="s">
        <v>714</v>
      </c>
      <c r="AE36" s="78" t="s">
        <v>217</v>
      </c>
      <c r="AF36" s="78" t="s">
        <v>160</v>
      </c>
      <c r="AG36" s="78" t="s">
        <v>160</v>
      </c>
      <c r="AH36" s="23" t="s">
        <v>161</v>
      </c>
      <c r="AI36" s="23" t="s">
        <v>162</v>
      </c>
      <c r="AJ36" s="23" t="s">
        <v>483</v>
      </c>
      <c r="AK36" s="239">
        <v>13486</v>
      </c>
      <c r="AL36" s="78" t="s">
        <v>163</v>
      </c>
      <c r="AM36" s="206" t="s">
        <v>715</v>
      </c>
      <c r="AN36" s="207" t="s">
        <v>716</v>
      </c>
      <c r="AO36" s="78" t="s">
        <v>166</v>
      </c>
      <c r="AP36" s="78" t="s">
        <v>486</v>
      </c>
      <c r="AQ36" s="201" t="s">
        <v>717</v>
      </c>
      <c r="AR36" s="201" t="s">
        <v>718</v>
      </c>
      <c r="AS36" s="209" t="s">
        <v>488</v>
      </c>
      <c r="AT36" s="23" t="s">
        <v>201</v>
      </c>
      <c r="AU36" s="23" t="s">
        <v>435</v>
      </c>
      <c r="AV36" s="210" t="s">
        <v>454</v>
      </c>
      <c r="AW36" s="211">
        <v>5790000</v>
      </c>
      <c r="AX36" s="175">
        <v>5790000</v>
      </c>
      <c r="AY36" s="212">
        <v>12</v>
      </c>
      <c r="AZ36" s="213">
        <f t="shared" si="2"/>
        <v>69480000</v>
      </c>
      <c r="BA36" s="213"/>
      <c r="BB36" s="213"/>
      <c r="BC36" s="214">
        <v>45839</v>
      </c>
      <c r="BD36" s="235">
        <v>49488000</v>
      </c>
      <c r="BE36" s="215">
        <v>50580000</v>
      </c>
      <c r="BF36" s="215">
        <f t="shared" si="22"/>
        <v>50580000</v>
      </c>
      <c r="BG36" s="215">
        <f t="shared" si="23"/>
        <v>4215000</v>
      </c>
      <c r="BH36" s="215">
        <v>3605300</v>
      </c>
      <c r="BI36" s="216">
        <f t="shared" si="37"/>
        <v>18207.18</v>
      </c>
      <c r="BJ36" s="216">
        <f>IF(AT36="통상",209,VLOOKUP(AD36,'[2]스케줄 분석_20260109'!$B$3:$F$20,5,FALSE))</f>
        <v>209</v>
      </c>
      <c r="BK36" s="216">
        <f>IF(AT36="통상",15,VLOOKUP(AD36,'[2]스케줄 분석_20260109'!$B$3:$P$20,10,FALSE))</f>
        <v>15</v>
      </c>
      <c r="BL36" s="216">
        <f>IF(AT36="통상",0,VLOOKUP(AD36,'[2]스케줄 분석_20260109'!$B$3:$P$20,11,FALSE))</f>
        <v>0</v>
      </c>
      <c r="BM36" s="215">
        <f t="shared" si="24"/>
        <v>409700</v>
      </c>
      <c r="BN36" s="175">
        <f t="shared" si="25"/>
        <v>0</v>
      </c>
      <c r="BO36" s="213">
        <v>200000</v>
      </c>
      <c r="BP36" s="175">
        <f>IF(OR(AT36="스케줄",AT36="스케줄_파라"),ROUNDUP(VLOOKUP(AD36,'[2]스케줄 분석_20260109'!$B$3:$Y$20,23,FALSE)*(VLOOKUP(AD36,'[2]스케줄 분석_20260109'!$B$3:$Y$20,21,FALSE)/VLOOKUP(AD36,'[2]스케줄 분석_20260109'!$B$3:$Y$20,20,FALSE))*VLOOKUP(AD36,'[2]스케줄 분석_20260109'!$B$3:$Y$20,22,FALSE)*VLOOKUP(AD36,'[2]스케줄 분석_20260109'!$B$3:$Y$20,2,FALSE)*1.5*BI36,0),0)</f>
        <v>0</v>
      </c>
      <c r="BQ36" s="217" t="str">
        <f t="shared" si="26"/>
        <v>적합</v>
      </c>
      <c r="BR36" s="213"/>
      <c r="BS36" s="218">
        <f t="shared" si="27"/>
        <v>728287.2</v>
      </c>
      <c r="BT36" s="219">
        <f t="shared" si="28"/>
        <v>4275690.5999999996</v>
      </c>
      <c r="BU36" s="175">
        <f t="shared" si="29"/>
        <v>2288550</v>
      </c>
      <c r="BV36" s="175">
        <f t="shared" si="30"/>
        <v>1962390.6719999998</v>
      </c>
      <c r="BW36" s="175">
        <f t="shared" si="31"/>
        <v>746790</v>
      </c>
      <c r="BX36" s="175">
        <f t="shared" si="32"/>
        <v>317988</v>
      </c>
      <c r="BY36" s="213">
        <f t="shared" si="20"/>
        <v>5268750</v>
      </c>
      <c r="BZ36" s="220">
        <f t="shared" si="33"/>
        <v>55583977.800000004</v>
      </c>
      <c r="CA36" s="213">
        <f t="shared" si="34"/>
        <v>5315718.6720000003</v>
      </c>
      <c r="CB36" s="221">
        <f t="shared" si="35"/>
        <v>63225000</v>
      </c>
      <c r="CC36" s="222">
        <f t="shared" si="36"/>
        <v>6255000</v>
      </c>
      <c r="CD36" s="223">
        <f t="shared" si="7"/>
        <v>9.0025906735751295</v>
      </c>
      <c r="CG36" s="247"/>
      <c r="CH36" s="247"/>
      <c r="CI36" s="210"/>
      <c r="CK36" s="187"/>
      <c r="CL36" s="188"/>
    </row>
    <row r="37" spans="1:117" ht="17.25" customHeight="1">
      <c r="A37" s="23">
        <f t="shared" si="9"/>
        <v>34</v>
      </c>
      <c r="B37" s="23" t="s">
        <v>439</v>
      </c>
      <c r="C37" s="190">
        <v>2014049</v>
      </c>
      <c r="D37" s="194" t="s">
        <v>474</v>
      </c>
      <c r="E37" s="227" t="s">
        <v>656</v>
      </c>
      <c r="F37" s="227" t="s">
        <v>719</v>
      </c>
      <c r="G37" s="23" t="s">
        <v>476</v>
      </c>
      <c r="H37" s="227" t="s">
        <v>205</v>
      </c>
      <c r="I37" s="227" t="s">
        <v>151</v>
      </c>
      <c r="J37" s="194" t="s">
        <v>207</v>
      </c>
      <c r="K37" s="79" t="s">
        <v>233</v>
      </c>
      <c r="L37" s="227"/>
      <c r="M37" s="227" t="s">
        <v>720</v>
      </c>
      <c r="N37" s="228" t="s">
        <v>721</v>
      </c>
      <c r="O37" t="s">
        <v>722</v>
      </c>
      <c r="P37" s="229" t="s">
        <v>723</v>
      </c>
      <c r="Q37" s="214">
        <v>35339</v>
      </c>
      <c r="R37" s="214">
        <v>40634</v>
      </c>
      <c r="S37" s="214">
        <v>41640</v>
      </c>
      <c r="T37" s="231" t="s">
        <v>724</v>
      </c>
      <c r="U37" s="200"/>
      <c r="V37" s="201" t="s">
        <v>278</v>
      </c>
      <c r="W37" s="200"/>
      <c r="X37" s="200"/>
      <c r="Y37" s="200"/>
      <c r="Z37" s="203">
        <f t="shared" ca="1" si="21"/>
        <v>10822</v>
      </c>
      <c r="AA37" s="203">
        <f t="shared" ca="1" si="1"/>
        <v>5527</v>
      </c>
      <c r="AB37" s="232"/>
      <c r="AC37" s="232"/>
      <c r="AD37" s="78" t="s">
        <v>663</v>
      </c>
      <c r="AE37" s="78" t="s">
        <v>190</v>
      </c>
      <c r="AF37" s="78" t="s">
        <v>160</v>
      </c>
      <c r="AG37" s="78" t="s">
        <v>160</v>
      </c>
      <c r="AH37" s="23" t="s">
        <v>161</v>
      </c>
      <c r="AI37" s="23" t="s">
        <v>162</v>
      </c>
      <c r="AJ37" s="23" t="s">
        <v>483</v>
      </c>
      <c r="AK37" s="244" t="s">
        <v>553</v>
      </c>
      <c r="AL37" s="78" t="s">
        <v>664</v>
      </c>
      <c r="AM37" s="206">
        <v>10872</v>
      </c>
      <c r="AN37" s="207" t="s">
        <v>725</v>
      </c>
      <c r="AO37" s="78" t="s">
        <v>166</v>
      </c>
      <c r="AP37" s="78" t="s">
        <v>667</v>
      </c>
      <c r="AQ37" s="201" t="s">
        <v>726</v>
      </c>
      <c r="AS37" s="209" t="s">
        <v>488</v>
      </c>
      <c r="AT37" s="23" t="s">
        <v>201</v>
      </c>
      <c r="AU37" s="23" t="s">
        <v>435</v>
      </c>
      <c r="AV37" s="210" t="s">
        <v>454</v>
      </c>
      <c r="AW37" s="211">
        <v>5571000</v>
      </c>
      <c r="AX37" s="175">
        <v>5571000</v>
      </c>
      <c r="AY37" s="212">
        <v>12</v>
      </c>
      <c r="AZ37" s="213">
        <f t="shared" si="2"/>
        <v>66852000</v>
      </c>
      <c r="BA37" s="213"/>
      <c r="BB37" s="213"/>
      <c r="BC37" s="214">
        <v>45839</v>
      </c>
      <c r="BD37" s="235">
        <v>47604000</v>
      </c>
      <c r="BE37" s="215">
        <v>49668000</v>
      </c>
      <c r="BF37" s="215">
        <f t="shared" si="22"/>
        <v>49668000</v>
      </c>
      <c r="BG37" s="215">
        <f t="shared" si="23"/>
        <v>4139000</v>
      </c>
      <c r="BH37" s="215">
        <v>3536700</v>
      </c>
      <c r="BI37" s="216">
        <f t="shared" si="37"/>
        <v>17878.95</v>
      </c>
      <c r="BJ37" s="216">
        <f>IF(AT37="통상",209,VLOOKUP(AD37,'[2]스케줄 분석_20260109'!$B$3:$F$20,5,FALSE))</f>
        <v>209</v>
      </c>
      <c r="BK37" s="216">
        <f>IF(AT37="통상",15,VLOOKUP(AD37,'[2]스케줄 분석_20260109'!$B$3:$P$20,10,FALSE))</f>
        <v>15</v>
      </c>
      <c r="BL37" s="216">
        <f>IF(AT37="통상",0,VLOOKUP(AD37,'[2]스케줄 분석_20260109'!$B$3:$P$20,11,FALSE))</f>
        <v>0</v>
      </c>
      <c r="BM37" s="215">
        <f t="shared" si="24"/>
        <v>402300</v>
      </c>
      <c r="BN37" s="175">
        <f t="shared" si="25"/>
        <v>0</v>
      </c>
      <c r="BO37" s="213">
        <v>200000</v>
      </c>
      <c r="BP37" s="175">
        <f>IF(OR(AT37="스케줄",AT37="스케줄_파라"),ROUNDUP(VLOOKUP(AD37,'[2]스케줄 분석_20260109'!$B$3:$Y$20,23,FALSE)*(VLOOKUP(AD37,'[2]스케줄 분석_20260109'!$B$3:$Y$20,21,FALSE)/VLOOKUP(AD37,'[2]스케줄 분석_20260109'!$B$3:$Y$20,20,FALSE))*VLOOKUP(AD37,'[2]스케줄 분석_20260109'!$B$3:$Y$20,22,FALSE)*VLOOKUP(AD37,'[2]스케줄 분석_20260109'!$B$3:$Y$20,2,FALSE)*1.5*BI37,0),0)</f>
        <v>0</v>
      </c>
      <c r="BQ37" s="217" t="str">
        <f t="shared" si="26"/>
        <v>적합</v>
      </c>
      <c r="BR37" s="213"/>
      <c r="BS37" s="218">
        <f t="shared" si="27"/>
        <v>715158</v>
      </c>
      <c r="BT37" s="219">
        <f t="shared" si="28"/>
        <v>4198596.5</v>
      </c>
      <c r="BU37" s="175">
        <f t="shared" si="29"/>
        <v>2245230</v>
      </c>
      <c r="BV37" s="175">
        <f t="shared" si="30"/>
        <v>1925244.5471999997</v>
      </c>
      <c r="BW37" s="175">
        <f t="shared" si="31"/>
        <v>732654</v>
      </c>
      <c r="BX37" s="175">
        <f t="shared" si="32"/>
        <v>311968.8</v>
      </c>
      <c r="BY37" s="213">
        <f t="shared" si="20"/>
        <v>5173750</v>
      </c>
      <c r="BZ37" s="220">
        <f t="shared" si="33"/>
        <v>54581754.5</v>
      </c>
      <c r="CA37" s="213">
        <f t="shared" si="34"/>
        <v>5215097.3471999997</v>
      </c>
      <c r="CB37" s="221">
        <f t="shared" si="35"/>
        <v>62085000</v>
      </c>
      <c r="CC37" s="222">
        <f t="shared" si="36"/>
        <v>4767000</v>
      </c>
      <c r="CD37" s="223">
        <f t="shared" si="7"/>
        <v>7.1306767187219524</v>
      </c>
      <c r="CK37" s="187"/>
      <c r="CL37" s="188"/>
    </row>
    <row r="38" spans="1:117" ht="17.25" customHeight="1">
      <c r="A38" s="23">
        <f t="shared" si="9"/>
        <v>35</v>
      </c>
      <c r="B38" s="23" t="s">
        <v>439</v>
      </c>
      <c r="C38" s="190">
        <v>2014055</v>
      </c>
      <c r="D38" s="194" t="s">
        <v>561</v>
      </c>
      <c r="E38" s="227" t="s">
        <v>727</v>
      </c>
      <c r="F38" s="227" t="s">
        <v>728</v>
      </c>
      <c r="G38" s="23" t="s">
        <v>476</v>
      </c>
      <c r="H38" s="248" t="s">
        <v>729</v>
      </c>
      <c r="I38" s="227" t="s">
        <v>151</v>
      </c>
      <c r="J38" s="194" t="s">
        <v>178</v>
      </c>
      <c r="K38" s="79" t="s">
        <v>708</v>
      </c>
      <c r="L38" s="227"/>
      <c r="M38" s="227" t="s">
        <v>730</v>
      </c>
      <c r="N38" s="228" t="s">
        <v>731</v>
      </c>
      <c r="O38" s="241" t="s">
        <v>732</v>
      </c>
      <c r="P38" s="239" t="s">
        <v>733</v>
      </c>
      <c r="Q38" s="214">
        <v>36192</v>
      </c>
      <c r="R38" s="214">
        <v>41000</v>
      </c>
      <c r="S38" s="214">
        <v>41640</v>
      </c>
      <c r="T38" s="231" t="s">
        <v>734</v>
      </c>
      <c r="V38" s="201" t="s">
        <v>278</v>
      </c>
      <c r="Z38" s="203">
        <f t="shared" ca="1" si="21"/>
        <v>9969</v>
      </c>
      <c r="AA38" s="203">
        <f t="shared" ca="1" si="1"/>
        <v>5161</v>
      </c>
      <c r="AB38" s="232"/>
      <c r="AC38" s="232"/>
      <c r="AD38" s="78" t="s">
        <v>189</v>
      </c>
      <c r="AE38" s="78" t="s">
        <v>190</v>
      </c>
      <c r="AF38" s="78" t="s">
        <v>191</v>
      </c>
      <c r="AG38" s="78" t="s">
        <v>191</v>
      </c>
      <c r="AH38" s="23" t="s">
        <v>161</v>
      </c>
      <c r="AI38" s="23" t="s">
        <v>192</v>
      </c>
      <c r="AJ38" s="23" t="s">
        <v>569</v>
      </c>
      <c r="AK38" s="244" t="s">
        <v>193</v>
      </c>
      <c r="AL38" s="78" t="s">
        <v>570</v>
      </c>
      <c r="AM38" s="206">
        <v>21962</v>
      </c>
      <c r="AN38" s="207" t="s">
        <v>735</v>
      </c>
      <c r="AO38" s="78" t="s">
        <v>197</v>
      </c>
      <c r="AP38" s="78" t="s">
        <v>198</v>
      </c>
      <c r="AQ38" s="201" t="s">
        <v>736</v>
      </c>
      <c r="AR38" s="201" t="s">
        <v>737</v>
      </c>
      <c r="AS38" s="209" t="s">
        <v>200</v>
      </c>
      <c r="AT38" s="23" t="s">
        <v>201</v>
      </c>
      <c r="AU38" s="23" t="s">
        <v>435</v>
      </c>
      <c r="AV38" s="210" t="s">
        <v>454</v>
      </c>
      <c r="AW38" s="211">
        <v>4809000</v>
      </c>
      <c r="AX38" s="175">
        <v>4809000</v>
      </c>
      <c r="AY38" s="212">
        <v>12</v>
      </c>
      <c r="AZ38" s="213">
        <f t="shared" si="2"/>
        <v>57708000</v>
      </c>
      <c r="BC38" s="214">
        <v>45839</v>
      </c>
      <c r="BD38" s="235">
        <v>45000000</v>
      </c>
      <c r="BE38" s="215">
        <v>45912000</v>
      </c>
      <c r="BF38" s="215">
        <f t="shared" si="22"/>
        <v>45912000</v>
      </c>
      <c r="BG38" s="215">
        <f t="shared" si="23"/>
        <v>3826000</v>
      </c>
      <c r="BH38" s="215">
        <v>3254100</v>
      </c>
      <c r="BI38" s="216">
        <f t="shared" si="37"/>
        <v>16526.79</v>
      </c>
      <c r="BJ38" s="216">
        <f>IF(AT38="통상",209,VLOOKUP(AD38,'[2]스케줄 분석_20260109'!$B$3:$F$20,5,FALSE))</f>
        <v>209</v>
      </c>
      <c r="BK38" s="216">
        <f>IF(AT38="통상",15,VLOOKUP(AD38,'[2]스케줄 분석_20260109'!$B$3:$P$20,10,FALSE))</f>
        <v>15</v>
      </c>
      <c r="BL38" s="216">
        <f>IF(AT38="통상",0,VLOOKUP(AD38,'[2]스케줄 분석_20260109'!$B$3:$P$20,11,FALSE))</f>
        <v>0</v>
      </c>
      <c r="BM38" s="215">
        <f t="shared" si="24"/>
        <v>371900</v>
      </c>
      <c r="BN38" s="175">
        <f t="shared" si="25"/>
        <v>0</v>
      </c>
      <c r="BO38" s="213">
        <v>200000</v>
      </c>
      <c r="BP38" s="175">
        <f>IF(OR(AT38="스케줄",AT38="스케줄_파라"),ROUNDUP(VLOOKUP(AD38,'[2]스케줄 분석_20260109'!$B$3:$Y$20,23,FALSE)*(VLOOKUP(AD38,'[2]스케줄 분석_20260109'!$B$3:$Y$20,21,FALSE)/VLOOKUP(AD38,'[2]스케줄 분석_20260109'!$B$3:$Y$20,20,FALSE))*VLOOKUP(AD38,'[2]스케줄 분석_20260109'!$B$3:$Y$20,22,FALSE)*VLOOKUP(AD38,'[2]스케줄 분석_20260109'!$B$3:$Y$20,2,FALSE)*1.5*BI38,0),0)</f>
        <v>0</v>
      </c>
      <c r="BQ38" s="217" t="str">
        <f t="shared" si="26"/>
        <v>적합</v>
      </c>
      <c r="BR38" s="213"/>
      <c r="BS38" s="218">
        <f t="shared" si="27"/>
        <v>661071.60000000009</v>
      </c>
      <c r="BT38" s="219">
        <f t="shared" si="28"/>
        <v>3881089.3</v>
      </c>
      <c r="BU38" s="175">
        <f t="shared" si="29"/>
        <v>2066820</v>
      </c>
      <c r="BV38" s="175">
        <f t="shared" si="30"/>
        <v>1772261.1647999997</v>
      </c>
      <c r="BW38" s="175">
        <f t="shared" si="31"/>
        <v>674436</v>
      </c>
      <c r="BX38" s="175">
        <f t="shared" si="32"/>
        <v>287179.2</v>
      </c>
      <c r="BY38" s="213">
        <f t="shared" si="20"/>
        <v>4782500</v>
      </c>
      <c r="BZ38" s="220">
        <f t="shared" si="33"/>
        <v>50454160.899999999</v>
      </c>
      <c r="CA38" s="213">
        <f t="shared" si="34"/>
        <v>4800696.3647999996</v>
      </c>
      <c r="CB38" s="221">
        <f t="shared" si="35"/>
        <v>57390000</v>
      </c>
      <c r="CC38" s="222">
        <f t="shared" si="36"/>
        <v>318000</v>
      </c>
      <c r="CD38" s="223">
        <f t="shared" si="7"/>
        <v>0.55105011436889173</v>
      </c>
      <c r="CK38" s="187"/>
      <c r="CL38" s="188"/>
    </row>
    <row r="39" spans="1:117" ht="17.25" customHeight="1">
      <c r="A39" s="23">
        <f t="shared" si="9"/>
        <v>36</v>
      </c>
      <c r="B39" s="23" t="s">
        <v>439</v>
      </c>
      <c r="C39" s="190">
        <v>2014056</v>
      </c>
      <c r="D39" s="194" t="s">
        <v>561</v>
      </c>
      <c r="E39" s="227" t="s">
        <v>738</v>
      </c>
      <c r="F39" s="227" t="s">
        <v>739</v>
      </c>
      <c r="G39" s="23" t="s">
        <v>476</v>
      </c>
      <c r="H39" s="227" t="s">
        <v>740</v>
      </c>
      <c r="I39" s="227" t="s">
        <v>741</v>
      </c>
      <c r="J39" s="194" t="s">
        <v>178</v>
      </c>
      <c r="K39" s="79" t="s">
        <v>233</v>
      </c>
      <c r="L39" s="227"/>
      <c r="M39" s="227" t="s">
        <v>742</v>
      </c>
      <c r="N39" s="228" t="s">
        <v>743</v>
      </c>
      <c r="O39" s="241" t="s">
        <v>744</v>
      </c>
      <c r="P39" s="239" t="s">
        <v>622</v>
      </c>
      <c r="Q39" s="214">
        <v>37530</v>
      </c>
      <c r="R39" s="214">
        <v>41000</v>
      </c>
      <c r="S39" s="214">
        <v>41640</v>
      </c>
      <c r="T39" s="231" t="s">
        <v>745</v>
      </c>
      <c r="V39" s="201" t="s">
        <v>394</v>
      </c>
      <c r="W39" s="231" t="s">
        <v>746</v>
      </c>
      <c r="X39" s="201" t="s">
        <v>747</v>
      </c>
      <c r="Z39" s="203">
        <f t="shared" ca="1" si="21"/>
        <v>8631</v>
      </c>
      <c r="AA39" s="203">
        <f t="shared" ca="1" si="1"/>
        <v>5161</v>
      </c>
      <c r="AB39" s="232"/>
      <c r="AC39" s="232"/>
      <c r="AD39" s="78" t="s">
        <v>748</v>
      </c>
      <c r="AE39" s="78" t="s">
        <v>749</v>
      </c>
      <c r="AF39" s="78" t="s">
        <v>191</v>
      </c>
      <c r="AG39" s="78" t="s">
        <v>191</v>
      </c>
      <c r="AH39" s="23" t="s">
        <v>161</v>
      </c>
      <c r="AI39" s="23" t="s">
        <v>750</v>
      </c>
      <c r="AJ39" s="23" t="s">
        <v>569</v>
      </c>
      <c r="AK39" s="23">
        <v>35234</v>
      </c>
      <c r="AL39" s="78" t="s">
        <v>751</v>
      </c>
      <c r="AM39" s="206" t="s">
        <v>752</v>
      </c>
      <c r="AN39" s="207" t="s">
        <v>753</v>
      </c>
      <c r="AO39" s="78" t="s">
        <v>197</v>
      </c>
      <c r="AP39" s="78" t="s">
        <v>198</v>
      </c>
      <c r="AQ39" s="201" t="s">
        <v>754</v>
      </c>
      <c r="AS39" s="209" t="s">
        <v>200</v>
      </c>
      <c r="AT39" s="23" t="s">
        <v>201</v>
      </c>
      <c r="AU39" s="23" t="s">
        <v>435</v>
      </c>
      <c r="AV39" s="210" t="s">
        <v>454</v>
      </c>
      <c r="AW39" s="211">
        <v>4417000</v>
      </c>
      <c r="AX39" s="175">
        <v>4417000</v>
      </c>
      <c r="AY39" s="212">
        <v>12</v>
      </c>
      <c r="AZ39" s="213">
        <f t="shared" si="2"/>
        <v>53004000</v>
      </c>
      <c r="BC39" s="214">
        <v>45839</v>
      </c>
      <c r="BD39" s="235">
        <v>38808000</v>
      </c>
      <c r="BE39" s="215">
        <v>39636000</v>
      </c>
      <c r="BF39" s="215">
        <f t="shared" si="22"/>
        <v>39636000</v>
      </c>
      <c r="BG39" s="215">
        <f t="shared" si="23"/>
        <v>3303000</v>
      </c>
      <c r="BH39" s="215">
        <v>2781900</v>
      </c>
      <c r="BI39" s="216">
        <f t="shared" si="37"/>
        <v>14267.46</v>
      </c>
      <c r="BJ39" s="216">
        <f>IF(AT39="통상",209,VLOOKUP(AD39,'[2]스케줄 분석_20260109'!$B$3:$F$20,5,FALSE))</f>
        <v>209</v>
      </c>
      <c r="BK39" s="216">
        <f>IF(AT39="통상",15,VLOOKUP(AD39,'[2]스케줄 분석_20260109'!$B$3:$P$20,10,FALSE))</f>
        <v>15</v>
      </c>
      <c r="BL39" s="216">
        <f>IF(AT39="통상",0,VLOOKUP(AD39,'[2]스케줄 분석_20260109'!$B$3:$P$20,11,FALSE))</f>
        <v>0</v>
      </c>
      <c r="BM39" s="215">
        <f t="shared" si="24"/>
        <v>321100</v>
      </c>
      <c r="BN39" s="175">
        <f t="shared" si="25"/>
        <v>0</v>
      </c>
      <c r="BO39" s="213">
        <v>200000</v>
      </c>
      <c r="BP39" s="175">
        <f>IF(OR(AT39="스케줄",AT39="스케줄_파라"),ROUNDUP(VLOOKUP(AD39,'[2]스케줄 분석_20260109'!$B$3:$Y$20,23,FALSE)*(VLOOKUP(AD39,'[2]스케줄 분석_20260109'!$B$3:$Y$20,21,FALSE)/VLOOKUP(AD39,'[2]스케줄 분석_20260109'!$B$3:$Y$20,20,FALSE))*VLOOKUP(AD39,'[2]스케줄 분석_20260109'!$B$3:$Y$20,22,FALSE)*VLOOKUP(AD39,'[2]스케줄 분석_20260109'!$B$3:$Y$20,2,FALSE)*1.5*BI39,0),0)</f>
        <v>0</v>
      </c>
      <c r="BQ39" s="217" t="str">
        <f t="shared" si="26"/>
        <v>적합</v>
      </c>
      <c r="BR39" s="213"/>
      <c r="BS39" s="218">
        <f t="shared" si="27"/>
        <v>570698.39999999991</v>
      </c>
      <c r="BT39" s="219">
        <f t="shared" si="28"/>
        <v>3350558.2</v>
      </c>
      <c r="BU39" s="175">
        <f t="shared" si="29"/>
        <v>1768710</v>
      </c>
      <c r="BV39" s="175">
        <f t="shared" si="30"/>
        <v>1516637.1743999999</v>
      </c>
      <c r="BW39" s="175">
        <f t="shared" si="31"/>
        <v>577158</v>
      </c>
      <c r="BX39" s="175">
        <f t="shared" si="32"/>
        <v>245757.6</v>
      </c>
      <c r="BY39" s="213">
        <f t="shared" si="20"/>
        <v>4128750</v>
      </c>
      <c r="BZ39" s="220">
        <f t="shared" si="33"/>
        <v>43557256.600000001</v>
      </c>
      <c r="CA39" s="213">
        <f t="shared" si="34"/>
        <v>4108262.7744</v>
      </c>
      <c r="CB39" s="221">
        <f t="shared" si="35"/>
        <v>49545000</v>
      </c>
      <c r="CC39" s="222">
        <f t="shared" si="36"/>
        <v>3459000</v>
      </c>
      <c r="CD39" s="223">
        <f t="shared" si="7"/>
        <v>6.5259225718813676</v>
      </c>
      <c r="CJ39" s="79"/>
      <c r="CK39" s="187"/>
      <c r="CL39" s="188"/>
      <c r="CM39" s="79"/>
      <c r="CN39" s="79"/>
      <c r="CO39" s="79"/>
      <c r="CP39" s="79"/>
      <c r="CQ39" s="79"/>
      <c r="CR39" s="79"/>
      <c r="CS39" s="79"/>
      <c r="CT39" s="79"/>
      <c r="CU39" s="79"/>
      <c r="CV39" s="79"/>
      <c r="CW39" s="79"/>
      <c r="CX39" s="79"/>
      <c r="CY39" s="79"/>
      <c r="CZ39" s="79"/>
      <c r="DA39" s="79"/>
      <c r="DB39" s="79"/>
      <c r="DC39" s="79"/>
      <c r="DD39" s="79"/>
      <c r="DE39" s="79"/>
      <c r="DF39" s="79"/>
      <c r="DG39" s="79"/>
      <c r="DH39" s="79"/>
      <c r="DI39" s="79"/>
      <c r="DJ39" s="79"/>
      <c r="DK39" s="79"/>
      <c r="DL39" s="79"/>
      <c r="DM39" s="79"/>
    </row>
    <row r="40" spans="1:117" ht="17.25" customHeight="1">
      <c r="A40" s="23">
        <f t="shared" si="9"/>
        <v>37</v>
      </c>
      <c r="B40" s="23" t="s">
        <v>439</v>
      </c>
      <c r="C40" s="190">
        <v>2014057</v>
      </c>
      <c r="D40" s="194" t="s">
        <v>527</v>
      </c>
      <c r="E40" s="227" t="s">
        <v>542</v>
      </c>
      <c r="F40" s="227" t="s">
        <v>755</v>
      </c>
      <c r="G40" s="23" t="s">
        <v>476</v>
      </c>
      <c r="H40" s="227" t="s">
        <v>205</v>
      </c>
      <c r="I40" s="227" t="s">
        <v>206</v>
      </c>
      <c r="J40" s="194" t="s">
        <v>207</v>
      </c>
      <c r="K40" s="79" t="s">
        <v>233</v>
      </c>
      <c r="L40" s="227"/>
      <c r="M40" s="227" t="s">
        <v>756</v>
      </c>
      <c r="N40" s="228" t="s">
        <v>757</v>
      </c>
      <c r="O40" s="194" t="s">
        <v>758</v>
      </c>
      <c r="P40" s="239" t="s">
        <v>759</v>
      </c>
      <c r="Q40" s="214">
        <v>37469</v>
      </c>
      <c r="R40" s="214">
        <v>41000</v>
      </c>
      <c r="S40" s="214">
        <v>41640</v>
      </c>
      <c r="T40" s="231" t="s">
        <v>760</v>
      </c>
      <c r="U40" s="231" t="s">
        <v>761</v>
      </c>
      <c r="V40" s="201" t="s">
        <v>394</v>
      </c>
      <c r="W40" s="249" t="s">
        <v>762</v>
      </c>
      <c r="X40" s="78"/>
      <c r="Y40" s="78"/>
      <c r="Z40" s="203">
        <f t="shared" ca="1" si="21"/>
        <v>8692</v>
      </c>
      <c r="AA40" s="203">
        <f t="shared" ca="1" si="1"/>
        <v>5161</v>
      </c>
      <c r="AB40" s="232"/>
      <c r="AC40" s="232"/>
      <c r="AD40" s="78" t="s">
        <v>763</v>
      </c>
      <c r="AE40" s="78" t="s">
        <v>190</v>
      </c>
      <c r="AF40" s="78" t="s">
        <v>218</v>
      </c>
      <c r="AG40" s="78" t="s">
        <v>218</v>
      </c>
      <c r="AH40" s="23" t="s">
        <v>161</v>
      </c>
      <c r="AI40" s="23" t="s">
        <v>552</v>
      </c>
      <c r="AJ40" s="23" t="s">
        <v>542</v>
      </c>
      <c r="AK40" s="233" t="s">
        <v>553</v>
      </c>
      <c r="AL40" s="78" t="s">
        <v>764</v>
      </c>
      <c r="AM40" s="206" t="s">
        <v>765</v>
      </c>
      <c r="AN40" s="207" t="s">
        <v>766</v>
      </c>
      <c r="AO40" s="78" t="s">
        <v>767</v>
      </c>
      <c r="AP40" s="78" t="s">
        <v>768</v>
      </c>
      <c r="AQ40" s="201" t="s">
        <v>769</v>
      </c>
      <c r="AS40" s="209" t="s">
        <v>770</v>
      </c>
      <c r="AT40" s="23" t="s">
        <v>201</v>
      </c>
      <c r="AU40" s="23" t="s">
        <v>435</v>
      </c>
      <c r="AV40" s="210" t="s">
        <v>454</v>
      </c>
      <c r="AW40" s="211">
        <v>6864000</v>
      </c>
      <c r="AX40" s="175">
        <v>6864000</v>
      </c>
      <c r="AY40" s="212">
        <v>12</v>
      </c>
      <c r="AZ40" s="213">
        <f t="shared" si="2"/>
        <v>82368000</v>
      </c>
      <c r="BA40" s="234"/>
      <c r="BB40" s="234"/>
      <c r="BC40" s="214">
        <v>45839</v>
      </c>
      <c r="BD40" s="235">
        <v>56604000</v>
      </c>
      <c r="BE40" s="215">
        <v>57804000</v>
      </c>
      <c r="BF40" s="215">
        <f t="shared" si="22"/>
        <v>57804000</v>
      </c>
      <c r="BG40" s="215">
        <f t="shared" si="23"/>
        <v>4817000</v>
      </c>
      <c r="BH40" s="215">
        <v>4148800</v>
      </c>
      <c r="BI40" s="216">
        <f t="shared" si="37"/>
        <v>20807.66</v>
      </c>
      <c r="BJ40" s="216">
        <f>IF(AT40="통상",209,VLOOKUP(AD40,'[2]스케줄 분석_20260109'!$B$3:$F$20,5,FALSE))</f>
        <v>209</v>
      </c>
      <c r="BK40" s="216">
        <f>IF(AT40="통상",15,VLOOKUP(AD40,'[2]스케줄 분석_20260109'!$B$3:$P$20,10,FALSE))</f>
        <v>15</v>
      </c>
      <c r="BL40" s="216">
        <f>IF(AT40="통상",0,VLOOKUP(AD40,'[2]스케줄 분석_20260109'!$B$3:$P$20,11,FALSE))</f>
        <v>0</v>
      </c>
      <c r="BM40" s="215">
        <f t="shared" si="24"/>
        <v>468200</v>
      </c>
      <c r="BN40" s="175">
        <f t="shared" si="25"/>
        <v>0</v>
      </c>
      <c r="BO40" s="213">
        <v>200000</v>
      </c>
      <c r="BP40" s="175">
        <f>IF(OR(AT40="스케줄",AT40="스케줄_파라"),ROUNDUP(VLOOKUP(AD40,'[2]스케줄 분석_20260109'!$B$3:$Y$20,23,FALSE)*(VLOOKUP(AD40,'[2]스케줄 분석_20260109'!$B$3:$Y$20,21,FALSE)/VLOOKUP(AD40,'[2]스케줄 분석_20260109'!$B$3:$Y$20,20,FALSE))*VLOOKUP(AD40,'[2]스케줄 분석_20260109'!$B$3:$Y$20,22,FALSE)*VLOOKUP(AD40,'[2]스케줄 분석_20260109'!$B$3:$Y$20,2,FALSE)*1.5*BI40,0),0)</f>
        <v>0</v>
      </c>
      <c r="BQ40" s="217" t="str">
        <f t="shared" si="26"/>
        <v>적합</v>
      </c>
      <c r="BR40" s="213"/>
      <c r="BS40" s="218">
        <f t="shared" si="27"/>
        <v>832306.4</v>
      </c>
      <c r="BT40" s="219">
        <f t="shared" si="28"/>
        <v>4886358.8666666662</v>
      </c>
      <c r="BU40" s="175">
        <f t="shared" si="29"/>
        <v>2631690</v>
      </c>
      <c r="BV40" s="175">
        <f t="shared" si="30"/>
        <v>2256627.0815999997</v>
      </c>
      <c r="BW40" s="175">
        <f t="shared" si="31"/>
        <v>858762</v>
      </c>
      <c r="BX40" s="175">
        <f t="shared" si="32"/>
        <v>365666.4</v>
      </c>
      <c r="BY40" s="213">
        <f t="shared" si="20"/>
        <v>6021250</v>
      </c>
      <c r="BZ40" s="220">
        <f t="shared" si="33"/>
        <v>63522665.266666666</v>
      </c>
      <c r="CA40" s="213">
        <f t="shared" si="34"/>
        <v>6112745.4815999996</v>
      </c>
      <c r="CB40" s="221">
        <f t="shared" si="35"/>
        <v>72255000</v>
      </c>
      <c r="CC40" s="222">
        <f t="shared" si="36"/>
        <v>10113000</v>
      </c>
      <c r="CD40" s="223">
        <f t="shared" si="7"/>
        <v>12.277826340326341</v>
      </c>
      <c r="CE40" s="245"/>
      <c r="CF40" s="245"/>
      <c r="CG40" s="246"/>
      <c r="CH40" s="246"/>
      <c r="CI40" s="111"/>
      <c r="CK40" s="187"/>
      <c r="CL40" s="188"/>
    </row>
    <row r="41" spans="1:117" s="210" customFormat="1" ht="17.25" customHeight="1">
      <c r="A41" s="23">
        <f t="shared" si="9"/>
        <v>38</v>
      </c>
      <c r="B41" s="23" t="s">
        <v>439</v>
      </c>
      <c r="C41" s="190">
        <v>2014059</v>
      </c>
      <c r="D41" s="194" t="s">
        <v>561</v>
      </c>
      <c r="E41" s="227" t="s">
        <v>771</v>
      </c>
      <c r="F41" s="227" t="s">
        <v>772</v>
      </c>
      <c r="G41" s="23" t="s">
        <v>476</v>
      </c>
      <c r="H41" s="227" t="s">
        <v>576</v>
      </c>
      <c r="I41" s="227" t="s">
        <v>309</v>
      </c>
      <c r="J41" s="194" t="s">
        <v>178</v>
      </c>
      <c r="K41" s="79" t="s">
        <v>641</v>
      </c>
      <c r="L41" s="227"/>
      <c r="M41" s="227" t="s">
        <v>773</v>
      </c>
      <c r="N41" s="228" t="s">
        <v>774</v>
      </c>
      <c r="O41" s="241" t="s">
        <v>775</v>
      </c>
      <c r="P41" s="239" t="s">
        <v>776</v>
      </c>
      <c r="Q41" s="214">
        <v>36526</v>
      </c>
      <c r="R41" s="214">
        <v>41030</v>
      </c>
      <c r="S41" s="214">
        <v>41640</v>
      </c>
      <c r="T41" s="231" t="s">
        <v>777</v>
      </c>
      <c r="U41" s="201"/>
      <c r="V41" s="201" t="s">
        <v>394</v>
      </c>
      <c r="W41" s="231" t="s">
        <v>498</v>
      </c>
      <c r="X41" s="201" t="s">
        <v>778</v>
      </c>
      <c r="Y41" s="201"/>
      <c r="Z41" s="203">
        <f t="shared" ca="1" si="21"/>
        <v>9635</v>
      </c>
      <c r="AA41" s="203">
        <f t="shared" ca="1" si="1"/>
        <v>5131</v>
      </c>
      <c r="AB41" s="232"/>
      <c r="AC41" s="232"/>
      <c r="AD41" s="78" t="s">
        <v>189</v>
      </c>
      <c r="AE41" s="78" t="s">
        <v>190</v>
      </c>
      <c r="AF41" s="78" t="s">
        <v>191</v>
      </c>
      <c r="AG41" s="78" t="s">
        <v>191</v>
      </c>
      <c r="AH41" s="23" t="s">
        <v>161</v>
      </c>
      <c r="AI41" s="23" t="s">
        <v>192</v>
      </c>
      <c r="AJ41" s="23" t="s">
        <v>569</v>
      </c>
      <c r="AK41" s="233" t="s">
        <v>193</v>
      </c>
      <c r="AL41" s="78" t="s">
        <v>570</v>
      </c>
      <c r="AM41" s="206">
        <v>16493</v>
      </c>
      <c r="AN41" s="207" t="s">
        <v>779</v>
      </c>
      <c r="AO41" s="78" t="s">
        <v>197</v>
      </c>
      <c r="AP41" s="78" t="s">
        <v>780</v>
      </c>
      <c r="AQ41" s="201" t="s">
        <v>638</v>
      </c>
      <c r="AR41" s="201" t="s">
        <v>654</v>
      </c>
      <c r="AS41" s="209" t="s">
        <v>200</v>
      </c>
      <c r="AT41" s="23" t="s">
        <v>201</v>
      </c>
      <c r="AU41" s="23" t="s">
        <v>435</v>
      </c>
      <c r="AV41" s="210" t="s">
        <v>454</v>
      </c>
      <c r="AW41" s="211">
        <v>7186000</v>
      </c>
      <c r="AX41" s="175">
        <v>7186000</v>
      </c>
      <c r="AY41" s="212">
        <v>12</v>
      </c>
      <c r="AZ41" s="213">
        <f t="shared" si="2"/>
        <v>86232000</v>
      </c>
      <c r="BA41" s="78"/>
      <c r="BB41" s="78"/>
      <c r="BC41" s="214">
        <v>45839</v>
      </c>
      <c r="BD41" s="235">
        <v>59460000</v>
      </c>
      <c r="BE41" s="215">
        <v>60780000</v>
      </c>
      <c r="BF41" s="215">
        <f t="shared" si="22"/>
        <v>60780000</v>
      </c>
      <c r="BG41" s="215">
        <f t="shared" si="23"/>
        <v>5065000</v>
      </c>
      <c r="BH41" s="215">
        <v>4372700</v>
      </c>
      <c r="BI41" s="216">
        <f t="shared" si="37"/>
        <v>21878.95</v>
      </c>
      <c r="BJ41" s="216">
        <f>IF(AT41="통상",209,VLOOKUP(AD41,'[2]스케줄 분석_20260109'!$B$3:$F$20,5,FALSE))</f>
        <v>209</v>
      </c>
      <c r="BK41" s="216">
        <f>IF(AT41="통상",15,VLOOKUP(AD41,'[2]스케줄 분석_20260109'!$B$3:$P$20,10,FALSE))</f>
        <v>15</v>
      </c>
      <c r="BL41" s="216">
        <f>IF(AT41="통상",0,VLOOKUP(AD41,'[2]스케줄 분석_20260109'!$B$3:$P$20,11,FALSE))</f>
        <v>0</v>
      </c>
      <c r="BM41" s="215">
        <f t="shared" si="24"/>
        <v>492300</v>
      </c>
      <c r="BN41" s="175">
        <f t="shared" si="25"/>
        <v>0</v>
      </c>
      <c r="BO41" s="213">
        <v>200000</v>
      </c>
      <c r="BP41" s="175">
        <f>IF(OR(AT41="스케줄",AT41="스케줄_파라"),ROUNDUP(VLOOKUP(AD41,'[2]스케줄 분석_20260109'!$B$3:$Y$20,23,FALSE)*(VLOOKUP(AD41,'[2]스케줄 분석_20260109'!$B$3:$Y$20,21,FALSE)/VLOOKUP(AD41,'[2]스케줄 분석_20260109'!$B$3:$Y$20,20,FALSE))*VLOOKUP(AD41,'[2]스케줄 분석_20260109'!$B$3:$Y$20,22,FALSE)*VLOOKUP(AD41,'[2]스케줄 분석_20260109'!$B$3:$Y$20,2,FALSE)*1.5*BI41,0),0)</f>
        <v>0</v>
      </c>
      <c r="BQ41" s="217" t="str">
        <f t="shared" si="26"/>
        <v>적합</v>
      </c>
      <c r="BR41" s="213"/>
      <c r="BS41" s="218">
        <f t="shared" si="27"/>
        <v>875158</v>
      </c>
      <c r="BT41" s="219">
        <f t="shared" si="28"/>
        <v>5137929.833333333</v>
      </c>
      <c r="BU41" s="175">
        <f t="shared" si="29"/>
        <v>2773050</v>
      </c>
      <c r="BV41" s="175">
        <f t="shared" si="30"/>
        <v>2377840.7519999999</v>
      </c>
      <c r="BW41" s="175">
        <f t="shared" si="31"/>
        <v>904890</v>
      </c>
      <c r="BX41" s="175">
        <f t="shared" si="32"/>
        <v>385308</v>
      </c>
      <c r="BY41" s="213">
        <f t="shared" si="20"/>
        <v>6331250</v>
      </c>
      <c r="BZ41" s="220">
        <f t="shared" si="33"/>
        <v>66793087.833333336</v>
      </c>
      <c r="CA41" s="213">
        <f t="shared" si="34"/>
        <v>6441088.7520000003</v>
      </c>
      <c r="CB41" s="221">
        <f t="shared" si="35"/>
        <v>75975000</v>
      </c>
      <c r="CC41" s="222">
        <f t="shared" si="36"/>
        <v>10257000</v>
      </c>
      <c r="CD41" s="223">
        <f t="shared" si="7"/>
        <v>11.894656276092402</v>
      </c>
      <c r="CE41" s="77"/>
      <c r="CF41" s="77"/>
      <c r="CG41" s="23"/>
      <c r="CH41" s="23"/>
      <c r="CI41" s="78"/>
      <c r="CJ41" s="78"/>
      <c r="CK41" s="187"/>
      <c r="CL41" s="188"/>
      <c r="CM41" s="78"/>
      <c r="CN41" s="78"/>
      <c r="CO41" s="78"/>
      <c r="CP41" s="78"/>
      <c r="CQ41" s="78"/>
      <c r="CR41" s="78"/>
      <c r="CS41" s="78"/>
      <c r="CT41" s="78"/>
      <c r="CU41" s="78"/>
      <c r="CV41" s="78"/>
      <c r="CW41" s="78"/>
      <c r="CX41" s="78"/>
      <c r="CY41" s="78"/>
      <c r="CZ41" s="78"/>
      <c r="DA41" s="78"/>
      <c r="DB41" s="78"/>
      <c r="DC41" s="78"/>
      <c r="DD41" s="78"/>
      <c r="DE41" s="78"/>
      <c r="DF41" s="78"/>
      <c r="DG41" s="78"/>
      <c r="DH41" s="78"/>
      <c r="DI41" s="78"/>
      <c r="DJ41" s="78"/>
      <c r="DK41" s="78"/>
      <c r="DL41" s="78"/>
      <c r="DM41" s="78"/>
    </row>
    <row r="42" spans="1:117" ht="17.25" customHeight="1">
      <c r="A42" s="23">
        <f t="shared" si="9"/>
        <v>39</v>
      </c>
      <c r="B42" s="23" t="s">
        <v>439</v>
      </c>
      <c r="C42" s="190">
        <v>2014061</v>
      </c>
      <c r="D42" s="194" t="s">
        <v>527</v>
      </c>
      <c r="E42" s="227" t="s">
        <v>781</v>
      </c>
      <c r="F42" s="227" t="s">
        <v>782</v>
      </c>
      <c r="G42" s="23" t="s">
        <v>476</v>
      </c>
      <c r="H42" s="227" t="s">
        <v>205</v>
      </c>
      <c r="I42" s="227" t="s">
        <v>151</v>
      </c>
      <c r="J42" s="194" t="s">
        <v>207</v>
      </c>
      <c r="K42" s="79" t="s">
        <v>783</v>
      </c>
      <c r="L42" s="227"/>
      <c r="M42" s="227" t="s">
        <v>784</v>
      </c>
      <c r="N42" s="228" t="s">
        <v>785</v>
      </c>
      <c r="O42" s="237" t="s">
        <v>786</v>
      </c>
      <c r="P42" s="229" t="s">
        <v>787</v>
      </c>
      <c r="Q42" s="214">
        <v>38078</v>
      </c>
      <c r="R42" s="214">
        <v>41153</v>
      </c>
      <c r="S42" s="214">
        <v>41640</v>
      </c>
      <c r="T42" s="231" t="s">
        <v>788</v>
      </c>
      <c r="U42" s="200"/>
      <c r="V42" s="201" t="s">
        <v>394</v>
      </c>
      <c r="W42" s="231" t="s">
        <v>789</v>
      </c>
      <c r="X42" s="200" t="s">
        <v>790</v>
      </c>
      <c r="Y42" s="200" t="s">
        <v>791</v>
      </c>
      <c r="Z42" s="203">
        <f t="shared" ca="1" si="21"/>
        <v>8083</v>
      </c>
      <c r="AA42" s="203">
        <f t="shared" ca="1" si="1"/>
        <v>5008</v>
      </c>
      <c r="AB42" s="232"/>
      <c r="AC42" s="232"/>
      <c r="AD42" s="78" t="s">
        <v>216</v>
      </c>
      <c r="AE42" s="78" t="s">
        <v>217</v>
      </c>
      <c r="AF42" s="78" t="s">
        <v>218</v>
      </c>
      <c r="AG42" s="78" t="s">
        <v>218</v>
      </c>
      <c r="AH42" s="23" t="s">
        <v>161</v>
      </c>
      <c r="AI42" s="23" t="s">
        <v>162</v>
      </c>
      <c r="AJ42" s="23" t="s">
        <v>520</v>
      </c>
      <c r="AK42" s="23">
        <v>13594</v>
      </c>
      <c r="AL42" s="78" t="s">
        <v>219</v>
      </c>
      <c r="AM42" s="206">
        <v>16884</v>
      </c>
      <c r="AN42" s="207" t="s">
        <v>792</v>
      </c>
      <c r="AO42" s="78" t="s">
        <v>767</v>
      </c>
      <c r="AP42" s="78" t="s">
        <v>793</v>
      </c>
      <c r="AQ42" s="201" t="s">
        <v>794</v>
      </c>
      <c r="AR42" s="201" t="s">
        <v>795</v>
      </c>
      <c r="AS42" s="209" t="s">
        <v>770</v>
      </c>
      <c r="AT42" s="23" t="s">
        <v>201</v>
      </c>
      <c r="AU42" s="23" t="s">
        <v>435</v>
      </c>
      <c r="AV42" s="210" t="s">
        <v>454</v>
      </c>
      <c r="AW42" s="211">
        <v>6021000</v>
      </c>
      <c r="AX42" s="175">
        <v>6021000</v>
      </c>
      <c r="AY42" s="212">
        <v>12</v>
      </c>
      <c r="AZ42" s="213">
        <f t="shared" si="2"/>
        <v>72252000</v>
      </c>
      <c r="BA42" s="213"/>
      <c r="BB42" s="213"/>
      <c r="BC42" s="214">
        <v>45839</v>
      </c>
      <c r="BD42" s="215">
        <v>49560000</v>
      </c>
      <c r="BE42" s="215">
        <v>50700000</v>
      </c>
      <c r="BF42" s="215">
        <f t="shared" si="22"/>
        <v>50700000</v>
      </c>
      <c r="BG42" s="215">
        <f t="shared" si="23"/>
        <v>4225000</v>
      </c>
      <c r="BH42" s="215">
        <v>3614300</v>
      </c>
      <c r="BI42" s="216">
        <f t="shared" si="37"/>
        <v>18250.240000000002</v>
      </c>
      <c r="BJ42" s="216">
        <f>IF(AT42="통상",209,VLOOKUP(AD42,'[2]스케줄 분석_20260109'!$B$3:$F$20,5,FALSE))</f>
        <v>209</v>
      </c>
      <c r="BK42" s="216">
        <f>IF(AT42="통상",15,VLOOKUP(AD42,'[2]스케줄 분석_20260109'!$B$3:$P$20,10,FALSE))</f>
        <v>15</v>
      </c>
      <c r="BL42" s="216">
        <f>IF(AT42="통상",0,VLOOKUP(AD42,'[2]스케줄 분석_20260109'!$B$3:$P$20,11,FALSE))</f>
        <v>0</v>
      </c>
      <c r="BM42" s="215">
        <f t="shared" si="24"/>
        <v>410700</v>
      </c>
      <c r="BN42" s="175">
        <f t="shared" si="25"/>
        <v>0</v>
      </c>
      <c r="BO42" s="213">
        <v>200000</v>
      </c>
      <c r="BP42" s="175">
        <f>IF(OR(AT42="스케줄",AT42="스케줄_파라"),ROUNDUP(VLOOKUP(AD42,'[2]스케줄 분석_20260109'!$B$3:$Y$20,23,FALSE)*(VLOOKUP(AD42,'[2]스케줄 분석_20260109'!$B$3:$Y$20,21,FALSE)/VLOOKUP(AD42,'[2]스케줄 분석_20260109'!$B$3:$Y$20,20,FALSE))*VLOOKUP(AD42,'[2]스케줄 분석_20260109'!$B$3:$Y$20,22,FALSE)*VLOOKUP(AD42,'[2]스케줄 분석_20260109'!$B$3:$Y$20,2,FALSE)*1.5*BI42,0),0)</f>
        <v>0</v>
      </c>
      <c r="BQ42" s="217" t="str">
        <f t="shared" si="26"/>
        <v>적합</v>
      </c>
      <c r="BR42" s="213"/>
      <c r="BS42" s="218">
        <f t="shared" si="27"/>
        <v>730009.60000000009</v>
      </c>
      <c r="BT42" s="219">
        <f t="shared" si="28"/>
        <v>4285834.1333333338</v>
      </c>
      <c r="BU42" s="175">
        <f t="shared" si="29"/>
        <v>2294250</v>
      </c>
      <c r="BV42" s="175">
        <f t="shared" si="30"/>
        <v>1967278.3199999998</v>
      </c>
      <c r="BW42" s="175">
        <f t="shared" si="31"/>
        <v>748650</v>
      </c>
      <c r="BX42" s="175">
        <f t="shared" si="32"/>
        <v>318780</v>
      </c>
      <c r="BY42" s="213">
        <f t="shared" si="20"/>
        <v>5281250</v>
      </c>
      <c r="BZ42" s="220">
        <f t="shared" si="33"/>
        <v>55715843.733333334</v>
      </c>
      <c r="CA42" s="213">
        <f t="shared" si="34"/>
        <v>5328958.32</v>
      </c>
      <c r="CB42" s="221">
        <f t="shared" si="35"/>
        <v>63375000</v>
      </c>
      <c r="CC42" s="222">
        <f t="shared" si="36"/>
        <v>8877000</v>
      </c>
      <c r="CD42" s="223">
        <f t="shared" si="7"/>
        <v>12.286165088855672</v>
      </c>
      <c r="CE42" s="245"/>
      <c r="CF42" s="245"/>
      <c r="CG42" s="246"/>
      <c r="CH42" s="246"/>
      <c r="CI42" s="111"/>
      <c r="CK42" s="187"/>
      <c r="CL42" s="188"/>
    </row>
    <row r="43" spans="1:117" s="79" customFormat="1" ht="17.25" customHeight="1">
      <c r="A43" s="23">
        <f t="shared" si="9"/>
        <v>40</v>
      </c>
      <c r="B43" s="23" t="s">
        <v>439</v>
      </c>
      <c r="C43" s="190">
        <v>2014062</v>
      </c>
      <c r="D43" s="194" t="s">
        <v>511</v>
      </c>
      <c r="E43" s="227" t="s">
        <v>796</v>
      </c>
      <c r="F43" s="227" t="s">
        <v>797</v>
      </c>
      <c r="G43" s="23" t="s">
        <v>476</v>
      </c>
      <c r="H43" s="227" t="s">
        <v>729</v>
      </c>
      <c r="I43" s="227" t="s">
        <v>206</v>
      </c>
      <c r="J43" s="194" t="s">
        <v>207</v>
      </c>
      <c r="K43" s="79" t="s">
        <v>627</v>
      </c>
      <c r="L43" s="227"/>
      <c r="M43" s="227" t="s">
        <v>798</v>
      </c>
      <c r="N43" s="228" t="s">
        <v>799</v>
      </c>
      <c r="O43" s="241" t="s">
        <v>800</v>
      </c>
      <c r="P43" s="229" t="s">
        <v>801</v>
      </c>
      <c r="Q43" s="214">
        <v>34820</v>
      </c>
      <c r="R43" s="214">
        <v>41153</v>
      </c>
      <c r="S43" s="214">
        <v>41640</v>
      </c>
      <c r="T43" s="231" t="s">
        <v>802</v>
      </c>
      <c r="U43" s="200"/>
      <c r="V43" s="201" t="s">
        <v>215</v>
      </c>
      <c r="W43" s="200"/>
      <c r="X43" s="200"/>
      <c r="Y43" s="200"/>
      <c r="Z43" s="203">
        <f t="shared" ca="1" si="21"/>
        <v>11341</v>
      </c>
      <c r="AA43" s="203">
        <f t="shared" ca="1" si="1"/>
        <v>5008</v>
      </c>
      <c r="AB43" s="232"/>
      <c r="AC43" s="232"/>
      <c r="AD43" s="78" t="s">
        <v>803</v>
      </c>
      <c r="AE43" s="78" t="s">
        <v>190</v>
      </c>
      <c r="AF43" s="78" t="s">
        <v>218</v>
      </c>
      <c r="AG43" s="78" t="s">
        <v>218</v>
      </c>
      <c r="AH43" s="23" t="s">
        <v>161</v>
      </c>
      <c r="AI43" s="23" t="s">
        <v>804</v>
      </c>
      <c r="AJ43" s="23" t="s">
        <v>633</v>
      </c>
      <c r="AK43" s="233" t="s">
        <v>805</v>
      </c>
      <c r="AL43" s="78" t="s">
        <v>806</v>
      </c>
      <c r="AM43" s="206" t="s">
        <v>807</v>
      </c>
      <c r="AN43" s="207" t="s">
        <v>808</v>
      </c>
      <c r="AO43" s="78" t="s">
        <v>524</v>
      </c>
      <c r="AP43" s="78" t="s">
        <v>809</v>
      </c>
      <c r="AQ43" s="201" t="s">
        <v>638</v>
      </c>
      <c r="AR43" s="201" t="s">
        <v>654</v>
      </c>
      <c r="AS43" s="209" t="s">
        <v>526</v>
      </c>
      <c r="AT43" s="23" t="s">
        <v>201</v>
      </c>
      <c r="AU43" s="23" t="s">
        <v>435</v>
      </c>
      <c r="AV43" s="210" t="s">
        <v>454</v>
      </c>
      <c r="AW43" s="211">
        <v>5367000</v>
      </c>
      <c r="AX43" s="175">
        <v>5367000</v>
      </c>
      <c r="AY43" s="236">
        <v>12</v>
      </c>
      <c r="AZ43" s="213">
        <f t="shared" si="2"/>
        <v>64404000</v>
      </c>
      <c r="BA43" s="213"/>
      <c r="BB43" s="213"/>
      <c r="BC43" s="214">
        <v>45839</v>
      </c>
      <c r="BD43" s="235">
        <v>47604000</v>
      </c>
      <c r="BE43" s="215">
        <v>48612000</v>
      </c>
      <c r="BF43" s="215">
        <f t="shared" si="22"/>
        <v>48612000</v>
      </c>
      <c r="BG43" s="215">
        <f t="shared" si="23"/>
        <v>4051000</v>
      </c>
      <c r="BH43" s="215">
        <v>3457200</v>
      </c>
      <c r="BI43" s="216">
        <f t="shared" si="37"/>
        <v>17498.560000000001</v>
      </c>
      <c r="BJ43" s="216">
        <f>IF(AT43="통상",209,VLOOKUP(AD43,'[2]스케줄 분석_20260109'!$B$3:$F$20,5,FALSE))</f>
        <v>209</v>
      </c>
      <c r="BK43" s="216">
        <f>IF(AT43="통상",15,VLOOKUP(AD43,'[2]스케줄 분석_20260109'!$B$3:$P$20,10,FALSE))</f>
        <v>15</v>
      </c>
      <c r="BL43" s="216">
        <f>IF(AT43="통상",0,VLOOKUP(AD43,'[2]스케줄 분석_20260109'!$B$3:$P$20,11,FALSE))</f>
        <v>0</v>
      </c>
      <c r="BM43" s="215">
        <f t="shared" si="24"/>
        <v>393800</v>
      </c>
      <c r="BN43" s="175">
        <f t="shared" si="25"/>
        <v>0</v>
      </c>
      <c r="BO43" s="213">
        <v>200000</v>
      </c>
      <c r="BP43" s="175">
        <f>IF(OR(AT43="스케줄",AT43="스케줄_파라"),ROUNDUP(VLOOKUP(AD43,'[2]스케줄 분석_20260109'!$B$3:$Y$20,23,FALSE)*(VLOOKUP(AD43,'[2]스케줄 분석_20260109'!$B$3:$Y$20,21,FALSE)/VLOOKUP(AD43,'[2]스케줄 분석_20260109'!$B$3:$Y$20,20,FALSE))*VLOOKUP(AD43,'[2]스케줄 분석_20260109'!$B$3:$Y$20,22,FALSE)*VLOOKUP(AD43,'[2]스케줄 분석_20260109'!$B$3:$Y$20,2,FALSE)*1.5*BI43,0),0)</f>
        <v>0</v>
      </c>
      <c r="BQ43" s="217" t="str">
        <f t="shared" si="26"/>
        <v>적합</v>
      </c>
      <c r="BR43" s="213"/>
      <c r="BS43" s="218">
        <f t="shared" si="27"/>
        <v>699942.40000000002</v>
      </c>
      <c r="BT43" s="219">
        <f t="shared" si="28"/>
        <v>4109328.5333333332</v>
      </c>
      <c r="BU43" s="175">
        <f t="shared" si="29"/>
        <v>2195070</v>
      </c>
      <c r="BV43" s="175">
        <f t="shared" si="30"/>
        <v>1882233.2447999998</v>
      </c>
      <c r="BW43" s="175">
        <f t="shared" si="31"/>
        <v>716286</v>
      </c>
      <c r="BX43" s="175">
        <f t="shared" si="32"/>
        <v>304999.2</v>
      </c>
      <c r="BY43" s="213">
        <f t="shared" si="20"/>
        <v>5063750</v>
      </c>
      <c r="BZ43" s="220">
        <f t="shared" si="33"/>
        <v>53421270.93333333</v>
      </c>
      <c r="CA43" s="213">
        <f t="shared" si="34"/>
        <v>5098588.4447999997</v>
      </c>
      <c r="CB43" s="221">
        <f t="shared" si="35"/>
        <v>60765000</v>
      </c>
      <c r="CC43" s="222">
        <f t="shared" si="36"/>
        <v>3639000</v>
      </c>
      <c r="CD43" s="223">
        <f t="shared" si="7"/>
        <v>5.6502701695546858</v>
      </c>
      <c r="CE43" s="77"/>
      <c r="CF43" s="77"/>
      <c r="CG43" s="23"/>
      <c r="CH43" s="23"/>
      <c r="CI43" s="78"/>
      <c r="CJ43" s="78"/>
      <c r="CK43" s="187"/>
      <c r="CL43" s="188"/>
      <c r="CM43" s="78"/>
      <c r="CN43" s="78"/>
      <c r="CO43" s="78"/>
      <c r="CP43" s="78"/>
      <c r="CQ43" s="78"/>
      <c r="CR43" s="78"/>
      <c r="CS43" s="78"/>
      <c r="CT43" s="78"/>
      <c r="CU43" s="78"/>
      <c r="CV43" s="78"/>
      <c r="CW43" s="78"/>
      <c r="CX43" s="78"/>
      <c r="CY43" s="78"/>
      <c r="CZ43" s="78"/>
      <c r="DA43" s="78"/>
      <c r="DB43" s="78"/>
      <c r="DC43" s="78"/>
      <c r="DD43" s="78"/>
      <c r="DE43" s="78"/>
      <c r="DF43" s="78"/>
      <c r="DG43" s="78"/>
      <c r="DH43" s="78"/>
      <c r="DI43" s="78"/>
      <c r="DJ43" s="78"/>
      <c r="DK43" s="78"/>
      <c r="DL43" s="78"/>
      <c r="DM43" s="78"/>
    </row>
    <row r="44" spans="1:117" ht="17.25" customHeight="1">
      <c r="A44" s="23">
        <f t="shared" si="9"/>
        <v>41</v>
      </c>
      <c r="B44" s="23" t="s">
        <v>439</v>
      </c>
      <c r="C44" s="190">
        <v>2014064</v>
      </c>
      <c r="D44" s="194" t="s">
        <v>561</v>
      </c>
      <c r="E44" s="227" t="s">
        <v>174</v>
      </c>
      <c r="F44" s="227" t="s">
        <v>810</v>
      </c>
      <c r="G44" s="23" t="s">
        <v>441</v>
      </c>
      <c r="H44" s="227" t="s">
        <v>272</v>
      </c>
      <c r="I44" s="227" t="s">
        <v>206</v>
      </c>
      <c r="J44" s="194" t="s">
        <v>178</v>
      </c>
      <c r="K44" s="79" t="s">
        <v>233</v>
      </c>
      <c r="L44" s="227"/>
      <c r="M44" s="227" t="s">
        <v>811</v>
      </c>
      <c r="N44" s="228" t="s">
        <v>812</v>
      </c>
      <c r="O44" s="237" t="s">
        <v>813</v>
      </c>
      <c r="P44" s="239" t="s">
        <v>814</v>
      </c>
      <c r="Q44" s="214">
        <v>34425</v>
      </c>
      <c r="R44" s="214">
        <v>41183</v>
      </c>
      <c r="S44" s="214">
        <v>41640</v>
      </c>
      <c r="T44" s="231" t="s">
        <v>815</v>
      </c>
      <c r="V44" s="201" t="s">
        <v>215</v>
      </c>
      <c r="Z44" s="203">
        <f t="shared" ca="1" si="21"/>
        <v>11736</v>
      </c>
      <c r="AA44" s="203">
        <f t="shared" ca="1" si="1"/>
        <v>4978</v>
      </c>
      <c r="AB44" s="232"/>
      <c r="AC44" s="232"/>
      <c r="AD44" s="78" t="s">
        <v>816</v>
      </c>
      <c r="AE44" s="78" t="s">
        <v>190</v>
      </c>
      <c r="AF44" s="78" t="s">
        <v>191</v>
      </c>
      <c r="AG44" s="78" t="s">
        <v>191</v>
      </c>
      <c r="AH44" s="23" t="s">
        <v>161</v>
      </c>
      <c r="AI44" s="23" t="s">
        <v>817</v>
      </c>
      <c r="AJ44" s="23" t="s">
        <v>569</v>
      </c>
      <c r="AK44" s="233" t="s">
        <v>818</v>
      </c>
      <c r="AL44" s="78" t="s">
        <v>819</v>
      </c>
      <c r="AM44" s="206" t="s">
        <v>820</v>
      </c>
      <c r="AN44" s="207" t="s">
        <v>821</v>
      </c>
      <c r="AO44" s="78" t="s">
        <v>197</v>
      </c>
      <c r="AP44" s="78" t="s">
        <v>198</v>
      </c>
      <c r="AQ44" s="201" t="s">
        <v>822</v>
      </c>
      <c r="AR44" s="201" t="s">
        <v>823</v>
      </c>
      <c r="AS44" s="209" t="s">
        <v>200</v>
      </c>
      <c r="AT44" s="23" t="s">
        <v>201</v>
      </c>
      <c r="AU44" s="23" t="s">
        <v>435</v>
      </c>
      <c r="AV44" s="210" t="s">
        <v>454</v>
      </c>
      <c r="AW44" s="211">
        <v>5699000</v>
      </c>
      <c r="AX44" s="175">
        <v>5699000</v>
      </c>
      <c r="AY44" s="212">
        <v>12</v>
      </c>
      <c r="AZ44" s="213">
        <f t="shared" si="2"/>
        <v>68388000</v>
      </c>
      <c r="BC44" s="214">
        <v>45839</v>
      </c>
      <c r="BD44" s="235">
        <v>42803999.999999993</v>
      </c>
      <c r="BE44" s="215">
        <v>43872000</v>
      </c>
      <c r="BF44" s="215">
        <f t="shared" si="22"/>
        <v>43872000</v>
      </c>
      <c r="BG44" s="215">
        <f t="shared" si="23"/>
        <v>3656000</v>
      </c>
      <c r="BH44" s="215">
        <v>3100600</v>
      </c>
      <c r="BI44" s="216">
        <f t="shared" si="37"/>
        <v>15792.34</v>
      </c>
      <c r="BJ44" s="216">
        <f>IF(AT44="통상",209,VLOOKUP(AD44,'[2]스케줄 분석_20260109'!$B$3:$F$20,5,FALSE))</f>
        <v>209</v>
      </c>
      <c r="BK44" s="216">
        <f>IF(AT44="통상",15,VLOOKUP(AD44,'[2]스케줄 분석_20260109'!$B$3:$P$20,10,FALSE))</f>
        <v>15</v>
      </c>
      <c r="BL44" s="216">
        <f>IF(AT44="통상",0,VLOOKUP(AD44,'[2]스케줄 분석_20260109'!$B$3:$P$20,11,FALSE))</f>
        <v>0</v>
      </c>
      <c r="BM44" s="215">
        <f t="shared" si="24"/>
        <v>355400</v>
      </c>
      <c r="BN44" s="175">
        <f t="shared" si="25"/>
        <v>0</v>
      </c>
      <c r="BO44" s="213">
        <v>200000</v>
      </c>
      <c r="BP44" s="175">
        <f>IF(OR(AT44="스케줄",AT44="스케줄_파라"),ROUNDUP(VLOOKUP(AD44,'[2]스케줄 분석_20260109'!$B$3:$Y$20,23,FALSE)*(VLOOKUP(AD44,'[2]스케줄 분석_20260109'!$B$3:$Y$20,21,FALSE)/VLOOKUP(AD44,'[2]스케줄 분석_20260109'!$B$3:$Y$20,20,FALSE))*VLOOKUP(AD44,'[2]스케줄 분석_20260109'!$B$3:$Y$20,22,FALSE)*VLOOKUP(AD44,'[2]스케줄 분석_20260109'!$B$3:$Y$20,2,FALSE)*1.5*BI44,0),0)</f>
        <v>0</v>
      </c>
      <c r="BQ44" s="217" t="str">
        <f t="shared" si="26"/>
        <v>적합</v>
      </c>
      <c r="BR44" s="213"/>
      <c r="BS44" s="218">
        <f t="shared" si="27"/>
        <v>631693.6</v>
      </c>
      <c r="BT44" s="219">
        <f t="shared" si="28"/>
        <v>3708641.1333333333</v>
      </c>
      <c r="BU44" s="175">
        <f t="shared" si="29"/>
        <v>1969920</v>
      </c>
      <c r="BV44" s="175">
        <f t="shared" si="30"/>
        <v>1689171.1488000001</v>
      </c>
      <c r="BW44" s="175">
        <f t="shared" si="31"/>
        <v>642816</v>
      </c>
      <c r="BX44" s="175">
        <f t="shared" si="32"/>
        <v>273715.20000000001</v>
      </c>
      <c r="BY44" s="213">
        <f t="shared" si="20"/>
        <v>4570000</v>
      </c>
      <c r="BZ44" s="220">
        <f t="shared" si="33"/>
        <v>48212334.733333334</v>
      </c>
      <c r="CA44" s="213">
        <f t="shared" si="34"/>
        <v>4575622.3488000007</v>
      </c>
      <c r="CB44" s="221">
        <f t="shared" si="35"/>
        <v>54840000</v>
      </c>
      <c r="CC44" s="222">
        <f t="shared" si="36"/>
        <v>13548000</v>
      </c>
      <c r="CD44" s="223">
        <f t="shared" si="7"/>
        <v>19.810493068959467</v>
      </c>
      <c r="CK44" s="187"/>
      <c r="CL44" s="188"/>
    </row>
    <row r="45" spans="1:117" ht="17.25" customHeight="1">
      <c r="A45" s="23">
        <f t="shared" si="9"/>
        <v>42</v>
      </c>
      <c r="B45" s="23" t="s">
        <v>439</v>
      </c>
      <c r="C45" s="190">
        <v>2014065</v>
      </c>
      <c r="D45" s="194" t="s">
        <v>561</v>
      </c>
      <c r="E45" s="227" t="s">
        <v>174</v>
      </c>
      <c r="F45" s="227" t="s">
        <v>824</v>
      </c>
      <c r="G45" s="23" t="s">
        <v>825</v>
      </c>
      <c r="H45" s="227" t="s">
        <v>826</v>
      </c>
      <c r="I45" s="227" t="s">
        <v>741</v>
      </c>
      <c r="J45" s="194" t="s">
        <v>178</v>
      </c>
      <c r="K45" s="79" t="s">
        <v>233</v>
      </c>
      <c r="L45" s="227"/>
      <c r="M45" s="227" t="s">
        <v>827</v>
      </c>
      <c r="N45" s="228" t="s">
        <v>828</v>
      </c>
      <c r="O45" s="241" t="s">
        <v>829</v>
      </c>
      <c r="P45" s="239" t="s">
        <v>830</v>
      </c>
      <c r="Q45" s="214">
        <v>36526</v>
      </c>
      <c r="R45" s="214">
        <v>41183</v>
      </c>
      <c r="S45" s="214">
        <v>41640</v>
      </c>
      <c r="T45" s="231" t="s">
        <v>831</v>
      </c>
      <c r="V45" s="201" t="s">
        <v>278</v>
      </c>
      <c r="W45" s="231" t="s">
        <v>187</v>
      </c>
      <c r="Z45" s="203">
        <f t="shared" ca="1" si="21"/>
        <v>9635</v>
      </c>
      <c r="AA45" s="203">
        <f t="shared" ca="1" si="1"/>
        <v>4978</v>
      </c>
      <c r="AB45" s="232"/>
      <c r="AC45" s="232"/>
      <c r="AD45" s="78" t="s">
        <v>832</v>
      </c>
      <c r="AE45" s="78" t="s">
        <v>833</v>
      </c>
      <c r="AF45" s="78" t="s">
        <v>191</v>
      </c>
      <c r="AG45" s="78" t="s">
        <v>191</v>
      </c>
      <c r="AH45" s="23" t="s">
        <v>161</v>
      </c>
      <c r="AI45" s="23" t="s">
        <v>834</v>
      </c>
      <c r="AJ45" s="23" t="s">
        <v>569</v>
      </c>
      <c r="AK45" s="23">
        <v>61475</v>
      </c>
      <c r="AL45" s="78" t="s">
        <v>835</v>
      </c>
      <c r="AM45" s="206" t="s">
        <v>836</v>
      </c>
      <c r="AN45" s="207" t="s">
        <v>837</v>
      </c>
      <c r="AO45" s="78" t="s">
        <v>197</v>
      </c>
      <c r="AP45" s="78" t="s">
        <v>198</v>
      </c>
      <c r="AQ45" s="201" t="s">
        <v>838</v>
      </c>
      <c r="AS45" s="209" t="s">
        <v>200</v>
      </c>
      <c r="AT45" s="23" t="s">
        <v>201</v>
      </c>
      <c r="AU45" s="23" t="s">
        <v>435</v>
      </c>
      <c r="AV45" s="210" t="s">
        <v>454</v>
      </c>
      <c r="AW45" s="211">
        <v>3992000</v>
      </c>
      <c r="AX45" s="175">
        <v>3992000</v>
      </c>
      <c r="AY45" s="212">
        <v>12</v>
      </c>
      <c r="AZ45" s="213">
        <f t="shared" si="2"/>
        <v>47904000</v>
      </c>
      <c r="BC45" s="214">
        <v>45839</v>
      </c>
      <c r="BD45" s="235">
        <v>36084000</v>
      </c>
      <c r="BE45" s="215">
        <v>36840000</v>
      </c>
      <c r="BF45" s="215">
        <f t="shared" si="22"/>
        <v>36840000</v>
      </c>
      <c r="BG45" s="215">
        <f t="shared" si="23"/>
        <v>3070000</v>
      </c>
      <c r="BH45" s="215">
        <v>2571600</v>
      </c>
      <c r="BI45" s="216">
        <f t="shared" si="37"/>
        <v>13261.24</v>
      </c>
      <c r="BJ45" s="216">
        <f>IF(AT45="통상",209,VLOOKUP(AD45,'[2]스케줄 분석_20260109'!$B$3:$F$20,5,FALSE))</f>
        <v>209</v>
      </c>
      <c r="BK45" s="216">
        <f>IF(AT45="통상",15,VLOOKUP(AD45,'[2]스케줄 분석_20260109'!$B$3:$P$20,10,FALSE))</f>
        <v>15</v>
      </c>
      <c r="BL45" s="216">
        <f>IF(AT45="통상",0,VLOOKUP(AD45,'[2]스케줄 분석_20260109'!$B$3:$P$20,11,FALSE))</f>
        <v>0</v>
      </c>
      <c r="BM45" s="215">
        <f t="shared" si="24"/>
        <v>298400</v>
      </c>
      <c r="BN45" s="175">
        <f t="shared" si="25"/>
        <v>0</v>
      </c>
      <c r="BO45" s="213">
        <v>200000</v>
      </c>
      <c r="BP45" s="175">
        <f>IF(OR(AT45="스케줄",AT45="스케줄_파라"),ROUNDUP(VLOOKUP(AD45,'[2]스케줄 분석_20260109'!$B$3:$Y$20,23,FALSE)*(VLOOKUP(AD45,'[2]스케줄 분석_20260109'!$B$3:$Y$20,21,FALSE)/VLOOKUP(AD45,'[2]스케줄 분석_20260109'!$B$3:$Y$20,20,FALSE))*VLOOKUP(AD45,'[2]스케줄 분석_20260109'!$B$3:$Y$20,22,FALSE)*VLOOKUP(AD45,'[2]스케줄 분석_20260109'!$B$3:$Y$20,2,FALSE)*1.5*BI45,0),0)</f>
        <v>0</v>
      </c>
      <c r="BQ45" s="217" t="str">
        <f t="shared" si="26"/>
        <v>적합</v>
      </c>
      <c r="BR45" s="213"/>
      <c r="BS45" s="218">
        <f t="shared" si="27"/>
        <v>530449.6</v>
      </c>
      <c r="BT45" s="219">
        <f t="shared" si="28"/>
        <v>3114204.1333333333</v>
      </c>
      <c r="BU45" s="175">
        <f t="shared" si="29"/>
        <v>1635900</v>
      </c>
      <c r="BV45" s="175">
        <f t="shared" si="30"/>
        <v>1402754.976</v>
      </c>
      <c r="BW45" s="175">
        <f t="shared" si="31"/>
        <v>533820</v>
      </c>
      <c r="BX45" s="175">
        <f t="shared" si="32"/>
        <v>227304</v>
      </c>
      <c r="BY45" s="213">
        <f t="shared" si="20"/>
        <v>3837500</v>
      </c>
      <c r="BZ45" s="220">
        <f t="shared" si="33"/>
        <v>40484653.733333334</v>
      </c>
      <c r="CA45" s="213">
        <f t="shared" si="34"/>
        <v>3799778.9759999998</v>
      </c>
      <c r="CB45" s="221">
        <f t="shared" si="35"/>
        <v>46050000</v>
      </c>
      <c r="CC45" s="222">
        <f t="shared" si="36"/>
        <v>1854000</v>
      </c>
      <c r="CD45" s="223">
        <f t="shared" si="7"/>
        <v>3.8702404809619235</v>
      </c>
      <c r="CK45" s="187"/>
      <c r="CL45" s="188"/>
    </row>
    <row r="46" spans="1:117" ht="17.25" customHeight="1">
      <c r="A46" s="23">
        <f t="shared" si="9"/>
        <v>43</v>
      </c>
      <c r="B46" s="23" t="s">
        <v>439</v>
      </c>
      <c r="C46" s="190">
        <v>2014067</v>
      </c>
      <c r="D46" s="194" t="s">
        <v>561</v>
      </c>
      <c r="E46" s="227" t="s">
        <v>839</v>
      </c>
      <c r="F46" s="227" t="s">
        <v>840</v>
      </c>
      <c r="G46" s="23" t="s">
        <v>176</v>
      </c>
      <c r="H46" s="227" t="s">
        <v>826</v>
      </c>
      <c r="I46" s="227" t="s">
        <v>741</v>
      </c>
      <c r="J46" s="194" t="s">
        <v>178</v>
      </c>
      <c r="K46" s="79" t="s">
        <v>841</v>
      </c>
      <c r="L46" s="227"/>
      <c r="M46" s="227" t="s">
        <v>842</v>
      </c>
      <c r="N46" s="228" t="s">
        <v>843</v>
      </c>
      <c r="O46" s="241" t="s">
        <v>844</v>
      </c>
      <c r="P46" s="239" t="s">
        <v>845</v>
      </c>
      <c r="Q46" s="214">
        <v>39114</v>
      </c>
      <c r="R46" s="214">
        <v>41275</v>
      </c>
      <c r="S46" s="214">
        <v>41640</v>
      </c>
      <c r="T46" s="231" t="s">
        <v>846</v>
      </c>
      <c r="U46" s="231" t="s">
        <v>847</v>
      </c>
      <c r="V46" s="201" t="s">
        <v>278</v>
      </c>
      <c r="W46" s="231" t="s">
        <v>187</v>
      </c>
      <c r="X46" s="201" t="s">
        <v>848</v>
      </c>
      <c r="Z46" s="203">
        <f t="shared" ca="1" si="21"/>
        <v>7047</v>
      </c>
      <c r="AA46" s="203">
        <f t="shared" ca="1" si="1"/>
        <v>4886</v>
      </c>
      <c r="AB46" s="232"/>
      <c r="AC46" s="232"/>
      <c r="AD46" s="78" t="s">
        <v>21</v>
      </c>
      <c r="AE46" s="78" t="s">
        <v>190</v>
      </c>
      <c r="AF46" s="78" t="s">
        <v>191</v>
      </c>
      <c r="AG46" s="78" t="s">
        <v>191</v>
      </c>
      <c r="AH46" s="23" t="s">
        <v>161</v>
      </c>
      <c r="AI46" s="23" t="s">
        <v>192</v>
      </c>
      <c r="AJ46" s="23" t="s">
        <v>569</v>
      </c>
      <c r="AK46" s="233" t="s">
        <v>193</v>
      </c>
      <c r="AL46" s="78" t="s">
        <v>194</v>
      </c>
      <c r="AM46" s="206" t="s">
        <v>849</v>
      </c>
      <c r="AN46" s="207" t="s">
        <v>850</v>
      </c>
      <c r="AO46" s="78" t="s">
        <v>197</v>
      </c>
      <c r="AP46" s="78" t="s">
        <v>198</v>
      </c>
      <c r="AQ46" s="201" t="s">
        <v>851</v>
      </c>
      <c r="AS46" s="209" t="s">
        <v>200</v>
      </c>
      <c r="AT46" s="23" t="s">
        <v>434</v>
      </c>
      <c r="AU46" s="23" t="s">
        <v>435</v>
      </c>
      <c r="AV46" s="210" t="s">
        <v>454</v>
      </c>
      <c r="AW46" s="211">
        <v>3992000</v>
      </c>
      <c r="AX46" s="175">
        <v>3992000</v>
      </c>
      <c r="AY46" s="212">
        <v>12</v>
      </c>
      <c r="AZ46" s="213">
        <f t="shared" si="2"/>
        <v>47904000</v>
      </c>
      <c r="BC46" s="214">
        <v>45839</v>
      </c>
      <c r="BD46" s="215">
        <v>32088600</v>
      </c>
      <c r="BE46" s="215">
        <v>32845200</v>
      </c>
      <c r="BF46" s="215">
        <f t="shared" si="22"/>
        <v>32845200</v>
      </c>
      <c r="BG46" s="215">
        <f t="shared" si="23"/>
        <v>2737100</v>
      </c>
      <c r="BH46" s="215">
        <v>2113800</v>
      </c>
      <c r="BI46" s="216">
        <f t="shared" si="37"/>
        <v>12331.72</v>
      </c>
      <c r="BJ46" s="216">
        <f>IF(AT46="통상",209,VLOOKUP(AD46,'[2]스케줄 분석_20260109'!$B$3:$F$20,5,FALSE))</f>
        <v>187.63</v>
      </c>
      <c r="BK46" s="216">
        <f>IF(AT46="통상",15,VLOOKUP(AD46,'[2]스케줄 분석_20260109'!$B$3:$P$20,10,FALSE))</f>
        <v>29.11</v>
      </c>
      <c r="BL46" s="216">
        <f>IF(AT46="통상",0,VLOOKUP(AD46,'[2]스케줄 분석_20260109'!$B$3:$P$20,11,FALSE))</f>
        <v>39.54</v>
      </c>
      <c r="BM46" s="215">
        <f t="shared" si="24"/>
        <v>179500</v>
      </c>
      <c r="BN46" s="175">
        <f t="shared" si="25"/>
        <v>243800</v>
      </c>
      <c r="BO46" s="213">
        <v>200000</v>
      </c>
      <c r="BP46" s="175">
        <f>IF(OR(AT46="스케줄",AT46="스케줄_파라"),ROUNDUP(VLOOKUP(AD46,'[2]스케줄 분석_20260109'!$B$3:$Y$20,23,FALSE)*(VLOOKUP(AD46,'[2]스케줄 분석_20260109'!$B$3:$Y$20,21,FALSE)/VLOOKUP(AD46,'[2]스케줄 분석_20260109'!$B$3:$Y$20,20,FALSE))*VLOOKUP(AD46,'[2]스케줄 분석_20260109'!$B$3:$Y$20,22,FALSE)*VLOOKUP(AD46,'[2]스케줄 분석_20260109'!$B$3:$Y$20,2,FALSE)*1.5*BI46,0),0)</f>
        <v>2492209</v>
      </c>
      <c r="BQ46" s="217" t="str">
        <f t="shared" si="26"/>
        <v>적합</v>
      </c>
      <c r="BR46" s="213"/>
      <c r="BS46" s="218">
        <f t="shared" si="27"/>
        <v>1233172</v>
      </c>
      <c r="BT46" s="219">
        <f t="shared" si="28"/>
        <v>2839864.3333333335</v>
      </c>
      <c r="BU46" s="175">
        <f t="shared" si="29"/>
        <v>1446147</v>
      </c>
      <c r="BV46" s="175">
        <f t="shared" si="30"/>
        <v>1240045.17408</v>
      </c>
      <c r="BW46" s="175">
        <f t="shared" si="31"/>
        <v>471900.6</v>
      </c>
      <c r="BX46" s="175">
        <f t="shared" si="32"/>
        <v>200938.32</v>
      </c>
      <c r="BY46" s="213">
        <f t="shared" si="20"/>
        <v>3421375</v>
      </c>
      <c r="BZ46" s="220">
        <f t="shared" si="33"/>
        <v>36918236.333333336</v>
      </c>
      <c r="CA46" s="213">
        <f t="shared" si="34"/>
        <v>3359031.0940800002</v>
      </c>
      <c r="CB46" s="221">
        <f t="shared" si="35"/>
        <v>41056500</v>
      </c>
      <c r="CC46" s="222">
        <f t="shared" si="36"/>
        <v>3831927.11</v>
      </c>
      <c r="CD46" s="223">
        <f t="shared" si="7"/>
        <v>7.9991798388443556</v>
      </c>
      <c r="CK46" s="187"/>
      <c r="CL46" s="188"/>
    </row>
    <row r="47" spans="1:117" s="79" customFormat="1" ht="17.25" customHeight="1">
      <c r="A47" s="23">
        <f t="shared" si="9"/>
        <v>44</v>
      </c>
      <c r="B47" s="23" t="s">
        <v>439</v>
      </c>
      <c r="C47" s="190">
        <v>2014069</v>
      </c>
      <c r="D47" s="194" t="s">
        <v>561</v>
      </c>
      <c r="E47" s="227" t="s">
        <v>174</v>
      </c>
      <c r="F47" s="227" t="s">
        <v>852</v>
      </c>
      <c r="G47" s="23" t="s">
        <v>476</v>
      </c>
      <c r="H47" s="227" t="s">
        <v>826</v>
      </c>
      <c r="I47" s="227" t="s">
        <v>741</v>
      </c>
      <c r="J47" s="194" t="s">
        <v>178</v>
      </c>
      <c r="K47" s="79" t="s">
        <v>233</v>
      </c>
      <c r="L47" s="227"/>
      <c r="M47" s="227" t="s">
        <v>853</v>
      </c>
      <c r="N47" s="228" t="s">
        <v>854</v>
      </c>
      <c r="O47" s="241" t="s">
        <v>855</v>
      </c>
      <c r="P47" s="239" t="s">
        <v>856</v>
      </c>
      <c r="Q47" s="214">
        <v>36434</v>
      </c>
      <c r="R47" s="214">
        <v>41275</v>
      </c>
      <c r="S47" s="214">
        <v>41640</v>
      </c>
      <c r="T47" s="231" t="s">
        <v>857</v>
      </c>
      <c r="U47" s="231" t="s">
        <v>858</v>
      </c>
      <c r="V47" s="201" t="s">
        <v>278</v>
      </c>
      <c r="W47" s="231" t="s">
        <v>187</v>
      </c>
      <c r="X47" s="201"/>
      <c r="Y47" s="201"/>
      <c r="Z47" s="203">
        <f t="shared" ca="1" si="21"/>
        <v>9727</v>
      </c>
      <c r="AA47" s="203">
        <f t="shared" ca="1" si="1"/>
        <v>4886</v>
      </c>
      <c r="AB47" s="232"/>
      <c r="AC47" s="232"/>
      <c r="AD47" s="78" t="s">
        <v>859</v>
      </c>
      <c r="AE47" s="78" t="s">
        <v>833</v>
      </c>
      <c r="AF47" s="78" t="s">
        <v>191</v>
      </c>
      <c r="AG47" s="78" t="s">
        <v>191</v>
      </c>
      <c r="AH47" s="23" t="s">
        <v>161</v>
      </c>
      <c r="AI47" s="23" t="s">
        <v>860</v>
      </c>
      <c r="AJ47" s="23" t="s">
        <v>569</v>
      </c>
      <c r="AK47" s="23">
        <v>47520</v>
      </c>
      <c r="AL47" s="78" t="s">
        <v>861</v>
      </c>
      <c r="AM47" s="206" t="s">
        <v>862</v>
      </c>
      <c r="AN47" s="207" t="s">
        <v>863</v>
      </c>
      <c r="AO47" s="78" t="s">
        <v>197</v>
      </c>
      <c r="AP47" s="78" t="s">
        <v>198</v>
      </c>
      <c r="AQ47" s="201" t="s">
        <v>864</v>
      </c>
      <c r="AR47" s="201"/>
      <c r="AS47" s="209" t="s">
        <v>200</v>
      </c>
      <c r="AT47" s="23" t="s">
        <v>201</v>
      </c>
      <c r="AU47" s="23" t="s">
        <v>435</v>
      </c>
      <c r="AV47" s="210" t="s">
        <v>454</v>
      </c>
      <c r="AW47" s="211">
        <v>3992000</v>
      </c>
      <c r="AX47" s="175">
        <v>3992000</v>
      </c>
      <c r="AY47" s="212">
        <v>12</v>
      </c>
      <c r="AZ47" s="213">
        <f t="shared" si="2"/>
        <v>47904000</v>
      </c>
      <c r="BA47" s="78"/>
      <c r="BB47" s="78"/>
      <c r="BC47" s="214">
        <v>45839</v>
      </c>
      <c r="BD47" s="235">
        <v>36084000</v>
      </c>
      <c r="BE47" s="215">
        <v>36840000</v>
      </c>
      <c r="BF47" s="215">
        <f t="shared" si="22"/>
        <v>36840000</v>
      </c>
      <c r="BG47" s="215">
        <f t="shared" si="23"/>
        <v>3070000</v>
      </c>
      <c r="BH47" s="215">
        <v>2571600</v>
      </c>
      <c r="BI47" s="216">
        <f t="shared" si="37"/>
        <v>13261.24</v>
      </c>
      <c r="BJ47" s="216">
        <f>IF(AT47="통상",209,VLOOKUP(AD47,'[2]스케줄 분석_20260109'!$B$3:$F$20,5,FALSE))</f>
        <v>209</v>
      </c>
      <c r="BK47" s="216">
        <f>IF(AT47="통상",15,VLOOKUP(AD47,'[2]스케줄 분석_20260109'!$B$3:$P$20,10,FALSE))</f>
        <v>15</v>
      </c>
      <c r="BL47" s="216">
        <f>IF(AT47="통상",0,VLOOKUP(AD47,'[2]스케줄 분석_20260109'!$B$3:$P$20,11,FALSE))</f>
        <v>0</v>
      </c>
      <c r="BM47" s="215">
        <f t="shared" si="24"/>
        <v>298400</v>
      </c>
      <c r="BN47" s="175">
        <f t="shared" si="25"/>
        <v>0</v>
      </c>
      <c r="BO47" s="213">
        <v>200000</v>
      </c>
      <c r="BP47" s="175">
        <f>IF(OR(AT47="스케줄",AT47="스케줄_파라"),ROUNDUP(VLOOKUP(AD47,'[2]스케줄 분석_20260109'!$B$3:$Y$20,23,FALSE)*(VLOOKUP(AD47,'[2]스케줄 분석_20260109'!$B$3:$Y$20,21,FALSE)/VLOOKUP(AD47,'[2]스케줄 분석_20260109'!$B$3:$Y$20,20,FALSE))*VLOOKUP(AD47,'[2]스케줄 분석_20260109'!$B$3:$Y$20,22,FALSE)*VLOOKUP(AD47,'[2]스케줄 분석_20260109'!$B$3:$Y$20,2,FALSE)*1.5*BI47,0),0)</f>
        <v>0</v>
      </c>
      <c r="BQ47" s="217" t="str">
        <f t="shared" si="26"/>
        <v>적합</v>
      </c>
      <c r="BR47" s="213"/>
      <c r="BS47" s="218">
        <f t="shared" si="27"/>
        <v>530449.6</v>
      </c>
      <c r="BT47" s="219">
        <f t="shared" si="28"/>
        <v>3114204.1333333333</v>
      </c>
      <c r="BU47" s="175">
        <f t="shared" si="29"/>
        <v>1635900</v>
      </c>
      <c r="BV47" s="175">
        <f t="shared" si="30"/>
        <v>1402754.976</v>
      </c>
      <c r="BW47" s="175">
        <f t="shared" si="31"/>
        <v>533820</v>
      </c>
      <c r="BX47" s="175">
        <f t="shared" si="32"/>
        <v>227304</v>
      </c>
      <c r="BY47" s="213">
        <f t="shared" si="20"/>
        <v>3837500</v>
      </c>
      <c r="BZ47" s="220">
        <f t="shared" si="33"/>
        <v>40484653.733333334</v>
      </c>
      <c r="CA47" s="213">
        <f t="shared" si="34"/>
        <v>3799778.9759999998</v>
      </c>
      <c r="CB47" s="221">
        <f t="shared" si="35"/>
        <v>46050000</v>
      </c>
      <c r="CC47" s="222">
        <f t="shared" si="36"/>
        <v>1854000</v>
      </c>
      <c r="CD47" s="223">
        <f t="shared" si="7"/>
        <v>3.8702404809619235</v>
      </c>
      <c r="CE47" s="77"/>
      <c r="CF47" s="77"/>
      <c r="CG47" s="23"/>
      <c r="CH47" s="23"/>
      <c r="CI47" s="78"/>
      <c r="CJ47" s="78"/>
      <c r="CK47" s="187"/>
      <c r="CL47" s="188"/>
      <c r="CM47" s="78"/>
      <c r="CN47" s="78"/>
      <c r="CO47" s="78"/>
      <c r="CP47" s="78"/>
      <c r="CQ47" s="78"/>
      <c r="CR47" s="78"/>
      <c r="CS47" s="78"/>
      <c r="CT47" s="78"/>
      <c r="CU47" s="78"/>
      <c r="CV47" s="78"/>
      <c r="CW47" s="78"/>
      <c r="CX47" s="78"/>
      <c r="CY47" s="78"/>
      <c r="CZ47" s="78"/>
      <c r="DA47" s="78"/>
      <c r="DB47" s="78"/>
      <c r="DC47" s="78"/>
      <c r="DD47" s="78"/>
      <c r="DE47" s="78"/>
      <c r="DF47" s="78"/>
      <c r="DG47" s="78"/>
      <c r="DH47" s="78"/>
      <c r="DI47" s="78"/>
      <c r="DJ47" s="78"/>
      <c r="DK47" s="78"/>
      <c r="DL47" s="121"/>
      <c r="DM47" s="121"/>
    </row>
    <row r="48" spans="1:117" ht="17.25" customHeight="1">
      <c r="A48" s="23">
        <f>ROW()-3</f>
        <v>45</v>
      </c>
      <c r="B48" s="23" t="s">
        <v>439</v>
      </c>
      <c r="C48" s="190">
        <v>2014070</v>
      </c>
      <c r="D48" s="194" t="s">
        <v>474</v>
      </c>
      <c r="E48" s="227" t="s">
        <v>865</v>
      </c>
      <c r="F48" s="227" t="s">
        <v>866</v>
      </c>
      <c r="G48" s="23" t="s">
        <v>476</v>
      </c>
      <c r="H48" s="227" t="s">
        <v>150</v>
      </c>
      <c r="I48" s="227" t="s">
        <v>206</v>
      </c>
      <c r="J48" s="194" t="s">
        <v>207</v>
      </c>
      <c r="K48" s="79" t="s">
        <v>179</v>
      </c>
      <c r="L48" s="227"/>
      <c r="M48" s="227" t="s">
        <v>867</v>
      </c>
      <c r="N48" s="228" t="s">
        <v>868</v>
      </c>
      <c r="O48" s="194" t="s">
        <v>869</v>
      </c>
      <c r="P48" s="239" t="s">
        <v>870</v>
      </c>
      <c r="Q48" s="214">
        <v>37316</v>
      </c>
      <c r="R48" s="214">
        <v>41275</v>
      </c>
      <c r="S48" s="214">
        <v>41640</v>
      </c>
      <c r="T48" s="231" t="s">
        <v>871</v>
      </c>
      <c r="U48" s="231"/>
      <c r="V48" s="201" t="s">
        <v>394</v>
      </c>
      <c r="W48" s="201" t="s">
        <v>872</v>
      </c>
      <c r="X48" s="201" t="s">
        <v>873</v>
      </c>
      <c r="Y48" s="231" t="s">
        <v>874</v>
      </c>
      <c r="Z48" s="203">
        <f t="shared" ca="1" si="21"/>
        <v>8845</v>
      </c>
      <c r="AA48" s="203">
        <f t="shared" ca="1" si="1"/>
        <v>4886</v>
      </c>
      <c r="AB48" s="232"/>
      <c r="AC48" s="232"/>
      <c r="AD48" s="78" t="s">
        <v>551</v>
      </c>
      <c r="AE48" s="78" t="s">
        <v>190</v>
      </c>
      <c r="AF48" s="78" t="s">
        <v>160</v>
      </c>
      <c r="AG48" s="78" t="s">
        <v>160</v>
      </c>
      <c r="AH48" s="23" t="s">
        <v>161</v>
      </c>
      <c r="AI48" s="23" t="s">
        <v>552</v>
      </c>
      <c r="AJ48" s="23" t="s">
        <v>542</v>
      </c>
      <c r="AK48" s="233" t="s">
        <v>553</v>
      </c>
      <c r="AL48" s="78" t="s">
        <v>764</v>
      </c>
      <c r="AM48" s="206" t="s">
        <v>875</v>
      </c>
      <c r="AN48" s="207" t="s">
        <v>876</v>
      </c>
      <c r="AO48" s="78" t="s">
        <v>166</v>
      </c>
      <c r="AP48" s="78" t="s">
        <v>877</v>
      </c>
      <c r="AQ48" s="201" t="s">
        <v>878</v>
      </c>
      <c r="AR48" s="201" t="s">
        <v>879</v>
      </c>
      <c r="AS48" s="209" t="s">
        <v>488</v>
      </c>
      <c r="AT48" s="23" t="s">
        <v>201</v>
      </c>
      <c r="AU48" s="23" t="s">
        <v>435</v>
      </c>
      <c r="AV48" s="210" t="s">
        <v>454</v>
      </c>
      <c r="AW48" s="211">
        <v>6439000</v>
      </c>
      <c r="AX48" s="175">
        <v>6439000</v>
      </c>
      <c r="AY48" s="212">
        <v>12</v>
      </c>
      <c r="AZ48" s="213">
        <f t="shared" si="2"/>
        <v>77268000</v>
      </c>
      <c r="BA48" s="234"/>
      <c r="BB48" s="234"/>
      <c r="BC48" s="214">
        <v>45839</v>
      </c>
      <c r="BD48" s="215">
        <v>59448000</v>
      </c>
      <c r="BE48" s="215">
        <v>60667200</v>
      </c>
      <c r="BF48" s="215">
        <f t="shared" si="22"/>
        <v>60667200</v>
      </c>
      <c r="BG48" s="215">
        <f t="shared" si="23"/>
        <v>5055600</v>
      </c>
      <c r="BH48" s="215">
        <v>4364200</v>
      </c>
      <c r="BI48" s="216">
        <f t="shared" si="37"/>
        <v>21838.28</v>
      </c>
      <c r="BJ48" s="216">
        <f>IF(AT48="통상",209,VLOOKUP(AD48,'[2]스케줄 분석_20260109'!$B$3:$F$20,5,FALSE))</f>
        <v>209</v>
      </c>
      <c r="BK48" s="216">
        <f>IF(AT48="통상",15,VLOOKUP(AD48,'[2]스케줄 분석_20260109'!$B$3:$P$20,10,FALSE))</f>
        <v>15</v>
      </c>
      <c r="BL48" s="216">
        <f>IF(AT48="통상",0,VLOOKUP(AD48,'[2]스케줄 분석_20260109'!$B$3:$P$20,11,FALSE))</f>
        <v>0</v>
      </c>
      <c r="BM48" s="215">
        <f t="shared" si="24"/>
        <v>491400</v>
      </c>
      <c r="BN48" s="175">
        <f t="shared" si="25"/>
        <v>0</v>
      </c>
      <c r="BO48" s="213">
        <v>200000</v>
      </c>
      <c r="BP48" s="175">
        <f>IF(OR(AT48="스케줄",AT48="스케줄_파라"),ROUNDUP(VLOOKUP(AD48,'[2]스케줄 분석_20260109'!$B$3:$Y$20,23,FALSE)*(VLOOKUP(AD48,'[2]스케줄 분석_20260109'!$B$3:$Y$20,21,FALSE)/VLOOKUP(AD48,'[2]스케줄 분석_20260109'!$B$3:$Y$20,20,FALSE))*VLOOKUP(AD48,'[2]스케줄 분석_20260109'!$B$3:$Y$20,22,FALSE)*VLOOKUP(AD48,'[2]스케줄 분석_20260109'!$B$3:$Y$20,2,FALSE)*1.5*BI48,0),0)</f>
        <v>0</v>
      </c>
      <c r="BQ48" s="217" t="str">
        <f t="shared" si="26"/>
        <v>적합</v>
      </c>
      <c r="BR48" s="213"/>
      <c r="BS48" s="218">
        <f t="shared" si="27"/>
        <v>873531.2</v>
      </c>
      <c r="BT48" s="219">
        <f t="shared" si="28"/>
        <v>5128394.2666666666</v>
      </c>
      <c r="BU48" s="175">
        <f t="shared" si="29"/>
        <v>2767692</v>
      </c>
      <c r="BV48" s="175">
        <f t="shared" si="30"/>
        <v>2373246.3628799999</v>
      </c>
      <c r="BW48" s="175">
        <f t="shared" si="31"/>
        <v>903141.6</v>
      </c>
      <c r="BX48" s="175">
        <f t="shared" si="32"/>
        <v>384563.52</v>
      </c>
      <c r="BY48" s="213">
        <f t="shared" si="20"/>
        <v>6319500</v>
      </c>
      <c r="BZ48" s="220">
        <f t="shared" si="33"/>
        <v>66669125.466666669</v>
      </c>
      <c r="CA48" s="213">
        <f t="shared" si="34"/>
        <v>6428643.48288</v>
      </c>
      <c r="CB48" s="221">
        <f t="shared" si="35"/>
        <v>75834000</v>
      </c>
      <c r="CC48" s="222">
        <f t="shared" si="36"/>
        <v>1434000</v>
      </c>
      <c r="CD48" s="223">
        <f t="shared" si="7"/>
        <v>1.8558782419630377</v>
      </c>
      <c r="CK48" s="187"/>
      <c r="CL48" s="188"/>
    </row>
    <row r="49" spans="1:117" ht="17.25" customHeight="1">
      <c r="A49" s="23">
        <f t="shared" si="9"/>
        <v>46</v>
      </c>
      <c r="B49" s="23" t="s">
        <v>439</v>
      </c>
      <c r="C49" s="190">
        <v>2014071</v>
      </c>
      <c r="D49" s="194" t="s">
        <v>490</v>
      </c>
      <c r="E49" s="227" t="s">
        <v>880</v>
      </c>
      <c r="F49" s="227" t="s">
        <v>881</v>
      </c>
      <c r="G49" s="23" t="s">
        <v>441</v>
      </c>
      <c r="H49" s="227" t="s">
        <v>177</v>
      </c>
      <c r="I49" s="227" t="s">
        <v>206</v>
      </c>
      <c r="J49" s="194" t="s">
        <v>207</v>
      </c>
      <c r="K49" s="79" t="s">
        <v>641</v>
      </c>
      <c r="L49" s="227" t="s">
        <v>882</v>
      </c>
      <c r="M49" s="227" t="s">
        <v>883</v>
      </c>
      <c r="N49" s="228" t="s">
        <v>884</v>
      </c>
      <c r="O49" s="241" t="s">
        <v>885</v>
      </c>
      <c r="P49" s="229" t="s">
        <v>886</v>
      </c>
      <c r="Q49" s="214">
        <v>36923</v>
      </c>
      <c r="R49" s="214">
        <v>41288</v>
      </c>
      <c r="S49" s="214">
        <v>41640</v>
      </c>
      <c r="T49" s="231" t="s">
        <v>887</v>
      </c>
      <c r="U49" s="200"/>
      <c r="V49" s="201" t="s">
        <v>394</v>
      </c>
      <c r="W49" s="231" t="s">
        <v>888</v>
      </c>
      <c r="X49" s="201" t="s">
        <v>889</v>
      </c>
      <c r="Z49" s="203">
        <f t="shared" ca="1" si="21"/>
        <v>9238</v>
      </c>
      <c r="AA49" s="203">
        <f t="shared" ca="1" si="1"/>
        <v>4873</v>
      </c>
      <c r="AB49" s="232"/>
      <c r="AC49" s="232"/>
      <c r="AD49" s="78" t="s">
        <v>890</v>
      </c>
      <c r="AE49" s="78" t="s">
        <v>190</v>
      </c>
      <c r="AF49" s="78" t="s">
        <v>218</v>
      </c>
      <c r="AG49" s="78" t="s">
        <v>218</v>
      </c>
      <c r="AH49" s="23" t="s">
        <v>161</v>
      </c>
      <c r="AI49" s="23" t="s">
        <v>503</v>
      </c>
      <c r="AJ49" s="23" t="s">
        <v>504</v>
      </c>
      <c r="AK49" s="23" t="s">
        <v>505</v>
      </c>
      <c r="AL49" s="78" t="s">
        <v>891</v>
      </c>
      <c r="AM49" s="206" t="s">
        <v>892</v>
      </c>
      <c r="AN49" s="207" t="s">
        <v>893</v>
      </c>
      <c r="AO49" s="78" t="s">
        <v>222</v>
      </c>
      <c r="AP49" s="78" t="s">
        <v>894</v>
      </c>
      <c r="AQ49" s="201" t="s">
        <v>895</v>
      </c>
      <c r="AS49" s="209" t="s">
        <v>226</v>
      </c>
      <c r="AT49" s="23" t="s">
        <v>201</v>
      </c>
      <c r="AU49" s="23" t="s">
        <v>435</v>
      </c>
      <c r="AV49" s="210" t="s">
        <v>454</v>
      </c>
      <c r="AW49" s="211">
        <v>5961000</v>
      </c>
      <c r="AX49" s="175">
        <v>5961000</v>
      </c>
      <c r="AY49" s="212">
        <v>12</v>
      </c>
      <c r="AZ49" s="213">
        <f t="shared" si="2"/>
        <v>71532000</v>
      </c>
      <c r="BA49" s="213"/>
      <c r="BB49" s="213"/>
      <c r="BC49" s="214">
        <v>45839</v>
      </c>
      <c r="BD49" s="235">
        <v>46800000</v>
      </c>
      <c r="BE49" s="215">
        <v>47916000</v>
      </c>
      <c r="BF49" s="215">
        <f t="shared" si="22"/>
        <v>47916000</v>
      </c>
      <c r="BG49" s="215">
        <f t="shared" si="23"/>
        <v>3993000</v>
      </c>
      <c r="BH49" s="215">
        <v>3404900</v>
      </c>
      <c r="BI49" s="216">
        <f t="shared" si="37"/>
        <v>17248.330000000002</v>
      </c>
      <c r="BJ49" s="216">
        <f>IF(AT49="통상",209,VLOOKUP(AD49,'[2]스케줄 분석_20260109'!$B$3:$F$20,5,FALSE))</f>
        <v>209</v>
      </c>
      <c r="BK49" s="216">
        <f>IF(AT49="통상",15,VLOOKUP(AD49,'[2]스케줄 분석_20260109'!$B$3:$P$20,10,FALSE))</f>
        <v>15</v>
      </c>
      <c r="BL49" s="216">
        <f>IF(AT49="통상",0,VLOOKUP(AD49,'[2]스케줄 분석_20260109'!$B$3:$P$20,11,FALSE))</f>
        <v>0</v>
      </c>
      <c r="BM49" s="215">
        <f t="shared" si="24"/>
        <v>388100</v>
      </c>
      <c r="BN49" s="175">
        <f t="shared" si="25"/>
        <v>0</v>
      </c>
      <c r="BO49" s="213">
        <v>200000</v>
      </c>
      <c r="BP49" s="175">
        <f>IF(OR(AT49="스케줄",AT49="스케줄_파라"),ROUNDUP(VLOOKUP(AD49,'[2]스케줄 분석_20260109'!$B$3:$Y$20,23,FALSE)*(VLOOKUP(AD49,'[2]스케줄 분석_20260109'!$B$3:$Y$20,21,FALSE)/VLOOKUP(AD49,'[2]스케줄 분석_20260109'!$B$3:$Y$20,20,FALSE))*VLOOKUP(AD49,'[2]스케줄 분석_20260109'!$B$3:$Y$20,22,FALSE)*VLOOKUP(AD49,'[2]스케줄 분석_20260109'!$B$3:$Y$20,2,FALSE)*1.5*BI49,0),0)</f>
        <v>0</v>
      </c>
      <c r="BQ49" s="217" t="str">
        <f t="shared" si="26"/>
        <v>적합</v>
      </c>
      <c r="BR49" s="213"/>
      <c r="BS49" s="218">
        <f t="shared" si="27"/>
        <v>689933.20000000007</v>
      </c>
      <c r="BT49" s="219">
        <f t="shared" si="28"/>
        <v>4050494.4333333331</v>
      </c>
      <c r="BU49" s="175">
        <f t="shared" si="29"/>
        <v>2162010</v>
      </c>
      <c r="BV49" s="175">
        <f t="shared" si="30"/>
        <v>1853884.8863999997</v>
      </c>
      <c r="BW49" s="175">
        <f t="shared" si="31"/>
        <v>705498</v>
      </c>
      <c r="BX49" s="175">
        <f t="shared" si="32"/>
        <v>300405.59999999998</v>
      </c>
      <c r="BY49" s="213">
        <f t="shared" si="20"/>
        <v>4991250</v>
      </c>
      <c r="BZ49" s="220">
        <f t="shared" si="33"/>
        <v>52656427.633333333</v>
      </c>
      <c r="CA49" s="213">
        <f t="shared" si="34"/>
        <v>5021798.4863999989</v>
      </c>
      <c r="CB49" s="221">
        <f t="shared" si="35"/>
        <v>59895000</v>
      </c>
      <c r="CC49" s="222">
        <f t="shared" si="36"/>
        <v>11637000</v>
      </c>
      <c r="CD49" s="223">
        <f t="shared" si="7"/>
        <v>16.268243583291394</v>
      </c>
      <c r="CK49" s="187"/>
      <c r="CL49" s="188"/>
    </row>
    <row r="50" spans="1:117" ht="17.25" customHeight="1">
      <c r="A50" s="23">
        <f t="shared" si="9"/>
        <v>47</v>
      </c>
      <c r="B50" s="23" t="s">
        <v>439</v>
      </c>
      <c r="C50" s="190">
        <v>2014072</v>
      </c>
      <c r="D50" s="194" t="s">
        <v>541</v>
      </c>
      <c r="E50" s="227" t="s">
        <v>896</v>
      </c>
      <c r="F50" s="227" t="s">
        <v>897</v>
      </c>
      <c r="G50" s="23" t="s">
        <v>476</v>
      </c>
      <c r="H50" s="227" t="s">
        <v>205</v>
      </c>
      <c r="I50" s="227" t="s">
        <v>206</v>
      </c>
      <c r="J50" s="194" t="s">
        <v>207</v>
      </c>
      <c r="K50" s="79" t="s">
        <v>233</v>
      </c>
      <c r="L50" s="227"/>
      <c r="M50" s="227" t="s">
        <v>898</v>
      </c>
      <c r="N50" s="228" t="s">
        <v>899</v>
      </c>
      <c r="O50" s="194" t="s">
        <v>900</v>
      </c>
      <c r="P50" s="229" t="s">
        <v>901</v>
      </c>
      <c r="Q50" s="214">
        <v>37257</v>
      </c>
      <c r="R50" s="214">
        <v>41365</v>
      </c>
      <c r="S50" s="214">
        <v>41640</v>
      </c>
      <c r="T50" s="231" t="s">
        <v>902</v>
      </c>
      <c r="U50" s="231" t="s">
        <v>159</v>
      </c>
      <c r="V50" s="201" t="s">
        <v>394</v>
      </c>
      <c r="W50" s="231" t="s">
        <v>187</v>
      </c>
      <c r="X50" s="200" t="s">
        <v>188</v>
      </c>
      <c r="Y50" s="200"/>
      <c r="Z50" s="203">
        <f t="shared" ca="1" si="21"/>
        <v>8904</v>
      </c>
      <c r="AA50" s="203">
        <f t="shared" ca="1" si="1"/>
        <v>4796</v>
      </c>
      <c r="AB50" s="232"/>
      <c r="AC50" s="232"/>
      <c r="AD50" s="78" t="s">
        <v>694</v>
      </c>
      <c r="AE50" s="78" t="s">
        <v>190</v>
      </c>
      <c r="AF50" s="78" t="s">
        <v>160</v>
      </c>
      <c r="AG50" s="78" t="s">
        <v>160</v>
      </c>
      <c r="AH50" s="23" t="s">
        <v>161</v>
      </c>
      <c r="AI50" s="23" t="s">
        <v>903</v>
      </c>
      <c r="AJ50" s="23" t="s">
        <v>633</v>
      </c>
      <c r="AK50" s="23" t="s">
        <v>505</v>
      </c>
      <c r="AL50" s="78" t="s">
        <v>891</v>
      </c>
      <c r="AM50" s="206" t="s">
        <v>904</v>
      </c>
      <c r="AN50" s="207" t="s">
        <v>905</v>
      </c>
      <c r="AO50" s="78" t="s">
        <v>166</v>
      </c>
      <c r="AP50" s="78" t="s">
        <v>906</v>
      </c>
      <c r="AQ50" s="201" t="s">
        <v>668</v>
      </c>
      <c r="AR50" s="201" t="s">
        <v>907</v>
      </c>
      <c r="AS50" s="209" t="s">
        <v>488</v>
      </c>
      <c r="AT50" s="23" t="s">
        <v>201</v>
      </c>
      <c r="AU50" s="23" t="s">
        <v>435</v>
      </c>
      <c r="AV50" s="210" t="s">
        <v>454</v>
      </c>
      <c r="AW50" s="211">
        <v>5517000</v>
      </c>
      <c r="AX50" s="175">
        <v>5517000</v>
      </c>
      <c r="AY50" s="212">
        <v>12</v>
      </c>
      <c r="AZ50" s="213">
        <f t="shared" si="2"/>
        <v>66204000</v>
      </c>
      <c r="BA50" s="213"/>
      <c r="BB50" s="213"/>
      <c r="BC50" s="214">
        <v>45839</v>
      </c>
      <c r="BD50" s="235">
        <v>43248000</v>
      </c>
      <c r="BE50" s="215">
        <v>44292000</v>
      </c>
      <c r="BF50" s="215">
        <f t="shared" si="22"/>
        <v>44292000</v>
      </c>
      <c r="BG50" s="215">
        <f t="shared" si="23"/>
        <v>3691000</v>
      </c>
      <c r="BH50" s="215">
        <v>3132200</v>
      </c>
      <c r="BI50" s="216">
        <f t="shared" si="37"/>
        <v>15943.54</v>
      </c>
      <c r="BJ50" s="216">
        <f>IF(AT50="통상",209,VLOOKUP(AD50,'[2]스케줄 분석_20260109'!$B$3:$F$20,5,FALSE))</f>
        <v>209</v>
      </c>
      <c r="BK50" s="216">
        <f>IF(AT50="통상",15,VLOOKUP(AD50,'[2]스케줄 분석_20260109'!$B$3:$P$20,10,FALSE))</f>
        <v>15</v>
      </c>
      <c r="BL50" s="216">
        <f>IF(AT50="통상",0,VLOOKUP(AD50,'[2]스케줄 분석_20260109'!$B$3:$P$20,11,FALSE))</f>
        <v>0</v>
      </c>
      <c r="BM50" s="215">
        <f t="shared" si="24"/>
        <v>358800</v>
      </c>
      <c r="BN50" s="175">
        <f t="shared" si="25"/>
        <v>0</v>
      </c>
      <c r="BO50" s="213">
        <v>200000</v>
      </c>
      <c r="BP50" s="175">
        <f>IF(OR(AT50="스케줄",AT50="스케줄_파라"),ROUNDUP(VLOOKUP(AD50,'[2]스케줄 분석_20260109'!$B$3:$Y$20,23,FALSE)*(VLOOKUP(AD50,'[2]스케줄 분석_20260109'!$B$3:$Y$20,21,FALSE)/VLOOKUP(AD50,'[2]스케줄 분석_20260109'!$B$3:$Y$20,20,FALSE))*VLOOKUP(AD50,'[2]스케줄 분석_20260109'!$B$3:$Y$20,22,FALSE)*VLOOKUP(AD50,'[2]스케줄 분석_20260109'!$B$3:$Y$20,2,FALSE)*1.5*BI50,0),0)</f>
        <v>0</v>
      </c>
      <c r="BQ50" s="217" t="str">
        <f t="shared" si="26"/>
        <v>적합</v>
      </c>
      <c r="BR50" s="213"/>
      <c r="BS50" s="218">
        <f t="shared" si="27"/>
        <v>637741.60000000009</v>
      </c>
      <c r="BT50" s="219">
        <f t="shared" si="28"/>
        <v>3744145.1333333333</v>
      </c>
      <c r="BU50" s="175">
        <f t="shared" si="29"/>
        <v>1989870</v>
      </c>
      <c r="BV50" s="175">
        <f t="shared" si="30"/>
        <v>1706277.9168</v>
      </c>
      <c r="BW50" s="175">
        <f t="shared" si="31"/>
        <v>649326</v>
      </c>
      <c r="BX50" s="175">
        <f t="shared" si="32"/>
        <v>276487.2</v>
      </c>
      <c r="BY50" s="213">
        <f t="shared" si="20"/>
        <v>4613750</v>
      </c>
      <c r="BZ50" s="220">
        <f t="shared" si="33"/>
        <v>48673886.733333334</v>
      </c>
      <c r="CA50" s="213">
        <f t="shared" si="34"/>
        <v>4621961.1168</v>
      </c>
      <c r="CB50" s="221">
        <f t="shared" si="35"/>
        <v>55365000</v>
      </c>
      <c r="CC50" s="222">
        <f t="shared" si="36"/>
        <v>10839000</v>
      </c>
      <c r="CD50" s="223">
        <f t="shared" si="7"/>
        <v>16.372122530360702</v>
      </c>
      <c r="CE50" s="245"/>
      <c r="CF50" s="245"/>
      <c r="CG50" s="246"/>
      <c r="CH50" s="246"/>
      <c r="CI50" s="111"/>
      <c r="CK50" s="187"/>
      <c r="CL50" s="188"/>
    </row>
    <row r="51" spans="1:117" ht="17.25" customHeight="1">
      <c r="A51" s="23">
        <f t="shared" si="9"/>
        <v>48</v>
      </c>
      <c r="B51" s="23" t="s">
        <v>439</v>
      </c>
      <c r="C51" s="190">
        <v>2014075</v>
      </c>
      <c r="D51" s="194" t="s">
        <v>561</v>
      </c>
      <c r="E51" s="250" t="s">
        <v>908</v>
      </c>
      <c r="F51" s="227" t="s">
        <v>909</v>
      </c>
      <c r="G51" s="23" t="s">
        <v>441</v>
      </c>
      <c r="H51" s="227" t="s">
        <v>544</v>
      </c>
      <c r="I51" s="227" t="s">
        <v>443</v>
      </c>
      <c r="J51" s="194" t="s">
        <v>178</v>
      </c>
      <c r="K51" s="79" t="s">
        <v>627</v>
      </c>
      <c r="L51" s="227"/>
      <c r="M51" s="227" t="s">
        <v>910</v>
      </c>
      <c r="N51" s="228" t="s">
        <v>911</v>
      </c>
      <c r="O51" s="194" t="s">
        <v>912</v>
      </c>
      <c r="P51" s="239" t="s">
        <v>913</v>
      </c>
      <c r="Q51" s="214">
        <v>37865</v>
      </c>
      <c r="R51" s="214">
        <v>41470</v>
      </c>
      <c r="S51" s="214">
        <v>41640</v>
      </c>
      <c r="T51" s="231" t="s">
        <v>914</v>
      </c>
      <c r="U51" s="231" t="s">
        <v>915</v>
      </c>
      <c r="V51" s="201" t="s">
        <v>394</v>
      </c>
      <c r="W51" s="231" t="s">
        <v>916</v>
      </c>
      <c r="X51" s="201" t="s">
        <v>917</v>
      </c>
      <c r="Y51" s="201" t="s">
        <v>918</v>
      </c>
      <c r="Z51" s="203">
        <f t="shared" ca="1" si="21"/>
        <v>8296</v>
      </c>
      <c r="AA51" s="203">
        <f t="shared" ca="1" si="1"/>
        <v>4691</v>
      </c>
      <c r="AB51" s="232"/>
      <c r="AC51" s="232"/>
      <c r="AD51" s="78" t="s">
        <v>189</v>
      </c>
      <c r="AE51" s="78" t="s">
        <v>190</v>
      </c>
      <c r="AF51" s="78" t="s">
        <v>191</v>
      </c>
      <c r="AG51" s="78" t="s">
        <v>191</v>
      </c>
      <c r="AH51" s="23" t="s">
        <v>161</v>
      </c>
      <c r="AI51" s="23" t="s">
        <v>192</v>
      </c>
      <c r="AJ51" s="23" t="s">
        <v>569</v>
      </c>
      <c r="AK51" s="233" t="s">
        <v>193</v>
      </c>
      <c r="AL51" s="78" t="s">
        <v>570</v>
      </c>
      <c r="AM51" s="206" t="s">
        <v>919</v>
      </c>
      <c r="AN51" s="207" t="s">
        <v>920</v>
      </c>
      <c r="AO51" s="78" t="s">
        <v>197</v>
      </c>
      <c r="AP51" s="78" t="s">
        <v>780</v>
      </c>
      <c r="AQ51" s="201" t="s">
        <v>921</v>
      </c>
      <c r="AS51" s="209" t="s">
        <v>200</v>
      </c>
      <c r="AT51" s="23" t="s">
        <v>201</v>
      </c>
      <c r="AU51" s="23" t="s">
        <v>435</v>
      </c>
      <c r="AV51" s="210" t="s">
        <v>454</v>
      </c>
      <c r="AW51" s="211">
        <v>7144000</v>
      </c>
      <c r="AX51" s="175">
        <v>7144000</v>
      </c>
      <c r="AY51" s="212">
        <v>12</v>
      </c>
      <c r="AZ51" s="213">
        <f t="shared" si="2"/>
        <v>85728000</v>
      </c>
      <c r="BA51" s="234"/>
      <c r="BB51" s="234"/>
      <c r="BC51" s="214">
        <v>45839</v>
      </c>
      <c r="BD51" s="235">
        <v>63600000</v>
      </c>
      <c r="BE51" s="215">
        <v>64200000</v>
      </c>
      <c r="BF51" s="215">
        <f t="shared" si="22"/>
        <v>64200000</v>
      </c>
      <c r="BG51" s="215">
        <f t="shared" si="23"/>
        <v>5350000</v>
      </c>
      <c r="BH51" s="215">
        <v>4630000</v>
      </c>
      <c r="BI51" s="216">
        <f t="shared" si="37"/>
        <v>23110.05</v>
      </c>
      <c r="BJ51" s="216">
        <f>IF(AT51="통상",209,VLOOKUP(AD51,'[2]스케줄 분석_20260109'!$B$3:$F$20,5,FALSE))</f>
        <v>209</v>
      </c>
      <c r="BK51" s="216">
        <f>IF(AT51="통상",15,VLOOKUP(AD51,'[2]스케줄 분석_20260109'!$B$3:$P$20,10,FALSE))</f>
        <v>15</v>
      </c>
      <c r="BL51" s="216">
        <f>IF(AT51="통상",0,VLOOKUP(AD51,'[2]스케줄 분석_20260109'!$B$3:$P$20,11,FALSE))</f>
        <v>0</v>
      </c>
      <c r="BM51" s="215">
        <f t="shared" si="24"/>
        <v>520000</v>
      </c>
      <c r="BN51" s="175">
        <f t="shared" si="25"/>
        <v>0</v>
      </c>
      <c r="BO51" s="213">
        <v>200000</v>
      </c>
      <c r="BP51" s="175">
        <f>IF(OR(AT51="스케줄",AT51="스케줄_파라"),ROUNDUP(VLOOKUP(AD51,'[2]스케줄 분석_20260109'!$B$3:$Y$20,23,FALSE)*(VLOOKUP(AD51,'[2]스케줄 분석_20260109'!$B$3:$Y$20,21,FALSE)/VLOOKUP(AD51,'[2]스케줄 분석_20260109'!$B$3:$Y$20,20,FALSE))*VLOOKUP(AD51,'[2]스케줄 분석_20260109'!$B$3:$Y$20,22,FALSE)*VLOOKUP(AD51,'[2]스케줄 분석_20260109'!$B$3:$Y$20,2,FALSE)*1.5*BI51,0),0)</f>
        <v>0</v>
      </c>
      <c r="BQ51" s="217" t="str">
        <f t="shared" si="26"/>
        <v>적합</v>
      </c>
      <c r="BR51" s="213"/>
      <c r="BS51" s="218">
        <f t="shared" si="27"/>
        <v>924402</v>
      </c>
      <c r="BT51" s="219">
        <f t="shared" si="28"/>
        <v>5427033.5</v>
      </c>
      <c r="BU51" s="175">
        <f t="shared" si="29"/>
        <v>2935500</v>
      </c>
      <c r="BV51" s="175">
        <f t="shared" si="30"/>
        <v>2517138.7199999997</v>
      </c>
      <c r="BW51" s="175">
        <f t="shared" si="31"/>
        <v>957900</v>
      </c>
      <c r="BX51" s="175">
        <f t="shared" si="32"/>
        <v>407880</v>
      </c>
      <c r="BY51" s="213">
        <f t="shared" si="20"/>
        <v>6687500</v>
      </c>
      <c r="BZ51" s="220">
        <f t="shared" si="33"/>
        <v>70551435.5</v>
      </c>
      <c r="CA51" s="213">
        <f t="shared" si="34"/>
        <v>6818418.7199999997</v>
      </c>
      <c r="CB51" s="221">
        <f t="shared" si="35"/>
        <v>80250000</v>
      </c>
      <c r="CC51" s="222">
        <f t="shared" si="36"/>
        <v>5478000</v>
      </c>
      <c r="CD51" s="223">
        <f t="shared" si="7"/>
        <v>6.3899776035834268</v>
      </c>
      <c r="CK51" s="187"/>
      <c r="CL51" s="188"/>
    </row>
    <row r="52" spans="1:117" ht="17.25" customHeight="1">
      <c r="A52" s="23">
        <f t="shared" si="9"/>
        <v>49</v>
      </c>
      <c r="B52" s="23" t="s">
        <v>439</v>
      </c>
      <c r="C52" s="190">
        <v>2014084</v>
      </c>
      <c r="D52" s="194" t="s">
        <v>490</v>
      </c>
      <c r="E52" s="227" t="s">
        <v>922</v>
      </c>
      <c r="F52" s="227" t="s">
        <v>923</v>
      </c>
      <c r="G52" s="23" t="s">
        <v>251</v>
      </c>
      <c r="H52" s="238" t="s">
        <v>272</v>
      </c>
      <c r="I52" s="227" t="s">
        <v>151</v>
      </c>
      <c r="J52" s="194" t="s">
        <v>207</v>
      </c>
      <c r="K52" s="79" t="s">
        <v>641</v>
      </c>
      <c r="L52" s="227"/>
      <c r="M52" s="227" t="s">
        <v>924</v>
      </c>
      <c r="N52" s="228" t="s">
        <v>925</v>
      </c>
      <c r="O52" s="194" t="s">
        <v>926</v>
      </c>
      <c r="P52" s="229" t="s">
        <v>927</v>
      </c>
      <c r="Q52" s="214">
        <v>37316</v>
      </c>
      <c r="R52" s="214">
        <v>40634</v>
      </c>
      <c r="S52" s="214">
        <v>41640</v>
      </c>
      <c r="T52" s="231" t="s">
        <v>928</v>
      </c>
      <c r="U52" s="200"/>
      <c r="V52" s="201" t="s">
        <v>278</v>
      </c>
      <c r="W52" s="200"/>
      <c r="X52" s="200"/>
      <c r="Y52" s="200"/>
      <c r="Z52" s="203">
        <f t="shared" ca="1" si="21"/>
        <v>8845</v>
      </c>
      <c r="AA52" s="203">
        <f t="shared" ca="1" si="1"/>
        <v>5527</v>
      </c>
      <c r="AB52" s="232"/>
      <c r="AC52" s="232"/>
      <c r="AD52" s="78" t="s">
        <v>890</v>
      </c>
      <c r="AE52" s="78" t="s">
        <v>190</v>
      </c>
      <c r="AF52" s="78" t="s">
        <v>218</v>
      </c>
      <c r="AG52" s="78" t="s">
        <v>218</v>
      </c>
      <c r="AH52" s="23" t="s">
        <v>161</v>
      </c>
      <c r="AI52" s="23" t="s">
        <v>503</v>
      </c>
      <c r="AJ52" s="23" t="s">
        <v>504</v>
      </c>
      <c r="AK52" s="23" t="s">
        <v>505</v>
      </c>
      <c r="AL52" s="78" t="s">
        <v>929</v>
      </c>
      <c r="AM52" s="206" t="s">
        <v>930</v>
      </c>
      <c r="AN52" s="207" t="s">
        <v>931</v>
      </c>
      <c r="AO52" s="78" t="s">
        <v>222</v>
      </c>
      <c r="AP52" s="78" t="s">
        <v>894</v>
      </c>
      <c r="AQ52" s="201" t="s">
        <v>638</v>
      </c>
      <c r="AR52" s="201" t="s">
        <v>654</v>
      </c>
      <c r="AS52" s="209" t="s">
        <v>226</v>
      </c>
      <c r="AT52" s="23" t="s">
        <v>201</v>
      </c>
      <c r="AU52" s="23" t="s">
        <v>435</v>
      </c>
      <c r="AV52" s="210" t="s">
        <v>454</v>
      </c>
      <c r="AW52" s="211">
        <v>4928000</v>
      </c>
      <c r="AX52" s="175">
        <v>4928000</v>
      </c>
      <c r="AY52" s="212">
        <v>12</v>
      </c>
      <c r="AZ52" s="213">
        <f t="shared" si="2"/>
        <v>59136000</v>
      </c>
      <c r="BA52" s="213"/>
      <c r="BB52" s="213"/>
      <c r="BC52" s="214">
        <v>45839</v>
      </c>
      <c r="BD52" s="235">
        <v>40308000</v>
      </c>
      <c r="BE52" s="215">
        <v>41232000</v>
      </c>
      <c r="BF52" s="215">
        <f t="shared" si="22"/>
        <v>41232000</v>
      </c>
      <c r="BG52" s="215">
        <f t="shared" si="23"/>
        <v>3436000</v>
      </c>
      <c r="BH52" s="215">
        <v>2902000</v>
      </c>
      <c r="BI52" s="216">
        <f t="shared" si="37"/>
        <v>14842.11</v>
      </c>
      <c r="BJ52" s="216">
        <f>IF(AT52="통상",209,VLOOKUP(AD52,'[2]스케줄 분석_20260109'!$B$3:$F$20,5,FALSE))</f>
        <v>209</v>
      </c>
      <c r="BK52" s="216">
        <f>IF(AT52="통상",15,VLOOKUP(AD52,'[2]스케줄 분석_20260109'!$B$3:$P$20,10,FALSE))</f>
        <v>15</v>
      </c>
      <c r="BL52" s="216">
        <f>IF(AT52="통상",0,VLOOKUP(AD52,'[2]스케줄 분석_20260109'!$B$3:$P$20,11,FALSE))</f>
        <v>0</v>
      </c>
      <c r="BM52" s="215">
        <f t="shared" si="24"/>
        <v>334000</v>
      </c>
      <c r="BN52" s="175">
        <f t="shared" si="25"/>
        <v>0</v>
      </c>
      <c r="BO52" s="213">
        <v>200000</v>
      </c>
      <c r="BP52" s="175">
        <f>IF(OR(AT52="스케줄",AT52="스케줄_파라"),ROUNDUP(VLOOKUP(AD52,'[2]스케줄 분석_20260109'!$B$3:$Y$20,23,FALSE)*(VLOOKUP(AD52,'[2]스케줄 분석_20260109'!$B$3:$Y$20,21,FALSE)/VLOOKUP(AD52,'[2]스케줄 분석_20260109'!$B$3:$Y$20,20,FALSE))*VLOOKUP(AD52,'[2]스케줄 분석_20260109'!$B$3:$Y$20,22,FALSE)*VLOOKUP(AD52,'[2]스케줄 분석_20260109'!$B$3:$Y$20,2,FALSE)*1.5*BI52,0),0)</f>
        <v>0</v>
      </c>
      <c r="BQ52" s="217" t="str">
        <f t="shared" si="26"/>
        <v>적합</v>
      </c>
      <c r="BR52" s="213"/>
      <c r="BS52" s="218">
        <f t="shared" si="27"/>
        <v>593684.4</v>
      </c>
      <c r="BT52" s="219">
        <f t="shared" si="28"/>
        <v>3485473.7</v>
      </c>
      <c r="BU52" s="175">
        <f t="shared" si="29"/>
        <v>1844520</v>
      </c>
      <c r="BV52" s="175">
        <f t="shared" si="30"/>
        <v>1581642.8928</v>
      </c>
      <c r="BW52" s="175">
        <f t="shared" si="31"/>
        <v>601896</v>
      </c>
      <c r="BX52" s="175">
        <f t="shared" si="32"/>
        <v>256291.20000000001</v>
      </c>
      <c r="BY52" s="213">
        <f t="shared" si="20"/>
        <v>4295000</v>
      </c>
      <c r="BZ52" s="220">
        <f t="shared" si="33"/>
        <v>45311158.100000001</v>
      </c>
      <c r="CA52" s="213">
        <f t="shared" si="34"/>
        <v>4284350.0927999998</v>
      </c>
      <c r="CB52" s="221">
        <f t="shared" si="35"/>
        <v>51540000</v>
      </c>
      <c r="CC52" s="222">
        <f t="shared" si="36"/>
        <v>7596000</v>
      </c>
      <c r="CD52" s="223">
        <f t="shared" si="7"/>
        <v>12.844967532467532</v>
      </c>
      <c r="CK52" s="187"/>
      <c r="CL52" s="188"/>
    </row>
    <row r="53" spans="1:117" ht="17.25" customHeight="1">
      <c r="A53" s="23">
        <f t="shared" si="9"/>
        <v>50</v>
      </c>
      <c r="B53" s="23" t="s">
        <v>439</v>
      </c>
      <c r="C53" s="190">
        <v>2014092</v>
      </c>
      <c r="D53" s="194" t="s">
        <v>511</v>
      </c>
      <c r="E53" s="227" t="s">
        <v>639</v>
      </c>
      <c r="F53" s="227" t="s">
        <v>932</v>
      </c>
      <c r="G53" s="23" t="s">
        <v>825</v>
      </c>
      <c r="H53" s="227" t="s">
        <v>150</v>
      </c>
      <c r="I53" s="227" t="s">
        <v>206</v>
      </c>
      <c r="J53" s="194" t="s">
        <v>207</v>
      </c>
      <c r="K53" s="79" t="s">
        <v>641</v>
      </c>
      <c r="L53" s="227" t="s">
        <v>933</v>
      </c>
      <c r="M53" s="227" t="s">
        <v>934</v>
      </c>
      <c r="N53" s="228" t="s">
        <v>935</v>
      </c>
      <c r="O53" t="s">
        <v>936</v>
      </c>
      <c r="P53" s="229" t="s">
        <v>937</v>
      </c>
      <c r="Q53" s="214">
        <v>37316</v>
      </c>
      <c r="R53" s="214">
        <v>41050</v>
      </c>
      <c r="S53" s="214">
        <v>41640</v>
      </c>
      <c r="T53" s="231" t="s">
        <v>938</v>
      </c>
      <c r="U53" s="200"/>
      <c r="V53" s="201" t="s">
        <v>278</v>
      </c>
      <c r="W53" s="231" t="s">
        <v>607</v>
      </c>
      <c r="X53" s="200" t="s">
        <v>939</v>
      </c>
      <c r="Y53" s="200" t="s">
        <v>940</v>
      </c>
      <c r="Z53" s="203">
        <f t="shared" ca="1" si="21"/>
        <v>8845</v>
      </c>
      <c r="AA53" s="203">
        <f t="shared" ca="1" si="1"/>
        <v>5111</v>
      </c>
      <c r="AB53" s="232"/>
      <c r="AC53" s="232"/>
      <c r="AD53" s="78" t="s">
        <v>648</v>
      </c>
      <c r="AE53" s="78" t="s">
        <v>217</v>
      </c>
      <c r="AF53" s="78" t="s">
        <v>218</v>
      </c>
      <c r="AG53" s="78" t="s">
        <v>218</v>
      </c>
      <c r="AH53" s="23" t="s">
        <v>161</v>
      </c>
      <c r="AI53" s="23" t="s">
        <v>649</v>
      </c>
      <c r="AJ53" s="23" t="s">
        <v>650</v>
      </c>
      <c r="AK53" s="23">
        <v>16336</v>
      </c>
      <c r="AL53" s="78" t="s">
        <v>941</v>
      </c>
      <c r="AM53" s="206" t="s">
        <v>942</v>
      </c>
      <c r="AN53" s="207" t="s">
        <v>943</v>
      </c>
      <c r="AO53" s="78" t="s">
        <v>524</v>
      </c>
      <c r="AP53" s="78" t="s">
        <v>653</v>
      </c>
      <c r="AQ53" s="201" t="s">
        <v>638</v>
      </c>
      <c r="AR53" s="201" t="s">
        <v>654</v>
      </c>
      <c r="AS53" s="209" t="s">
        <v>526</v>
      </c>
      <c r="AT53" s="23" t="s">
        <v>201</v>
      </c>
      <c r="AU53" s="23" t="s">
        <v>435</v>
      </c>
      <c r="AV53" s="210" t="s">
        <v>454</v>
      </c>
      <c r="AW53" s="211">
        <v>5816000</v>
      </c>
      <c r="AX53" s="175">
        <v>5816000</v>
      </c>
      <c r="AY53" s="212">
        <v>12</v>
      </c>
      <c r="AZ53" s="213">
        <f t="shared" si="2"/>
        <v>69792000</v>
      </c>
      <c r="BA53" s="213"/>
      <c r="BB53" s="213"/>
      <c r="BC53" s="214">
        <v>45839</v>
      </c>
      <c r="BD53" s="235">
        <v>48408000</v>
      </c>
      <c r="BE53" s="215">
        <v>49512000</v>
      </c>
      <c r="BF53" s="215">
        <f t="shared" si="22"/>
        <v>49512000</v>
      </c>
      <c r="BG53" s="215">
        <f t="shared" si="23"/>
        <v>4126000</v>
      </c>
      <c r="BH53" s="215">
        <v>3524900</v>
      </c>
      <c r="BI53" s="216">
        <f t="shared" si="37"/>
        <v>17822.490000000002</v>
      </c>
      <c r="BJ53" s="216">
        <f>IF(AT53="통상",209,VLOOKUP(AD53,'[2]스케줄 분석_20260109'!$B$3:$F$20,5,FALSE))</f>
        <v>209</v>
      </c>
      <c r="BK53" s="216">
        <f>IF(AT53="통상",15,VLOOKUP(AD53,'[2]스케줄 분석_20260109'!$B$3:$P$20,10,FALSE))</f>
        <v>15</v>
      </c>
      <c r="BL53" s="216">
        <f>IF(AT53="통상",0,VLOOKUP(AD53,'[2]스케줄 분석_20260109'!$B$3:$P$20,11,FALSE))</f>
        <v>0</v>
      </c>
      <c r="BM53" s="215">
        <f t="shared" si="24"/>
        <v>401100</v>
      </c>
      <c r="BN53" s="175">
        <f t="shared" si="25"/>
        <v>0</v>
      </c>
      <c r="BO53" s="213">
        <v>200000</v>
      </c>
      <c r="BP53" s="175">
        <f>IF(OR(AT53="스케줄",AT53="스케줄_파라"),ROUNDUP(VLOOKUP(AD53,'[2]스케줄 분석_20260109'!$B$3:$Y$20,23,FALSE)*(VLOOKUP(AD53,'[2]스케줄 분석_20260109'!$B$3:$Y$20,21,FALSE)/VLOOKUP(AD53,'[2]스케줄 분석_20260109'!$B$3:$Y$20,20,FALSE))*VLOOKUP(AD53,'[2]스케줄 분석_20260109'!$B$3:$Y$20,22,FALSE)*VLOOKUP(AD53,'[2]스케줄 분석_20260109'!$B$3:$Y$20,2,FALSE)*1.5*BI53,0),0)</f>
        <v>0</v>
      </c>
      <c r="BQ53" s="217" t="str">
        <f t="shared" si="26"/>
        <v>적합</v>
      </c>
      <c r="BR53" s="213"/>
      <c r="BS53" s="218">
        <f t="shared" si="27"/>
        <v>712899.60000000009</v>
      </c>
      <c r="BT53" s="219">
        <f t="shared" si="28"/>
        <v>4185408.3</v>
      </c>
      <c r="BU53" s="175">
        <f t="shared" si="29"/>
        <v>2237820</v>
      </c>
      <c r="BV53" s="175">
        <f t="shared" si="30"/>
        <v>1918890.6047999996</v>
      </c>
      <c r="BW53" s="175">
        <f t="shared" si="31"/>
        <v>730236</v>
      </c>
      <c r="BX53" s="175">
        <f t="shared" si="32"/>
        <v>310939.2</v>
      </c>
      <c r="BY53" s="213">
        <f t="shared" si="20"/>
        <v>5157500</v>
      </c>
      <c r="BZ53" s="220">
        <f t="shared" si="33"/>
        <v>54410307.899999999</v>
      </c>
      <c r="CA53" s="213">
        <f t="shared" si="34"/>
        <v>5197885.8048</v>
      </c>
      <c r="CB53" s="221">
        <f t="shared" si="35"/>
        <v>61890000</v>
      </c>
      <c r="CC53" s="222">
        <f t="shared" si="36"/>
        <v>7902000</v>
      </c>
      <c r="CD53" s="223">
        <f t="shared" si="7"/>
        <v>11.322214580467675</v>
      </c>
      <c r="CK53" s="187"/>
      <c r="CL53" s="188"/>
    </row>
    <row r="54" spans="1:117" s="77" customFormat="1" ht="17.25" customHeight="1">
      <c r="A54" s="23">
        <f t="shared" si="9"/>
        <v>51</v>
      </c>
      <c r="B54" s="23" t="s">
        <v>439</v>
      </c>
      <c r="C54" s="190">
        <v>2014098</v>
      </c>
      <c r="D54" s="194" t="s">
        <v>561</v>
      </c>
      <c r="E54" s="227" t="s">
        <v>174</v>
      </c>
      <c r="F54" s="227" t="s">
        <v>944</v>
      </c>
      <c r="G54" s="23" t="s">
        <v>176</v>
      </c>
      <c r="H54" s="227" t="s">
        <v>826</v>
      </c>
      <c r="I54" s="227" t="s">
        <v>741</v>
      </c>
      <c r="J54" s="194" t="s">
        <v>178</v>
      </c>
      <c r="K54" s="79" t="s">
        <v>233</v>
      </c>
      <c r="L54" s="227"/>
      <c r="M54" s="227" t="s">
        <v>945</v>
      </c>
      <c r="N54" s="228" t="s">
        <v>946</v>
      </c>
      <c r="O54" s="241" t="s">
        <v>947</v>
      </c>
      <c r="P54" s="239" t="s">
        <v>948</v>
      </c>
      <c r="Q54" s="214">
        <v>40087</v>
      </c>
      <c r="R54" s="214">
        <v>41091</v>
      </c>
      <c r="S54" s="214">
        <v>41640</v>
      </c>
      <c r="T54" s="231" t="s">
        <v>949</v>
      </c>
      <c r="U54" s="201"/>
      <c r="V54" s="201" t="s">
        <v>394</v>
      </c>
      <c r="W54" s="231" t="s">
        <v>188</v>
      </c>
      <c r="X54" s="201" t="s">
        <v>498</v>
      </c>
      <c r="Y54" s="201"/>
      <c r="Z54" s="203">
        <f t="shared" ca="1" si="21"/>
        <v>6074</v>
      </c>
      <c r="AA54" s="203">
        <f t="shared" ca="1" si="1"/>
        <v>5070</v>
      </c>
      <c r="AB54" s="232"/>
      <c r="AC54" s="232"/>
      <c r="AD54" s="78" t="s">
        <v>950</v>
      </c>
      <c r="AE54" s="78" t="s">
        <v>833</v>
      </c>
      <c r="AF54" s="78" t="s">
        <v>191</v>
      </c>
      <c r="AG54" s="78" t="s">
        <v>191</v>
      </c>
      <c r="AH54" s="23" t="s">
        <v>161</v>
      </c>
      <c r="AI54" s="23" t="s">
        <v>951</v>
      </c>
      <c r="AJ54" s="23" t="s">
        <v>569</v>
      </c>
      <c r="AK54" s="23">
        <v>41940</v>
      </c>
      <c r="AL54" s="78" t="s">
        <v>952</v>
      </c>
      <c r="AM54" s="206" t="s">
        <v>953</v>
      </c>
      <c r="AN54" s="207" t="s">
        <v>954</v>
      </c>
      <c r="AO54" s="78" t="s">
        <v>197</v>
      </c>
      <c r="AP54" s="78" t="s">
        <v>198</v>
      </c>
      <c r="AQ54" s="201" t="s">
        <v>955</v>
      </c>
      <c r="AR54" s="201"/>
      <c r="AS54" s="209" t="s">
        <v>200</v>
      </c>
      <c r="AT54" s="23" t="s">
        <v>201</v>
      </c>
      <c r="AU54" s="23" t="s">
        <v>435</v>
      </c>
      <c r="AV54" s="210" t="s">
        <v>454</v>
      </c>
      <c r="AW54" s="211">
        <v>3992000</v>
      </c>
      <c r="AX54" s="175">
        <v>3992000</v>
      </c>
      <c r="AY54" s="212">
        <v>12</v>
      </c>
      <c r="AZ54" s="213">
        <f t="shared" si="2"/>
        <v>47904000</v>
      </c>
      <c r="BA54" s="78"/>
      <c r="BB54" s="78"/>
      <c r="BC54" s="214">
        <v>45839</v>
      </c>
      <c r="BD54" s="235">
        <v>36084000</v>
      </c>
      <c r="BE54" s="215">
        <v>36840000</v>
      </c>
      <c r="BF54" s="215">
        <f t="shared" si="22"/>
        <v>36840000</v>
      </c>
      <c r="BG54" s="215">
        <f t="shared" si="23"/>
        <v>3070000</v>
      </c>
      <c r="BH54" s="215">
        <v>2571600</v>
      </c>
      <c r="BI54" s="216">
        <f t="shared" si="37"/>
        <v>13261.24</v>
      </c>
      <c r="BJ54" s="216">
        <f>IF(AT54="통상",209,VLOOKUP(AD54,'[2]스케줄 분석_20260109'!$B$3:$F$20,5,FALSE))</f>
        <v>209</v>
      </c>
      <c r="BK54" s="216">
        <f>IF(AT54="통상",15,VLOOKUP(AD54,'[2]스케줄 분석_20260109'!$B$3:$P$20,10,FALSE))</f>
        <v>15</v>
      </c>
      <c r="BL54" s="216">
        <f>IF(AT54="통상",0,VLOOKUP(AD54,'[2]스케줄 분석_20260109'!$B$3:$P$20,11,FALSE))</f>
        <v>0</v>
      </c>
      <c r="BM54" s="215">
        <f t="shared" si="24"/>
        <v>298400</v>
      </c>
      <c r="BN54" s="175">
        <f t="shared" si="25"/>
        <v>0</v>
      </c>
      <c r="BO54" s="213">
        <v>200000</v>
      </c>
      <c r="BP54" s="175">
        <f>IF(OR(AT54="스케줄",AT54="스케줄_파라"),ROUNDUP(VLOOKUP(AD54,'[2]스케줄 분석_20260109'!$B$3:$Y$20,23,FALSE)*(VLOOKUP(AD54,'[2]스케줄 분석_20260109'!$B$3:$Y$20,21,FALSE)/VLOOKUP(AD54,'[2]스케줄 분석_20260109'!$B$3:$Y$20,20,FALSE))*VLOOKUP(AD54,'[2]스케줄 분석_20260109'!$B$3:$Y$20,22,FALSE)*VLOOKUP(AD54,'[2]스케줄 분석_20260109'!$B$3:$Y$20,2,FALSE)*1.5*BI54,0),0)</f>
        <v>0</v>
      </c>
      <c r="BQ54" s="217" t="str">
        <f t="shared" si="26"/>
        <v>적합</v>
      </c>
      <c r="BR54" s="213"/>
      <c r="BS54" s="218">
        <f t="shared" si="27"/>
        <v>530449.6</v>
      </c>
      <c r="BT54" s="219">
        <f t="shared" si="28"/>
        <v>3114204.1333333333</v>
      </c>
      <c r="BU54" s="175">
        <f t="shared" si="29"/>
        <v>1635900</v>
      </c>
      <c r="BV54" s="175">
        <f t="shared" si="30"/>
        <v>1402754.976</v>
      </c>
      <c r="BW54" s="175">
        <f t="shared" si="31"/>
        <v>533820</v>
      </c>
      <c r="BX54" s="175">
        <f t="shared" si="32"/>
        <v>227304</v>
      </c>
      <c r="BY54" s="213">
        <f t="shared" si="20"/>
        <v>3837500</v>
      </c>
      <c r="BZ54" s="220">
        <f t="shared" si="33"/>
        <v>40484653.733333334</v>
      </c>
      <c r="CA54" s="213">
        <f t="shared" si="34"/>
        <v>3799778.9759999998</v>
      </c>
      <c r="CB54" s="221">
        <f t="shared" si="35"/>
        <v>46050000</v>
      </c>
      <c r="CC54" s="222">
        <f t="shared" si="36"/>
        <v>1854000</v>
      </c>
      <c r="CD54" s="223">
        <f t="shared" si="7"/>
        <v>3.8702404809619235</v>
      </c>
      <c r="CG54" s="23"/>
      <c r="CH54" s="23"/>
      <c r="CI54" s="78"/>
      <c r="CJ54" s="78"/>
      <c r="CK54" s="187"/>
      <c r="CL54" s="188"/>
      <c r="CM54" s="78"/>
      <c r="CN54" s="78"/>
      <c r="CO54" s="78"/>
      <c r="CP54" s="78"/>
      <c r="CQ54" s="78"/>
      <c r="CR54" s="78"/>
      <c r="CS54" s="78"/>
      <c r="CT54" s="78"/>
      <c r="CU54" s="78"/>
      <c r="CV54" s="78"/>
      <c r="CW54" s="78"/>
      <c r="CX54" s="78"/>
      <c r="CY54" s="78"/>
      <c r="CZ54" s="78"/>
      <c r="DA54" s="78"/>
      <c r="DB54" s="78"/>
      <c r="DC54" s="78"/>
      <c r="DD54" s="78"/>
      <c r="DE54" s="78"/>
      <c r="DF54" s="78"/>
      <c r="DG54" s="78"/>
      <c r="DH54" s="78"/>
      <c r="DI54" s="78"/>
      <c r="DJ54" s="78"/>
      <c r="DK54" s="78"/>
      <c r="DL54" s="78"/>
      <c r="DM54" s="78"/>
    </row>
    <row r="55" spans="1:117" ht="17.25" customHeight="1">
      <c r="A55" s="23">
        <f t="shared" si="9"/>
        <v>52</v>
      </c>
      <c r="B55" s="23" t="s">
        <v>439</v>
      </c>
      <c r="C55" s="190">
        <v>2014102</v>
      </c>
      <c r="D55" s="194" t="s">
        <v>561</v>
      </c>
      <c r="E55" s="227" t="s">
        <v>839</v>
      </c>
      <c r="F55" s="227" t="s">
        <v>956</v>
      </c>
      <c r="G55" s="23" t="s">
        <v>176</v>
      </c>
      <c r="H55" s="227" t="s">
        <v>826</v>
      </c>
      <c r="I55" s="227" t="s">
        <v>741</v>
      </c>
      <c r="J55" s="194" t="s">
        <v>178</v>
      </c>
      <c r="K55" s="79" t="s">
        <v>841</v>
      </c>
      <c r="L55" s="227"/>
      <c r="M55" s="227" t="s">
        <v>957</v>
      </c>
      <c r="N55" s="228" t="s">
        <v>958</v>
      </c>
      <c r="O55" s="241" t="s">
        <v>959</v>
      </c>
      <c r="P55" s="239" t="s">
        <v>960</v>
      </c>
      <c r="Q55" s="214">
        <v>37347</v>
      </c>
      <c r="R55" s="214">
        <v>41275</v>
      </c>
      <c r="S55" s="214">
        <v>41640</v>
      </c>
      <c r="T55" s="231" t="s">
        <v>961</v>
      </c>
      <c r="U55" s="231" t="s">
        <v>962</v>
      </c>
      <c r="V55" s="201" t="s">
        <v>278</v>
      </c>
      <c r="W55" s="231" t="s">
        <v>498</v>
      </c>
      <c r="Z55" s="203">
        <f t="shared" ca="1" si="21"/>
        <v>8814</v>
      </c>
      <c r="AA55" s="203">
        <f t="shared" ca="1" si="1"/>
        <v>4886</v>
      </c>
      <c r="AB55" s="232"/>
      <c r="AC55" s="232"/>
      <c r="AD55" s="78" t="s">
        <v>21</v>
      </c>
      <c r="AE55" s="78" t="s">
        <v>190</v>
      </c>
      <c r="AF55" s="78" t="s">
        <v>191</v>
      </c>
      <c r="AG55" s="78" t="s">
        <v>191</v>
      </c>
      <c r="AH55" s="23" t="s">
        <v>161</v>
      </c>
      <c r="AI55" s="23" t="s">
        <v>192</v>
      </c>
      <c r="AJ55" s="23" t="s">
        <v>569</v>
      </c>
      <c r="AK55" s="233" t="s">
        <v>193</v>
      </c>
      <c r="AL55" s="78" t="s">
        <v>570</v>
      </c>
      <c r="AM55" s="206" t="s">
        <v>963</v>
      </c>
      <c r="AN55" s="207" t="s">
        <v>964</v>
      </c>
      <c r="AO55" s="78" t="s">
        <v>197</v>
      </c>
      <c r="AP55" s="78" t="s">
        <v>198</v>
      </c>
      <c r="AQ55" s="201" t="s">
        <v>851</v>
      </c>
      <c r="AS55" s="209" t="s">
        <v>200</v>
      </c>
      <c r="AT55" s="23" t="s">
        <v>434</v>
      </c>
      <c r="AU55" s="23" t="s">
        <v>435</v>
      </c>
      <c r="AV55" s="210" t="s">
        <v>454</v>
      </c>
      <c r="AW55" s="211">
        <v>3992000</v>
      </c>
      <c r="AX55" s="175">
        <v>3992000</v>
      </c>
      <c r="AY55" s="212">
        <v>12</v>
      </c>
      <c r="AZ55" s="213">
        <f t="shared" si="2"/>
        <v>47904000</v>
      </c>
      <c r="BC55" s="214">
        <v>45839</v>
      </c>
      <c r="BD55" s="215">
        <v>33589560</v>
      </c>
      <c r="BE55" s="215">
        <v>34357200</v>
      </c>
      <c r="BF55" s="215">
        <f t="shared" si="22"/>
        <v>34357200</v>
      </c>
      <c r="BG55" s="215">
        <f t="shared" si="23"/>
        <v>2863100</v>
      </c>
      <c r="BH55" s="215">
        <v>2220200</v>
      </c>
      <c r="BI55" s="216">
        <f t="shared" si="37"/>
        <v>12898.79</v>
      </c>
      <c r="BJ55" s="216">
        <f>IF(AT55="통상",209,VLOOKUP(AD55,'[2]스케줄 분석_20260109'!$B$3:$F$20,5,FALSE))</f>
        <v>187.63</v>
      </c>
      <c r="BK55" s="216">
        <f>IF(AT55="통상",15,VLOOKUP(AD55,'[2]스케줄 분석_20260109'!$B$3:$P$20,10,FALSE))</f>
        <v>29.11</v>
      </c>
      <c r="BL55" s="216">
        <f>IF(AT55="통상",0,VLOOKUP(AD55,'[2]스케줄 분석_20260109'!$B$3:$P$20,11,FALSE))</f>
        <v>39.54</v>
      </c>
      <c r="BM55" s="215">
        <f t="shared" si="24"/>
        <v>187800</v>
      </c>
      <c r="BN55" s="175">
        <f t="shared" si="25"/>
        <v>255100</v>
      </c>
      <c r="BO55" s="213">
        <v>200000</v>
      </c>
      <c r="BP55" s="175">
        <f>IF(OR(AT55="스케줄",AT55="스케줄_파라"),ROUNDUP(VLOOKUP(AD55,'[2]스케줄 분석_20260109'!$B$3:$Y$20,23,FALSE)*(VLOOKUP(AD55,'[2]스케줄 분석_20260109'!$B$3:$Y$20,21,FALSE)/VLOOKUP(AD55,'[2]스케줄 분석_20260109'!$B$3:$Y$20,20,FALSE))*VLOOKUP(AD55,'[2]스케줄 분석_20260109'!$B$3:$Y$20,22,FALSE)*VLOOKUP(AD55,'[2]스케줄 분석_20260109'!$B$3:$Y$20,2,FALSE)*1.5*BI55,0),0)</f>
        <v>2606812</v>
      </c>
      <c r="BQ55" s="217" t="str">
        <f t="shared" si="26"/>
        <v>적합</v>
      </c>
      <c r="BR55" s="213"/>
      <c r="BS55" s="218">
        <f t="shared" si="27"/>
        <v>1289879</v>
      </c>
      <c r="BT55" s="219">
        <f t="shared" si="28"/>
        <v>2970589.9166666665</v>
      </c>
      <c r="BU55" s="175">
        <f t="shared" si="29"/>
        <v>1517967</v>
      </c>
      <c r="BV55" s="175">
        <f t="shared" si="30"/>
        <v>1301629.5388799999</v>
      </c>
      <c r="BW55" s="175">
        <f t="shared" si="31"/>
        <v>495336.6</v>
      </c>
      <c r="BX55" s="175">
        <f t="shared" si="32"/>
        <v>210917.52</v>
      </c>
      <c r="BY55" s="213">
        <f t="shared" si="20"/>
        <v>3578875</v>
      </c>
      <c r="BZ55" s="220">
        <f t="shared" si="33"/>
        <v>38617668.916666664</v>
      </c>
      <c r="CA55" s="213">
        <f t="shared" si="34"/>
        <v>3525850.65888</v>
      </c>
      <c r="CB55" s="221">
        <f t="shared" si="35"/>
        <v>42946500</v>
      </c>
      <c r="CC55" s="222">
        <f t="shared" si="36"/>
        <v>1803257.48</v>
      </c>
      <c r="CD55" s="223">
        <f t="shared" si="7"/>
        <v>3.7643150467601867</v>
      </c>
      <c r="CJ55" s="111"/>
      <c r="CK55" s="187"/>
      <c r="CL55" s="188"/>
      <c r="CM55" s="111"/>
      <c r="CN55" s="111"/>
      <c r="CO55" s="111"/>
      <c r="CP55" s="111"/>
      <c r="CQ55" s="111"/>
      <c r="CR55" s="111"/>
      <c r="CS55" s="111"/>
      <c r="CT55" s="111"/>
      <c r="CU55" s="111"/>
      <c r="CV55" s="111"/>
      <c r="CW55" s="111"/>
      <c r="CX55" s="111"/>
      <c r="CY55" s="111"/>
      <c r="CZ55" s="111"/>
      <c r="DA55" s="111"/>
      <c r="DB55" s="111"/>
      <c r="DC55" s="111"/>
      <c r="DD55" s="111"/>
      <c r="DE55" s="111"/>
      <c r="DF55" s="111"/>
      <c r="DG55" s="111"/>
      <c r="DH55" s="111"/>
      <c r="DI55" s="111"/>
      <c r="DJ55" s="111"/>
      <c r="DK55" s="111"/>
    </row>
    <row r="56" spans="1:117" ht="17.25" customHeight="1">
      <c r="A56" s="23">
        <f t="shared" si="9"/>
        <v>53</v>
      </c>
      <c r="B56" s="23" t="s">
        <v>439</v>
      </c>
      <c r="C56" s="190">
        <v>2014103</v>
      </c>
      <c r="D56" s="194" t="s">
        <v>561</v>
      </c>
      <c r="E56" s="227" t="s">
        <v>965</v>
      </c>
      <c r="F56" s="227" t="s">
        <v>966</v>
      </c>
      <c r="G56" s="23" t="s">
        <v>476</v>
      </c>
      <c r="H56" s="248" t="s">
        <v>272</v>
      </c>
      <c r="I56" s="248" t="s">
        <v>151</v>
      </c>
      <c r="J56" s="194" t="s">
        <v>178</v>
      </c>
      <c r="K56" s="79" t="s">
        <v>708</v>
      </c>
      <c r="L56" s="227"/>
      <c r="M56" s="227" t="s">
        <v>842</v>
      </c>
      <c r="N56" s="228" t="s">
        <v>967</v>
      </c>
      <c r="O56" s="241" t="s">
        <v>968</v>
      </c>
      <c r="P56" s="239" t="s">
        <v>969</v>
      </c>
      <c r="Q56" s="214">
        <v>37653</v>
      </c>
      <c r="R56" s="214">
        <v>41275</v>
      </c>
      <c r="S56" s="214">
        <v>41640</v>
      </c>
      <c r="T56" s="231" t="s">
        <v>970</v>
      </c>
      <c r="U56" s="231" t="s">
        <v>971</v>
      </c>
      <c r="V56" s="201" t="s">
        <v>394</v>
      </c>
      <c r="W56" s="231" t="s">
        <v>187</v>
      </c>
      <c r="X56" s="201" t="s">
        <v>498</v>
      </c>
      <c r="Z56" s="203">
        <f t="shared" ca="1" si="21"/>
        <v>8508</v>
      </c>
      <c r="AA56" s="203">
        <f t="shared" ca="1" si="1"/>
        <v>4886</v>
      </c>
      <c r="AB56" s="232"/>
      <c r="AC56" s="232"/>
      <c r="AD56" s="78" t="s">
        <v>189</v>
      </c>
      <c r="AE56" s="78" t="s">
        <v>190</v>
      </c>
      <c r="AF56" s="78" t="s">
        <v>191</v>
      </c>
      <c r="AG56" s="78" t="s">
        <v>191</v>
      </c>
      <c r="AH56" s="23" t="s">
        <v>161</v>
      </c>
      <c r="AI56" s="23" t="s">
        <v>192</v>
      </c>
      <c r="AJ56" s="23" t="s">
        <v>569</v>
      </c>
      <c r="AK56" s="233" t="s">
        <v>193</v>
      </c>
      <c r="AL56" s="78" t="s">
        <v>570</v>
      </c>
      <c r="AM56" s="206" t="s">
        <v>972</v>
      </c>
      <c r="AN56" s="207" t="s">
        <v>973</v>
      </c>
      <c r="AO56" s="78" t="s">
        <v>197</v>
      </c>
      <c r="AP56" s="78" t="s">
        <v>198</v>
      </c>
      <c r="AQ56" s="201" t="s">
        <v>974</v>
      </c>
      <c r="AS56" s="209" t="s">
        <v>200</v>
      </c>
      <c r="AT56" s="23" t="s">
        <v>201</v>
      </c>
      <c r="AU56" s="23" t="s">
        <v>435</v>
      </c>
      <c r="AV56" s="210" t="s">
        <v>454</v>
      </c>
      <c r="AW56" s="211">
        <v>4556000</v>
      </c>
      <c r="AX56" s="175">
        <v>4556000</v>
      </c>
      <c r="AY56" s="212">
        <v>12</v>
      </c>
      <c r="AZ56" s="213">
        <f t="shared" si="2"/>
        <v>54672000</v>
      </c>
      <c r="BC56" s="214">
        <v>45839</v>
      </c>
      <c r="BD56" s="215">
        <v>38004000</v>
      </c>
      <c r="BE56" s="215">
        <v>38862000</v>
      </c>
      <c r="BF56" s="215">
        <f t="shared" si="22"/>
        <v>38862000</v>
      </c>
      <c r="BG56" s="215">
        <f t="shared" si="23"/>
        <v>3238500</v>
      </c>
      <c r="BH56" s="215">
        <v>2723700</v>
      </c>
      <c r="BI56" s="216">
        <f t="shared" si="37"/>
        <v>13989</v>
      </c>
      <c r="BJ56" s="216">
        <f>IF(AT56="통상",209,VLOOKUP(AD56,'[2]스케줄 분석_20260109'!$B$3:$F$20,5,FALSE))</f>
        <v>209</v>
      </c>
      <c r="BK56" s="216">
        <f>IF(AT56="통상",15,VLOOKUP(AD56,'[2]스케줄 분석_20260109'!$B$3:$P$20,10,FALSE))</f>
        <v>15</v>
      </c>
      <c r="BL56" s="216">
        <f>IF(AT56="통상",0,VLOOKUP(AD56,'[2]스케줄 분석_20260109'!$B$3:$P$20,11,FALSE))</f>
        <v>0</v>
      </c>
      <c r="BM56" s="215">
        <f t="shared" si="24"/>
        <v>314800</v>
      </c>
      <c r="BN56" s="175">
        <f t="shared" si="25"/>
        <v>0</v>
      </c>
      <c r="BO56" s="213">
        <v>200000</v>
      </c>
      <c r="BP56" s="175">
        <f>IF(OR(AT56="스케줄",AT56="스케줄_파라"),ROUNDUP(VLOOKUP(AD56,'[2]스케줄 분석_20260109'!$B$3:$Y$20,23,FALSE)*(VLOOKUP(AD56,'[2]스케줄 분석_20260109'!$B$3:$Y$20,21,FALSE)/VLOOKUP(AD56,'[2]스케줄 분석_20260109'!$B$3:$Y$20,20,FALSE))*VLOOKUP(AD56,'[2]스케줄 분석_20260109'!$B$3:$Y$20,22,FALSE)*VLOOKUP(AD56,'[2]스케줄 분석_20260109'!$B$3:$Y$20,2,FALSE)*1.5*BI56,0),0)</f>
        <v>0</v>
      </c>
      <c r="BQ56" s="217" t="str">
        <f t="shared" si="26"/>
        <v>적합</v>
      </c>
      <c r="BR56" s="213"/>
      <c r="BS56" s="218">
        <f t="shared" si="27"/>
        <v>559560</v>
      </c>
      <c r="BT56" s="219">
        <f t="shared" si="28"/>
        <v>3285130</v>
      </c>
      <c r="BU56" s="175">
        <f t="shared" si="29"/>
        <v>1731945</v>
      </c>
      <c r="BV56" s="175">
        <f t="shared" si="30"/>
        <v>1485111.8448000001</v>
      </c>
      <c r="BW56" s="175">
        <f t="shared" si="31"/>
        <v>565161</v>
      </c>
      <c r="BX56" s="175">
        <f t="shared" si="32"/>
        <v>240649.2</v>
      </c>
      <c r="BY56" s="213">
        <f t="shared" si="20"/>
        <v>4048125</v>
      </c>
      <c r="BZ56" s="220">
        <f t="shared" si="33"/>
        <v>42706690</v>
      </c>
      <c r="CA56" s="213">
        <f t="shared" si="34"/>
        <v>4022867.0448000003</v>
      </c>
      <c r="CB56" s="221">
        <f t="shared" si="35"/>
        <v>48577500</v>
      </c>
      <c r="CC56" s="222">
        <f t="shared" si="36"/>
        <v>6094500</v>
      </c>
      <c r="CD56" s="223">
        <f t="shared" si="7"/>
        <v>11.147388059701493</v>
      </c>
      <c r="CE56" s="245"/>
      <c r="CF56" s="245"/>
      <c r="CG56" s="246"/>
      <c r="CH56" s="246"/>
      <c r="CI56" s="111"/>
      <c r="CK56" s="187"/>
      <c r="CL56" s="188"/>
    </row>
    <row r="57" spans="1:117" ht="17.25" customHeight="1">
      <c r="A57" s="23">
        <f t="shared" si="9"/>
        <v>54</v>
      </c>
      <c r="B57" s="23" t="s">
        <v>439</v>
      </c>
      <c r="C57" s="190">
        <v>2014116</v>
      </c>
      <c r="D57" s="194" t="s">
        <v>975</v>
      </c>
      <c r="E57" s="227" t="s">
        <v>976</v>
      </c>
      <c r="F57" s="227" t="s">
        <v>977</v>
      </c>
      <c r="G57" s="23" t="s">
        <v>204</v>
      </c>
      <c r="H57" s="227" t="s">
        <v>231</v>
      </c>
      <c r="I57" s="227" t="s">
        <v>206</v>
      </c>
      <c r="J57" s="194" t="s">
        <v>178</v>
      </c>
      <c r="K57" s="79" t="s">
        <v>233</v>
      </c>
      <c r="L57" s="227"/>
      <c r="M57" s="227" t="s">
        <v>978</v>
      </c>
      <c r="N57" s="228" t="s">
        <v>979</v>
      </c>
      <c r="O57" s="197" t="s">
        <v>980</v>
      </c>
      <c r="P57" s="229" t="s">
        <v>981</v>
      </c>
      <c r="Q57" s="214">
        <v>40422</v>
      </c>
      <c r="R57" s="214">
        <v>40634</v>
      </c>
      <c r="S57" s="214">
        <v>41640</v>
      </c>
      <c r="T57" s="231" t="s">
        <v>982</v>
      </c>
      <c r="U57" s="200"/>
      <c r="V57" s="201" t="s">
        <v>278</v>
      </c>
      <c r="W57" s="200"/>
      <c r="X57" s="200"/>
      <c r="Y57" s="200"/>
      <c r="Z57" s="203">
        <f t="shared" ca="1" si="21"/>
        <v>5739</v>
      </c>
      <c r="AA57" s="203">
        <f t="shared" ca="1" si="1"/>
        <v>5527</v>
      </c>
      <c r="AB57" s="232"/>
      <c r="AC57" s="232"/>
      <c r="AD57" s="78" t="s">
        <v>610</v>
      </c>
      <c r="AE57" s="78" t="s">
        <v>217</v>
      </c>
      <c r="AF57" s="78" t="s">
        <v>160</v>
      </c>
      <c r="AG57" s="78" t="s">
        <v>160</v>
      </c>
      <c r="AH57" s="23" t="s">
        <v>161</v>
      </c>
      <c r="AI57" s="23" t="s">
        <v>162</v>
      </c>
      <c r="AJ57" s="23" t="s">
        <v>475</v>
      </c>
      <c r="AK57" s="23">
        <v>13558</v>
      </c>
      <c r="AL57" s="78" t="s">
        <v>983</v>
      </c>
      <c r="AM57" s="206" t="s">
        <v>984</v>
      </c>
      <c r="AN57" s="207" t="s">
        <v>985</v>
      </c>
      <c r="AO57" s="78" t="s">
        <v>166</v>
      </c>
      <c r="AP57" s="78" t="s">
        <v>986</v>
      </c>
      <c r="AQ57" s="201" t="s">
        <v>987</v>
      </c>
      <c r="AS57" s="209" t="s">
        <v>988</v>
      </c>
      <c r="AT57" s="23" t="s">
        <v>201</v>
      </c>
      <c r="AU57" s="23" t="s">
        <v>435</v>
      </c>
      <c r="AV57" s="210" t="s">
        <v>454</v>
      </c>
      <c r="AW57" s="211">
        <v>5359000</v>
      </c>
      <c r="AX57" s="175">
        <v>5359000</v>
      </c>
      <c r="AY57" s="212">
        <v>12</v>
      </c>
      <c r="AZ57" s="213">
        <f t="shared" si="2"/>
        <v>64308000</v>
      </c>
      <c r="BA57" s="213"/>
      <c r="BB57" s="213"/>
      <c r="BC57" s="214">
        <v>45839</v>
      </c>
      <c r="BD57" s="215">
        <v>42600000.000000007</v>
      </c>
      <c r="BE57" s="215">
        <v>43608000</v>
      </c>
      <c r="BF57" s="215">
        <f t="shared" si="22"/>
        <v>43608000</v>
      </c>
      <c r="BG57" s="215">
        <f t="shared" si="23"/>
        <v>3634000</v>
      </c>
      <c r="BH57" s="215">
        <v>3080800</v>
      </c>
      <c r="BI57" s="216">
        <f t="shared" si="37"/>
        <v>15697.61</v>
      </c>
      <c r="BJ57" s="216">
        <f>IF(AT57="통상",209,VLOOKUP(AD57,'[2]스케줄 분석_20260109'!$B$3:$F$20,5,FALSE))</f>
        <v>209</v>
      </c>
      <c r="BK57" s="216">
        <f>IF(AT57="통상",15,VLOOKUP(AD57,'[2]스케줄 분석_20260109'!$B$3:$P$20,10,FALSE))</f>
        <v>15</v>
      </c>
      <c r="BL57" s="216">
        <f>IF(AT57="통상",0,VLOOKUP(AD57,'[2]스케줄 분석_20260109'!$B$3:$P$20,11,FALSE))</f>
        <v>0</v>
      </c>
      <c r="BM57" s="215">
        <f t="shared" si="24"/>
        <v>353200</v>
      </c>
      <c r="BN57" s="175">
        <f t="shared" si="25"/>
        <v>0</v>
      </c>
      <c r="BO57" s="213">
        <v>200000</v>
      </c>
      <c r="BP57" s="175">
        <f>IF(OR(AT57="스케줄",AT57="스케줄_파라"),ROUNDUP(VLOOKUP(AD57,'[2]스케줄 분석_20260109'!$B$3:$Y$20,23,FALSE)*(VLOOKUP(AD57,'[2]스케줄 분석_20260109'!$B$3:$Y$20,21,FALSE)/VLOOKUP(AD57,'[2]스케줄 분석_20260109'!$B$3:$Y$20,20,FALSE))*VLOOKUP(AD57,'[2]스케줄 분석_20260109'!$B$3:$Y$20,22,FALSE)*VLOOKUP(AD57,'[2]스케줄 분석_20260109'!$B$3:$Y$20,2,FALSE)*1.5*BI57,0),0)</f>
        <v>0</v>
      </c>
      <c r="BQ57" s="217" t="str">
        <f t="shared" si="26"/>
        <v>적합</v>
      </c>
      <c r="BR57" s="213"/>
      <c r="BS57" s="218">
        <f t="shared" si="27"/>
        <v>627904.4</v>
      </c>
      <c r="BT57" s="219">
        <f t="shared" si="28"/>
        <v>3686325.3666666667</v>
      </c>
      <c r="BU57" s="175">
        <f t="shared" si="29"/>
        <v>1957380</v>
      </c>
      <c r="BV57" s="175">
        <f t="shared" si="30"/>
        <v>1678418.3232</v>
      </c>
      <c r="BW57" s="175">
        <f t="shared" si="31"/>
        <v>638724</v>
      </c>
      <c r="BX57" s="175">
        <f t="shared" si="32"/>
        <v>271972.8</v>
      </c>
      <c r="BY57" s="213">
        <f t="shared" si="20"/>
        <v>4542500</v>
      </c>
      <c r="BZ57" s="220">
        <f t="shared" si="33"/>
        <v>47922229.766666666</v>
      </c>
      <c r="CA57" s="213">
        <f t="shared" si="34"/>
        <v>4546495.1232000003</v>
      </c>
      <c r="CB57" s="221">
        <f t="shared" si="35"/>
        <v>54510000</v>
      </c>
      <c r="CC57" s="222">
        <f t="shared" si="36"/>
        <v>9798000</v>
      </c>
      <c r="CD57" s="223">
        <f t="shared" si="7"/>
        <v>15.236051502145923</v>
      </c>
      <c r="CK57" s="187"/>
      <c r="CL57" s="188"/>
      <c r="DL57" s="79"/>
      <c r="DM57" s="79"/>
    </row>
    <row r="58" spans="1:117" ht="17.25" customHeight="1">
      <c r="A58" s="23">
        <f t="shared" si="9"/>
        <v>55</v>
      </c>
      <c r="B58" s="23" t="s">
        <v>439</v>
      </c>
      <c r="C58" s="190">
        <v>2014121</v>
      </c>
      <c r="D58" s="194" t="s">
        <v>989</v>
      </c>
      <c r="E58" s="227" t="s">
        <v>990</v>
      </c>
      <c r="F58" s="227" t="s">
        <v>991</v>
      </c>
      <c r="G58" s="23" t="s">
        <v>230</v>
      </c>
      <c r="H58" s="227" t="s">
        <v>992</v>
      </c>
      <c r="I58" s="227" t="s">
        <v>741</v>
      </c>
      <c r="J58" s="194" t="s">
        <v>178</v>
      </c>
      <c r="K58" s="79" t="s">
        <v>993</v>
      </c>
      <c r="L58" s="227"/>
      <c r="M58" s="227" t="s">
        <v>994</v>
      </c>
      <c r="N58" s="228" t="s">
        <v>995</v>
      </c>
      <c r="O58" t="s">
        <v>996</v>
      </c>
      <c r="P58" s="229" t="s">
        <v>997</v>
      </c>
      <c r="Q58" s="214">
        <v>41122</v>
      </c>
      <c r="R58" s="214">
        <v>41218</v>
      </c>
      <c r="S58" s="214">
        <v>41640</v>
      </c>
      <c r="T58" s="231" t="s">
        <v>998</v>
      </c>
      <c r="V58" s="201" t="s">
        <v>278</v>
      </c>
      <c r="Z58" s="203">
        <f t="shared" ca="1" si="21"/>
        <v>5039</v>
      </c>
      <c r="AA58" s="203">
        <f t="shared" ca="1" si="1"/>
        <v>4943</v>
      </c>
      <c r="AB58" s="232"/>
      <c r="AC58" s="232"/>
      <c r="AD58" s="78" t="s">
        <v>999</v>
      </c>
      <c r="AE58" s="78" t="s">
        <v>217</v>
      </c>
      <c r="AF58" s="78" t="s">
        <v>191</v>
      </c>
      <c r="AG58" s="78" t="s">
        <v>191</v>
      </c>
      <c r="AH58" s="23" t="s">
        <v>161</v>
      </c>
      <c r="AI58" s="23" t="s">
        <v>365</v>
      </c>
      <c r="AJ58" s="23" t="s">
        <v>990</v>
      </c>
      <c r="AK58" s="23" t="s">
        <v>1000</v>
      </c>
      <c r="AL58" s="78" t="s">
        <v>1001</v>
      </c>
      <c r="AM58" s="206" t="s">
        <v>1002</v>
      </c>
      <c r="AN58" s="207" t="s">
        <v>1003</v>
      </c>
      <c r="AO58" s="78" t="s">
        <v>401</v>
      </c>
      <c r="AP58" s="201" t="s">
        <v>1004</v>
      </c>
      <c r="AQ58" s="201" t="s">
        <v>1005</v>
      </c>
      <c r="AS58" s="209" t="s">
        <v>1006</v>
      </c>
      <c r="AT58" s="23" t="s">
        <v>434</v>
      </c>
      <c r="AU58" s="23" t="s">
        <v>435</v>
      </c>
      <c r="AV58" s="210" t="s">
        <v>454</v>
      </c>
      <c r="AW58" s="211">
        <v>5151000</v>
      </c>
      <c r="AX58" s="175">
        <v>5151000</v>
      </c>
      <c r="AY58" s="212">
        <v>12</v>
      </c>
      <c r="AZ58" s="213">
        <f t="shared" si="2"/>
        <v>61812000</v>
      </c>
      <c r="BC58" s="214">
        <v>45839</v>
      </c>
      <c r="BD58" s="215">
        <v>35904960</v>
      </c>
      <c r="BE58" s="215">
        <v>36865200</v>
      </c>
      <c r="BF58" s="215">
        <f t="shared" si="22"/>
        <v>36865200</v>
      </c>
      <c r="BG58" s="215">
        <f t="shared" si="23"/>
        <v>3072100</v>
      </c>
      <c r="BH58" s="215">
        <v>2210400</v>
      </c>
      <c r="BI58" s="216">
        <f t="shared" si="37"/>
        <v>15419.65</v>
      </c>
      <c r="BJ58" s="216">
        <f>IF(AT58="통상",209,VLOOKUP(AD58,'[2]스케줄 분석_20260109'!$B$3:$F$20,5,FALSE))</f>
        <v>156.32000000000002</v>
      </c>
      <c r="BK58" s="216">
        <f>IF(AT58="통상",15,VLOOKUP(AD58,'[2]스케줄 분석_20260109'!$B$3:$P$20,10,FALSE))</f>
        <v>36.39</v>
      </c>
      <c r="BL58" s="216">
        <f>IF(AT58="통상",0,VLOOKUP(AD58,'[2]스케줄 분석_20260109'!$B$3:$P$20,11,FALSE))</f>
        <v>49.43</v>
      </c>
      <c r="BM58" s="215">
        <f t="shared" si="24"/>
        <v>280600</v>
      </c>
      <c r="BN58" s="175">
        <f t="shared" si="25"/>
        <v>381100</v>
      </c>
      <c r="BO58" s="213">
        <v>200000</v>
      </c>
      <c r="BP58" s="175">
        <f>IF(OR(AT58="스케줄",AT58="스케줄_파라"),ROUNDUP(VLOOKUP(AD58,'[2]스케줄 분석_20260109'!$B$3:$Y$20,23,FALSE)*(VLOOKUP(AD58,'[2]스케줄 분석_20260109'!$B$3:$Y$20,21,FALSE)/VLOOKUP(AD58,'[2]스케줄 분석_20260109'!$B$3:$Y$20,20,FALSE))*VLOOKUP(AD58,'[2]스케줄 분석_20260109'!$B$3:$Y$20,22,FALSE)*VLOOKUP(AD58,'[2]스케줄 분석_20260109'!$B$3:$Y$20,2,FALSE)*1.5*BI58,0),0)</f>
        <v>2902750</v>
      </c>
      <c r="BQ58" s="217" t="str">
        <f t="shared" si="26"/>
        <v>적합</v>
      </c>
      <c r="BR58" s="213"/>
      <c r="BS58" s="218">
        <f t="shared" si="27"/>
        <v>1541965</v>
      </c>
      <c r="BT58" s="219">
        <f t="shared" si="28"/>
        <v>3200597.0833333335</v>
      </c>
      <c r="BU58" s="175">
        <f t="shared" si="29"/>
        <v>1637097</v>
      </c>
      <c r="BV58" s="175">
        <f t="shared" si="30"/>
        <v>1403781.3820799999</v>
      </c>
      <c r="BW58" s="175">
        <f t="shared" si="31"/>
        <v>534210.6</v>
      </c>
      <c r="BX58" s="175">
        <f t="shared" si="32"/>
        <v>227470.32</v>
      </c>
      <c r="BY58" s="213">
        <f t="shared" si="20"/>
        <v>3840125</v>
      </c>
      <c r="BZ58" s="220">
        <f t="shared" si="33"/>
        <v>41607762.083333336</v>
      </c>
      <c r="CA58" s="213">
        <f t="shared" si="34"/>
        <v>3802559.3020799998</v>
      </c>
      <c r="CB58" s="221">
        <f t="shared" si="35"/>
        <v>46081500</v>
      </c>
      <c r="CC58" s="222">
        <f t="shared" si="36"/>
        <v>12218172.5</v>
      </c>
      <c r="CD58" s="223">
        <f t="shared" si="7"/>
        <v>19.766667475571086</v>
      </c>
      <c r="CK58" s="187"/>
      <c r="CL58" s="188"/>
    </row>
    <row r="59" spans="1:117" ht="17.25" customHeight="1">
      <c r="A59" s="23">
        <f t="shared" si="9"/>
        <v>56</v>
      </c>
      <c r="B59" s="23" t="s">
        <v>439</v>
      </c>
      <c r="C59" s="190">
        <v>2014124</v>
      </c>
      <c r="D59" s="194" t="s">
        <v>1007</v>
      </c>
      <c r="E59" s="227" t="s">
        <v>1008</v>
      </c>
      <c r="F59" s="227" t="s">
        <v>1009</v>
      </c>
      <c r="G59" s="23" t="s">
        <v>1010</v>
      </c>
      <c r="H59" s="227" t="s">
        <v>272</v>
      </c>
      <c r="I59" s="227" t="s">
        <v>741</v>
      </c>
      <c r="J59" s="194" t="s">
        <v>178</v>
      </c>
      <c r="K59" s="79" t="s">
        <v>1011</v>
      </c>
      <c r="L59" s="227" t="s">
        <v>1012</v>
      </c>
      <c r="M59" s="227" t="s">
        <v>1013</v>
      </c>
      <c r="N59" s="228" t="s">
        <v>1014</v>
      </c>
      <c r="O59" s="241" t="s">
        <v>1015</v>
      </c>
      <c r="P59" s="229" t="s">
        <v>1016</v>
      </c>
      <c r="Q59" s="214">
        <v>41218</v>
      </c>
      <c r="R59" s="214">
        <v>41218</v>
      </c>
      <c r="S59" s="214">
        <v>41640</v>
      </c>
      <c r="T59" s="231" t="s">
        <v>1017</v>
      </c>
      <c r="U59" s="231" t="s">
        <v>1018</v>
      </c>
      <c r="V59" s="201" t="s">
        <v>278</v>
      </c>
      <c r="W59" s="231" t="s">
        <v>1019</v>
      </c>
      <c r="X59" s="201" t="s">
        <v>609</v>
      </c>
      <c r="Z59" s="203">
        <f t="shared" ca="1" si="21"/>
        <v>4943</v>
      </c>
      <c r="AA59" s="203">
        <f t="shared" ca="1" si="1"/>
        <v>4943</v>
      </c>
      <c r="AB59" s="232"/>
      <c r="AC59" s="232"/>
      <c r="AD59" t="s">
        <v>1020</v>
      </c>
      <c r="AE59" s="78" t="s">
        <v>833</v>
      </c>
      <c r="AF59" s="78" t="s">
        <v>191</v>
      </c>
      <c r="AG59" s="78" t="s">
        <v>191</v>
      </c>
      <c r="AH59" s="23" t="s">
        <v>161</v>
      </c>
      <c r="AI59" s="23" t="s">
        <v>1021</v>
      </c>
      <c r="AJ59" s="23" t="s">
        <v>1008</v>
      </c>
      <c r="AK59" s="23" t="s">
        <v>1022</v>
      </c>
      <c r="AL59" s="78" t="s">
        <v>1023</v>
      </c>
      <c r="AM59" s="206">
        <v>28742</v>
      </c>
      <c r="AN59" s="207" t="s">
        <v>1024</v>
      </c>
      <c r="AO59" s="78" t="s">
        <v>401</v>
      </c>
      <c r="AP59" s="78" t="s">
        <v>1025</v>
      </c>
      <c r="AQ59" s="201" t="s">
        <v>1026</v>
      </c>
      <c r="AR59" s="201" t="s">
        <v>1027</v>
      </c>
      <c r="AS59" s="209" t="s">
        <v>1006</v>
      </c>
      <c r="AT59" s="23" t="s">
        <v>201</v>
      </c>
      <c r="AU59" s="23" t="s">
        <v>435</v>
      </c>
      <c r="AV59" s="210" t="s">
        <v>454</v>
      </c>
      <c r="AW59" s="211">
        <v>5514000</v>
      </c>
      <c r="AX59" s="175">
        <v>5514000</v>
      </c>
      <c r="AY59" s="236">
        <v>12</v>
      </c>
      <c r="AZ59" s="213">
        <f t="shared" si="2"/>
        <v>66168000</v>
      </c>
      <c r="BC59" s="214">
        <v>45839</v>
      </c>
      <c r="BD59" s="235">
        <v>37031999.999999993</v>
      </c>
      <c r="BE59" s="215">
        <v>38568000</v>
      </c>
      <c r="BF59" s="215">
        <f t="shared" si="22"/>
        <v>38568000</v>
      </c>
      <c r="BG59" s="215">
        <f t="shared" si="23"/>
        <v>3214000</v>
      </c>
      <c r="BH59" s="215">
        <v>2701600</v>
      </c>
      <c r="BI59" s="216">
        <f t="shared" si="37"/>
        <v>13883.25</v>
      </c>
      <c r="BJ59" s="216">
        <f>IF(AT59="통상",209,VLOOKUP(AD59,'[2]스케줄 분석_20260109'!$B$3:$F$20,5,FALSE))</f>
        <v>209</v>
      </c>
      <c r="BK59" s="216">
        <f>IF(AT59="통상",15,VLOOKUP(AD59,'[2]스케줄 분석_20260109'!$B$3:$P$20,10,FALSE))</f>
        <v>15</v>
      </c>
      <c r="BL59" s="216">
        <f>IF(AT59="통상",0,VLOOKUP(AD59,'[2]스케줄 분석_20260109'!$B$3:$P$20,11,FALSE))</f>
        <v>0</v>
      </c>
      <c r="BM59" s="215">
        <f t="shared" si="24"/>
        <v>312400</v>
      </c>
      <c r="BN59" s="175">
        <f t="shared" si="25"/>
        <v>0</v>
      </c>
      <c r="BO59" s="213">
        <v>200000</v>
      </c>
      <c r="BP59" s="175">
        <f>IF(OR(AT59="스케줄",AT59="스케줄_파라"),ROUNDUP(VLOOKUP(AD59,'[2]스케줄 분석_20260109'!$B$3:$Y$20,23,FALSE)*(VLOOKUP(AD59,'[2]스케줄 분석_20260109'!$B$3:$Y$20,21,FALSE)/VLOOKUP(AD59,'[2]스케줄 분석_20260109'!$B$3:$Y$20,20,FALSE))*VLOOKUP(AD59,'[2]스케줄 분석_20260109'!$B$3:$Y$20,22,FALSE)*VLOOKUP(AD59,'[2]스케줄 분석_20260109'!$B$3:$Y$20,2,FALSE)*1.5*BI59,0),0)</f>
        <v>0</v>
      </c>
      <c r="BQ59" s="217" t="str">
        <f t="shared" si="26"/>
        <v>적합</v>
      </c>
      <c r="BR59" s="175"/>
      <c r="BS59" s="218">
        <f t="shared" si="27"/>
        <v>555330</v>
      </c>
      <c r="BT59" s="219">
        <f t="shared" si="28"/>
        <v>3260277.5</v>
      </c>
      <c r="BU59" s="175">
        <f t="shared" si="29"/>
        <v>1717980</v>
      </c>
      <c r="BV59" s="175">
        <f t="shared" si="30"/>
        <v>1473137.1072</v>
      </c>
      <c r="BW59" s="175">
        <f t="shared" si="31"/>
        <v>560604</v>
      </c>
      <c r="BX59" s="175">
        <f t="shared" si="32"/>
        <v>238708.8</v>
      </c>
      <c r="BY59" s="213">
        <f t="shared" si="20"/>
        <v>4017500</v>
      </c>
      <c r="BZ59" s="220">
        <f t="shared" si="33"/>
        <v>42383607.5</v>
      </c>
      <c r="CA59" s="213">
        <f t="shared" si="34"/>
        <v>3990429.9071999998</v>
      </c>
      <c r="CB59" s="221">
        <f t="shared" si="35"/>
        <v>48210000</v>
      </c>
      <c r="CC59" s="222">
        <f t="shared" si="36"/>
        <v>17958000</v>
      </c>
      <c r="CD59" s="223">
        <f t="shared" si="7"/>
        <v>27.140007254261878</v>
      </c>
      <c r="CK59" s="187"/>
      <c r="CL59" s="188"/>
      <c r="DL59" s="121"/>
      <c r="DM59" s="121"/>
    </row>
    <row r="60" spans="1:117" ht="17.25" customHeight="1">
      <c r="A60" s="23">
        <f t="shared" si="9"/>
        <v>57</v>
      </c>
      <c r="B60" s="23" t="s">
        <v>439</v>
      </c>
      <c r="C60" s="190">
        <v>2014163</v>
      </c>
      <c r="D60" s="194" t="s">
        <v>989</v>
      </c>
      <c r="E60" s="227" t="s">
        <v>990</v>
      </c>
      <c r="F60" s="227" t="s">
        <v>990</v>
      </c>
      <c r="G60" s="23" t="s">
        <v>441</v>
      </c>
      <c r="H60" s="227" t="s">
        <v>177</v>
      </c>
      <c r="I60" s="227" t="s">
        <v>151</v>
      </c>
      <c r="J60" s="194" t="s">
        <v>178</v>
      </c>
      <c r="K60" s="79" t="s">
        <v>444</v>
      </c>
      <c r="L60" s="227"/>
      <c r="M60" s="227" t="s">
        <v>1028</v>
      </c>
      <c r="N60" s="228" t="s">
        <v>1029</v>
      </c>
      <c r="O60" s="240" t="s">
        <v>1030</v>
      </c>
      <c r="P60" s="229" t="s">
        <v>1031</v>
      </c>
      <c r="Q60" s="214">
        <v>38047</v>
      </c>
      <c r="R60" s="214">
        <v>41699</v>
      </c>
      <c r="S60" s="214"/>
      <c r="T60" s="231" t="s">
        <v>1032</v>
      </c>
      <c r="U60" s="231" t="s">
        <v>1033</v>
      </c>
      <c r="V60" s="201" t="s">
        <v>394</v>
      </c>
      <c r="W60" s="201" t="s">
        <v>1019</v>
      </c>
      <c r="X60" s="201" t="s">
        <v>684</v>
      </c>
      <c r="Y60" s="231" t="s">
        <v>1034</v>
      </c>
      <c r="Z60" s="203">
        <f t="shared" ca="1" si="21"/>
        <v>8114</v>
      </c>
      <c r="AA60" s="203">
        <f t="shared" ca="1" si="1"/>
        <v>4462</v>
      </c>
      <c r="AB60" s="232"/>
      <c r="AC60" s="232"/>
      <c r="AD60" t="s">
        <v>1035</v>
      </c>
      <c r="AE60" s="78" t="s">
        <v>217</v>
      </c>
      <c r="AF60" s="78" t="s">
        <v>191</v>
      </c>
      <c r="AG60" s="78" t="s">
        <v>191</v>
      </c>
      <c r="AH60" s="23" t="s">
        <v>161</v>
      </c>
      <c r="AI60" s="23" t="s">
        <v>365</v>
      </c>
      <c r="AJ60" s="23" t="s">
        <v>990</v>
      </c>
      <c r="AK60" s="23">
        <v>17336</v>
      </c>
      <c r="AL60" s="78" t="s">
        <v>1001</v>
      </c>
      <c r="AM60" s="206" t="s">
        <v>1036</v>
      </c>
      <c r="AN60" s="207" t="s">
        <v>1037</v>
      </c>
      <c r="AO60" s="78" t="s">
        <v>401</v>
      </c>
      <c r="AP60" s="78" t="s">
        <v>1038</v>
      </c>
      <c r="AQ60" s="201" t="s">
        <v>452</v>
      </c>
      <c r="AS60" s="209" t="s">
        <v>1006</v>
      </c>
      <c r="AT60" s="23" t="s">
        <v>201</v>
      </c>
      <c r="AU60" s="23" t="s">
        <v>435</v>
      </c>
      <c r="AV60" s="210" t="s">
        <v>454</v>
      </c>
      <c r="AW60" s="211">
        <v>5610000</v>
      </c>
      <c r="AX60" s="175">
        <v>5610000</v>
      </c>
      <c r="AY60" s="212">
        <v>12</v>
      </c>
      <c r="AZ60" s="213">
        <f t="shared" si="2"/>
        <v>67320000</v>
      </c>
      <c r="BC60" s="214">
        <v>45839</v>
      </c>
      <c r="BD60" s="235">
        <v>61800000</v>
      </c>
      <c r="BE60" s="215">
        <v>62856000</v>
      </c>
      <c r="BF60" s="215">
        <f t="shared" si="22"/>
        <v>62856000</v>
      </c>
      <c r="BG60" s="215">
        <f t="shared" si="23"/>
        <v>5238000</v>
      </c>
      <c r="BH60" s="215">
        <v>4528900</v>
      </c>
      <c r="BI60" s="216">
        <f t="shared" si="37"/>
        <v>22626.32</v>
      </c>
      <c r="BJ60" s="216">
        <f>IF(AT60="통상",209,VLOOKUP(AD60,'[2]스케줄 분석_20260109'!$B$3:$F$20,5,FALSE))</f>
        <v>209</v>
      </c>
      <c r="BK60" s="216">
        <f>IF(AT60="통상",15,VLOOKUP(AD60,'[2]스케줄 분석_20260109'!$B$3:$P$20,10,FALSE))</f>
        <v>15</v>
      </c>
      <c r="BL60" s="216">
        <f>IF(AT60="통상",0,VLOOKUP(AD60,'[2]스케줄 분석_20260109'!$B$3:$P$20,11,FALSE))</f>
        <v>0</v>
      </c>
      <c r="BM60" s="215">
        <f t="shared" si="24"/>
        <v>509100</v>
      </c>
      <c r="BN60" s="175">
        <f t="shared" si="25"/>
        <v>0</v>
      </c>
      <c r="BO60" s="213">
        <v>200000</v>
      </c>
      <c r="BP60" s="175">
        <f>IF(OR(AT60="스케줄",AT60="스케줄_파라"),ROUNDUP(VLOOKUP(AD60,'[2]스케줄 분석_20260109'!$B$3:$Y$20,23,FALSE)*(VLOOKUP(AD60,'[2]스케줄 분석_20260109'!$B$3:$Y$20,21,FALSE)/VLOOKUP(AD60,'[2]스케줄 분석_20260109'!$B$3:$Y$20,20,FALSE))*VLOOKUP(AD60,'[2]스케줄 분석_20260109'!$B$3:$Y$20,22,FALSE)*VLOOKUP(AD60,'[2]스케줄 분석_20260109'!$B$3:$Y$20,2,FALSE)*1.5*BI60,0),0)</f>
        <v>0</v>
      </c>
      <c r="BQ60" s="217" t="str">
        <f t="shared" si="26"/>
        <v>적합</v>
      </c>
      <c r="BR60" s="213"/>
      <c r="BS60" s="218">
        <f t="shared" si="27"/>
        <v>905052.8</v>
      </c>
      <c r="BT60" s="219">
        <f t="shared" si="28"/>
        <v>5313421.0666666664</v>
      </c>
      <c r="BU60" s="175">
        <f t="shared" si="29"/>
        <v>2871660</v>
      </c>
      <c r="BV60" s="175">
        <f t="shared" si="30"/>
        <v>2462397.0624000002</v>
      </c>
      <c r="BW60" s="175">
        <f t="shared" si="31"/>
        <v>937068</v>
      </c>
      <c r="BX60" s="175">
        <f t="shared" si="32"/>
        <v>399009.6</v>
      </c>
      <c r="BY60" s="213">
        <f t="shared" si="20"/>
        <v>6547500</v>
      </c>
      <c r="BZ60" s="220">
        <f t="shared" si="33"/>
        <v>69074473.86666666</v>
      </c>
      <c r="CA60" s="213">
        <f t="shared" si="34"/>
        <v>6670134.6623999998</v>
      </c>
      <c r="CB60" s="221">
        <f t="shared" si="35"/>
        <v>78570000</v>
      </c>
      <c r="CC60" s="222">
        <f t="shared" si="36"/>
        <v>-11250000</v>
      </c>
      <c r="CD60" s="223">
        <f t="shared" si="7"/>
        <v>-16.711229946524064</v>
      </c>
      <c r="CK60" s="187"/>
      <c r="CL60" s="188"/>
    </row>
    <row r="61" spans="1:117" ht="17.25" customHeight="1">
      <c r="A61" s="23">
        <f t="shared" si="9"/>
        <v>58</v>
      </c>
      <c r="B61" s="23" t="s">
        <v>439</v>
      </c>
      <c r="C61" s="190">
        <v>2014170</v>
      </c>
      <c r="D61" s="194" t="s">
        <v>455</v>
      </c>
      <c r="E61" s="227" t="s">
        <v>456</v>
      </c>
      <c r="F61" s="227" t="s">
        <v>1039</v>
      </c>
      <c r="G61" s="23" t="s">
        <v>176</v>
      </c>
      <c r="H61" s="227" t="s">
        <v>205</v>
      </c>
      <c r="I61" s="227" t="s">
        <v>206</v>
      </c>
      <c r="J61" s="194" t="s">
        <v>207</v>
      </c>
      <c r="K61" s="79" t="s">
        <v>627</v>
      </c>
      <c r="L61" s="227" t="s">
        <v>1040</v>
      </c>
      <c r="M61" s="227" t="s">
        <v>1041</v>
      </c>
      <c r="N61" s="228" t="s">
        <v>1042</v>
      </c>
      <c r="O61" s="194" t="s">
        <v>1043</v>
      </c>
      <c r="P61" s="229" t="s">
        <v>1044</v>
      </c>
      <c r="Q61" s="214">
        <v>38991</v>
      </c>
      <c r="R61" s="214">
        <v>41799</v>
      </c>
      <c r="S61" s="214"/>
      <c r="T61" s="231" t="s">
        <v>1045</v>
      </c>
      <c r="U61" s="231" t="s">
        <v>1046</v>
      </c>
      <c r="V61" s="201" t="s">
        <v>394</v>
      </c>
      <c r="W61" s="231" t="s">
        <v>1047</v>
      </c>
      <c r="X61" s="200"/>
      <c r="Y61" s="200"/>
      <c r="Z61" s="203">
        <f t="shared" ca="1" si="21"/>
        <v>7170</v>
      </c>
      <c r="AA61" s="203">
        <f t="shared" ca="1" si="1"/>
        <v>4362</v>
      </c>
      <c r="AB61" s="232"/>
      <c r="AC61" s="232"/>
      <c r="AD61" t="s">
        <v>464</v>
      </c>
      <c r="AE61" s="78" t="s">
        <v>190</v>
      </c>
      <c r="AF61" s="78" t="s">
        <v>263</v>
      </c>
      <c r="AG61" s="78" t="s">
        <v>263</v>
      </c>
      <c r="AH61" s="23" t="s">
        <v>161</v>
      </c>
      <c r="AI61" s="23" t="s">
        <v>465</v>
      </c>
      <c r="AJ61" s="23" t="s">
        <v>466</v>
      </c>
      <c r="AK61" s="233" t="s">
        <v>467</v>
      </c>
      <c r="AL61" s="78" t="s">
        <v>468</v>
      </c>
      <c r="AM61" s="206" t="s">
        <v>1048</v>
      </c>
      <c r="AN61" s="207" t="s">
        <v>1049</v>
      </c>
      <c r="AO61" s="78" t="s">
        <v>222</v>
      </c>
      <c r="AP61" s="78" t="s">
        <v>1050</v>
      </c>
      <c r="AQ61" s="201" t="s">
        <v>921</v>
      </c>
      <c r="AS61" s="209" t="s">
        <v>473</v>
      </c>
      <c r="AT61" s="23" t="s">
        <v>201</v>
      </c>
      <c r="AU61" s="23" t="s">
        <v>435</v>
      </c>
      <c r="AV61" s="210" t="s">
        <v>454</v>
      </c>
      <c r="AW61" s="211">
        <v>6278000</v>
      </c>
      <c r="AX61" s="175">
        <v>6278000</v>
      </c>
      <c r="AY61" s="212">
        <v>12</v>
      </c>
      <c r="AZ61" s="213">
        <f t="shared" si="2"/>
        <v>75336000</v>
      </c>
      <c r="BA61" s="234"/>
      <c r="BB61" s="234"/>
      <c r="BC61" s="214">
        <v>45839</v>
      </c>
      <c r="BD61" s="215">
        <v>50604000</v>
      </c>
      <c r="BE61" s="215">
        <v>52044000</v>
      </c>
      <c r="BF61" s="215">
        <f t="shared" si="22"/>
        <v>52044000</v>
      </c>
      <c r="BG61" s="215">
        <f t="shared" si="23"/>
        <v>4337000</v>
      </c>
      <c r="BH61" s="215">
        <v>3715400</v>
      </c>
      <c r="BI61" s="216">
        <f t="shared" si="37"/>
        <v>18733.97</v>
      </c>
      <c r="BJ61" s="216">
        <f>IF(AT61="통상",209,VLOOKUP(AD61,'[2]스케줄 분석_20260109'!$B$3:$F$20,5,FALSE))</f>
        <v>209</v>
      </c>
      <c r="BK61" s="216">
        <f>IF(AT61="통상",15,VLOOKUP(AD61,'[2]스케줄 분석_20260109'!$B$3:$P$20,10,FALSE))</f>
        <v>15</v>
      </c>
      <c r="BL61" s="216">
        <f>IF(AT61="통상",0,VLOOKUP(AD61,'[2]스케줄 분석_20260109'!$B$3:$P$20,11,FALSE))</f>
        <v>0</v>
      </c>
      <c r="BM61" s="215">
        <f t="shared" si="24"/>
        <v>421600</v>
      </c>
      <c r="BN61" s="175">
        <f t="shared" si="25"/>
        <v>0</v>
      </c>
      <c r="BO61" s="213">
        <v>200000</v>
      </c>
      <c r="BP61" s="175">
        <f>IF(OR(AT61="스케줄",AT61="스케줄_파라"),ROUNDUP(VLOOKUP(AD61,'[2]스케줄 분석_20260109'!$B$3:$Y$20,23,FALSE)*(VLOOKUP(AD61,'[2]스케줄 분석_20260109'!$B$3:$Y$20,21,FALSE)/VLOOKUP(AD61,'[2]스케줄 분석_20260109'!$B$3:$Y$20,20,FALSE))*VLOOKUP(AD61,'[2]스케줄 분석_20260109'!$B$3:$Y$20,22,FALSE)*VLOOKUP(AD61,'[2]스케줄 분석_20260109'!$B$3:$Y$20,2,FALSE)*1.5*BI61,0),0)</f>
        <v>0</v>
      </c>
      <c r="BQ61" s="217" t="str">
        <f t="shared" si="26"/>
        <v>적합</v>
      </c>
      <c r="BR61" s="213"/>
      <c r="BS61" s="218">
        <f t="shared" si="27"/>
        <v>749358.8</v>
      </c>
      <c r="BT61" s="219">
        <f t="shared" si="28"/>
        <v>4399446.5666666664</v>
      </c>
      <c r="BU61" s="175">
        <f t="shared" si="29"/>
        <v>2358090</v>
      </c>
      <c r="BV61" s="175">
        <f t="shared" si="30"/>
        <v>2022019.9775999996</v>
      </c>
      <c r="BW61" s="175">
        <f t="shared" si="31"/>
        <v>769482</v>
      </c>
      <c r="BX61" s="175">
        <f t="shared" si="32"/>
        <v>327650.40000000002</v>
      </c>
      <c r="BY61" s="213">
        <f t="shared" si="20"/>
        <v>5421250</v>
      </c>
      <c r="BZ61" s="220">
        <f t="shared" si="33"/>
        <v>57192805.36666666</v>
      </c>
      <c r="CA61" s="213">
        <f t="shared" si="34"/>
        <v>5477242.3776000002</v>
      </c>
      <c r="CB61" s="221">
        <f t="shared" si="35"/>
        <v>65055000</v>
      </c>
      <c r="CC61" s="222">
        <f t="shared" si="36"/>
        <v>10281000</v>
      </c>
      <c r="CD61" s="223">
        <f t="shared" si="7"/>
        <v>13.64686205798025</v>
      </c>
      <c r="CK61" s="187"/>
      <c r="CL61" s="188"/>
    </row>
    <row r="62" spans="1:117" ht="17.25" customHeight="1">
      <c r="A62" s="23">
        <f t="shared" si="9"/>
        <v>59</v>
      </c>
      <c r="B62" s="23" t="s">
        <v>439</v>
      </c>
      <c r="C62" s="190">
        <v>2014176</v>
      </c>
      <c r="D62" s="194" t="s">
        <v>511</v>
      </c>
      <c r="E62" s="227" t="s">
        <v>327</v>
      </c>
      <c r="F62" s="227" t="s">
        <v>1051</v>
      </c>
      <c r="G62" s="23" t="s">
        <v>825</v>
      </c>
      <c r="H62" s="227" t="s">
        <v>640</v>
      </c>
      <c r="I62" s="227" t="s">
        <v>309</v>
      </c>
      <c r="J62" s="194" t="s">
        <v>207</v>
      </c>
      <c r="K62" s="79" t="s">
        <v>627</v>
      </c>
      <c r="L62" s="227" t="s">
        <v>1052</v>
      </c>
      <c r="M62" s="227" t="s">
        <v>1053</v>
      </c>
      <c r="N62" s="228" t="s">
        <v>1054</v>
      </c>
      <c r="O62" s="194" t="s">
        <v>1055</v>
      </c>
      <c r="P62" s="229" t="s">
        <v>1056</v>
      </c>
      <c r="Q62" s="214">
        <v>39417</v>
      </c>
      <c r="R62" s="214">
        <v>41834</v>
      </c>
      <c r="S62" s="214"/>
      <c r="T62" s="231" t="s">
        <v>1057</v>
      </c>
      <c r="U62" s="200"/>
      <c r="V62" s="201" t="s">
        <v>278</v>
      </c>
      <c r="W62" s="231" t="s">
        <v>1058</v>
      </c>
      <c r="X62" s="200"/>
      <c r="Y62" s="200"/>
      <c r="Z62" s="203">
        <f t="shared" ca="1" si="21"/>
        <v>6744</v>
      </c>
      <c r="AA62" s="203">
        <f t="shared" ca="1" si="1"/>
        <v>4327</v>
      </c>
      <c r="AB62" s="232"/>
      <c r="AC62" s="232"/>
      <c r="AD62" s="78" t="s">
        <v>1059</v>
      </c>
      <c r="AE62" s="78" t="s">
        <v>190</v>
      </c>
      <c r="AF62" s="78" t="s">
        <v>218</v>
      </c>
      <c r="AG62" s="78" t="s">
        <v>218</v>
      </c>
      <c r="AH62" s="23" t="s">
        <v>161</v>
      </c>
      <c r="AI62" s="23" t="s">
        <v>1060</v>
      </c>
      <c r="AJ62" s="23" t="s">
        <v>542</v>
      </c>
      <c r="AK62" s="233" t="s">
        <v>1061</v>
      </c>
      <c r="AL62" s="78" t="s">
        <v>1062</v>
      </c>
      <c r="AM62" s="206" t="s">
        <v>1063</v>
      </c>
      <c r="AN62" s="207" t="s">
        <v>1064</v>
      </c>
      <c r="AO62" s="78" t="s">
        <v>524</v>
      </c>
      <c r="AP62" s="78" t="s">
        <v>1065</v>
      </c>
      <c r="AQ62" s="201" t="s">
        <v>895</v>
      </c>
      <c r="AR62" s="201" t="s">
        <v>654</v>
      </c>
      <c r="AS62" s="209" t="s">
        <v>526</v>
      </c>
      <c r="AT62" s="23" t="s">
        <v>201</v>
      </c>
      <c r="AU62" s="23" t="s">
        <v>435</v>
      </c>
      <c r="AV62" s="210" t="s">
        <v>454</v>
      </c>
      <c r="AW62" s="211">
        <v>6330000</v>
      </c>
      <c r="AX62" s="175">
        <v>6330000</v>
      </c>
      <c r="AY62" s="212">
        <v>12</v>
      </c>
      <c r="AZ62" s="213">
        <f t="shared" si="2"/>
        <v>75960000</v>
      </c>
      <c r="BA62" s="234"/>
      <c r="BB62" s="234"/>
      <c r="BC62" s="214">
        <v>45839</v>
      </c>
      <c r="BD62" s="215">
        <v>50364000</v>
      </c>
      <c r="BE62" s="215">
        <v>51564000</v>
      </c>
      <c r="BF62" s="215">
        <f t="shared" si="22"/>
        <v>51564000</v>
      </c>
      <c r="BG62" s="215">
        <f t="shared" si="23"/>
        <v>4297000</v>
      </c>
      <c r="BH62" s="215">
        <v>3679300</v>
      </c>
      <c r="BI62" s="216">
        <f t="shared" si="37"/>
        <v>18561.240000000002</v>
      </c>
      <c r="BJ62" s="216">
        <f>IF(AT62="통상",209,VLOOKUP(AD62,'[2]스케줄 분석_20260109'!$B$3:$F$20,5,FALSE))</f>
        <v>209</v>
      </c>
      <c r="BK62" s="216">
        <f>IF(AT62="통상",15,VLOOKUP(AD62,'[2]스케줄 분석_20260109'!$B$3:$P$20,10,FALSE))</f>
        <v>15</v>
      </c>
      <c r="BL62" s="216">
        <f>IF(AT62="통상",0,VLOOKUP(AD62,'[2]스케줄 분석_20260109'!$B$3:$P$20,11,FALSE))</f>
        <v>0</v>
      </c>
      <c r="BM62" s="215">
        <f t="shared" si="24"/>
        <v>417700</v>
      </c>
      <c r="BN62" s="175">
        <f t="shared" si="25"/>
        <v>0</v>
      </c>
      <c r="BO62" s="213">
        <v>200000</v>
      </c>
      <c r="BP62" s="175">
        <f>IF(OR(AT62="스케줄",AT62="스케줄_파라"),ROUNDUP(VLOOKUP(AD62,'[2]스케줄 분석_20260109'!$B$3:$Y$20,23,FALSE)*(VLOOKUP(AD62,'[2]스케줄 분석_20260109'!$B$3:$Y$20,21,FALSE)/VLOOKUP(AD62,'[2]스케줄 분석_20260109'!$B$3:$Y$20,20,FALSE))*VLOOKUP(AD62,'[2]스케줄 분석_20260109'!$B$3:$Y$20,22,FALSE)*VLOOKUP(AD62,'[2]스케줄 분석_20260109'!$B$3:$Y$20,2,FALSE)*1.5*BI62,0),0)</f>
        <v>0</v>
      </c>
      <c r="BQ62" s="217" t="str">
        <f t="shared" si="26"/>
        <v>적합</v>
      </c>
      <c r="BR62" s="213"/>
      <c r="BS62" s="218">
        <f t="shared" si="27"/>
        <v>742449.60000000009</v>
      </c>
      <c r="BT62" s="219">
        <f t="shared" si="28"/>
        <v>4358870.8</v>
      </c>
      <c r="BU62" s="175">
        <f t="shared" si="29"/>
        <v>2335290</v>
      </c>
      <c r="BV62" s="175">
        <f t="shared" si="30"/>
        <v>2002469.3855999997</v>
      </c>
      <c r="BW62" s="175">
        <f t="shared" si="31"/>
        <v>762042</v>
      </c>
      <c r="BX62" s="175">
        <f t="shared" si="32"/>
        <v>324482.40000000002</v>
      </c>
      <c r="BY62" s="213">
        <f t="shared" si="20"/>
        <v>5371250</v>
      </c>
      <c r="BZ62" s="220">
        <f t="shared" si="33"/>
        <v>56665320.399999999</v>
      </c>
      <c r="CA62" s="213">
        <f t="shared" si="34"/>
        <v>5424283.7856000001</v>
      </c>
      <c r="CB62" s="221">
        <f t="shared" si="35"/>
        <v>64455000</v>
      </c>
      <c r="CC62" s="222">
        <f t="shared" si="36"/>
        <v>11505000</v>
      </c>
      <c r="CD62" s="223">
        <f t="shared" si="7"/>
        <v>15.14612954186414</v>
      </c>
      <c r="CK62" s="187"/>
      <c r="CL62" s="188"/>
      <c r="DL62" s="121"/>
      <c r="DM62" s="121"/>
    </row>
    <row r="63" spans="1:117" ht="17.25" customHeight="1">
      <c r="A63" s="23">
        <f t="shared" si="9"/>
        <v>60</v>
      </c>
      <c r="B63" s="23" t="s">
        <v>439</v>
      </c>
      <c r="C63" s="190">
        <v>2014181</v>
      </c>
      <c r="D63" s="194" t="s">
        <v>541</v>
      </c>
      <c r="E63" s="227" t="s">
        <v>706</v>
      </c>
      <c r="F63" s="227" t="s">
        <v>1066</v>
      </c>
      <c r="G63" s="23" t="s">
        <v>176</v>
      </c>
      <c r="H63" s="227" t="s">
        <v>729</v>
      </c>
      <c r="I63" s="227" t="s">
        <v>151</v>
      </c>
      <c r="J63" s="194" t="s">
        <v>207</v>
      </c>
      <c r="K63" s="79" t="s">
        <v>708</v>
      </c>
      <c r="L63" s="227" t="s">
        <v>1067</v>
      </c>
      <c r="M63" s="227" t="s">
        <v>1068</v>
      </c>
      <c r="N63" s="228" t="s">
        <v>1069</v>
      </c>
      <c r="O63" t="s">
        <v>1070</v>
      </c>
      <c r="P63" s="229" t="s">
        <v>1071</v>
      </c>
      <c r="Q63" s="214">
        <v>40848</v>
      </c>
      <c r="R63" s="214">
        <v>41555</v>
      </c>
      <c r="S63" s="214">
        <v>41852</v>
      </c>
      <c r="T63" s="231" t="s">
        <v>1072</v>
      </c>
      <c r="U63" s="231" t="s">
        <v>1073</v>
      </c>
      <c r="V63" s="201" t="s">
        <v>394</v>
      </c>
      <c r="Z63" s="203">
        <f t="shared" ca="1" si="21"/>
        <v>5313</v>
      </c>
      <c r="AA63" s="203">
        <f t="shared" ca="1" si="1"/>
        <v>4606</v>
      </c>
      <c r="AB63" s="232"/>
      <c r="AC63" s="232"/>
      <c r="AD63" s="78" t="s">
        <v>714</v>
      </c>
      <c r="AE63" s="78" t="s">
        <v>217</v>
      </c>
      <c r="AF63" s="78" t="s">
        <v>160</v>
      </c>
      <c r="AG63" s="78" t="s">
        <v>160</v>
      </c>
      <c r="AH63" s="23" t="s">
        <v>161</v>
      </c>
      <c r="AI63" s="23" t="s">
        <v>162</v>
      </c>
      <c r="AJ63" s="23" t="s">
        <v>483</v>
      </c>
      <c r="AK63" s="23">
        <v>13486</v>
      </c>
      <c r="AL63" s="78" t="s">
        <v>163</v>
      </c>
      <c r="AM63" s="206">
        <v>14526</v>
      </c>
      <c r="AN63" s="207" t="s">
        <v>1074</v>
      </c>
      <c r="AO63" s="78" t="s">
        <v>166</v>
      </c>
      <c r="AP63" s="78" t="s">
        <v>1075</v>
      </c>
      <c r="AQ63" s="201" t="s">
        <v>1076</v>
      </c>
      <c r="AR63" s="201" t="s">
        <v>1077</v>
      </c>
      <c r="AS63" s="209" t="s">
        <v>488</v>
      </c>
      <c r="AT63" s="23" t="s">
        <v>201</v>
      </c>
      <c r="AU63" s="23" t="s">
        <v>435</v>
      </c>
      <c r="AV63" s="210" t="s">
        <v>454</v>
      </c>
      <c r="AW63" s="211">
        <v>5569000</v>
      </c>
      <c r="AX63" s="175">
        <v>5569000</v>
      </c>
      <c r="AY63" s="236">
        <v>12</v>
      </c>
      <c r="AZ63" s="213">
        <f t="shared" si="2"/>
        <v>66828000</v>
      </c>
      <c r="BC63" s="214">
        <v>45839</v>
      </c>
      <c r="BD63" s="215">
        <v>47808000</v>
      </c>
      <c r="BE63" s="215">
        <v>49248000</v>
      </c>
      <c r="BF63" s="215">
        <f t="shared" si="22"/>
        <v>49248000</v>
      </c>
      <c r="BG63" s="215">
        <f t="shared" si="23"/>
        <v>4104000</v>
      </c>
      <c r="BH63" s="215">
        <v>3505100</v>
      </c>
      <c r="BI63" s="216">
        <f t="shared" si="37"/>
        <v>17727.75</v>
      </c>
      <c r="BJ63" s="216">
        <f>IF(AT63="통상",209,VLOOKUP(AD63,'[2]스케줄 분석_20260109'!$B$3:$F$20,5,FALSE))</f>
        <v>209</v>
      </c>
      <c r="BK63" s="216">
        <f>IF(AT63="통상",15,VLOOKUP(AD63,'[2]스케줄 분석_20260109'!$B$3:$P$20,10,FALSE))</f>
        <v>15</v>
      </c>
      <c r="BL63" s="216">
        <f>IF(AT63="통상",0,VLOOKUP(AD63,'[2]스케줄 분석_20260109'!$B$3:$P$20,11,FALSE))</f>
        <v>0</v>
      </c>
      <c r="BM63" s="215">
        <f t="shared" si="24"/>
        <v>398900</v>
      </c>
      <c r="BN63" s="175">
        <f t="shared" si="25"/>
        <v>0</v>
      </c>
      <c r="BO63" s="213">
        <v>200000</v>
      </c>
      <c r="BP63" s="175">
        <f>IF(OR(AT63="스케줄",AT63="스케줄_파라"),ROUNDUP(VLOOKUP(AD63,'[2]스케줄 분석_20260109'!$B$3:$Y$20,23,FALSE)*(VLOOKUP(AD63,'[2]스케줄 분석_20260109'!$B$3:$Y$20,21,FALSE)/VLOOKUP(AD63,'[2]스케줄 분석_20260109'!$B$3:$Y$20,20,FALSE))*VLOOKUP(AD63,'[2]스케줄 분석_20260109'!$B$3:$Y$20,22,FALSE)*VLOOKUP(AD63,'[2]스케줄 분석_20260109'!$B$3:$Y$20,2,FALSE)*1.5*BI63,0),0)</f>
        <v>0</v>
      </c>
      <c r="BQ63" s="217" t="str">
        <f t="shared" si="26"/>
        <v>적합</v>
      </c>
      <c r="BR63" s="213"/>
      <c r="BS63" s="218">
        <f t="shared" si="27"/>
        <v>709110</v>
      </c>
      <c r="BT63" s="219">
        <f t="shared" si="28"/>
        <v>4163092.5</v>
      </c>
      <c r="BU63" s="175">
        <f t="shared" si="29"/>
        <v>2225280</v>
      </c>
      <c r="BV63" s="175">
        <f t="shared" si="30"/>
        <v>1908137.7791999998</v>
      </c>
      <c r="BW63" s="175">
        <f t="shared" si="31"/>
        <v>726144</v>
      </c>
      <c r="BX63" s="175">
        <f t="shared" si="32"/>
        <v>309196.79999999999</v>
      </c>
      <c r="BY63" s="213">
        <f t="shared" si="20"/>
        <v>5130000</v>
      </c>
      <c r="BZ63" s="220">
        <f t="shared" si="33"/>
        <v>54120202.5</v>
      </c>
      <c r="CA63" s="213">
        <f t="shared" si="34"/>
        <v>5168758.5791999996</v>
      </c>
      <c r="CB63" s="221">
        <f t="shared" si="35"/>
        <v>61560000</v>
      </c>
      <c r="CC63" s="222">
        <f t="shared" si="36"/>
        <v>5268000</v>
      </c>
      <c r="CD63" s="223">
        <f t="shared" si="7"/>
        <v>7.8829233255521647</v>
      </c>
      <c r="CK63" s="187"/>
      <c r="CL63" s="188"/>
    </row>
    <row r="64" spans="1:117" ht="17.25" customHeight="1">
      <c r="A64" s="23">
        <f t="shared" si="9"/>
        <v>61</v>
      </c>
      <c r="B64" s="23" t="s">
        <v>439</v>
      </c>
      <c r="C64" s="190">
        <v>2014192</v>
      </c>
      <c r="D64" s="194" t="s">
        <v>202</v>
      </c>
      <c r="E64" s="227" t="s">
        <v>1078</v>
      </c>
      <c r="F64" s="227" t="s">
        <v>1079</v>
      </c>
      <c r="G64" s="23" t="s">
        <v>825</v>
      </c>
      <c r="H64" s="227" t="s">
        <v>640</v>
      </c>
      <c r="I64" s="227" t="s">
        <v>309</v>
      </c>
      <c r="J64" s="194" t="s">
        <v>207</v>
      </c>
      <c r="K64" s="79" t="s">
        <v>589</v>
      </c>
      <c r="L64" s="227" t="s">
        <v>1080</v>
      </c>
      <c r="M64" s="227" t="s">
        <v>1081</v>
      </c>
      <c r="N64" s="228" t="s">
        <v>1082</v>
      </c>
      <c r="O64" s="194" t="s">
        <v>1083</v>
      </c>
      <c r="P64" s="229" t="s">
        <v>1084</v>
      </c>
      <c r="Q64" s="214">
        <v>39753</v>
      </c>
      <c r="R64" s="214">
        <v>41932</v>
      </c>
      <c r="S64" s="214"/>
      <c r="T64" s="231" t="s">
        <v>1085</v>
      </c>
      <c r="U64" s="231" t="s">
        <v>1086</v>
      </c>
      <c r="V64" s="201" t="s">
        <v>394</v>
      </c>
      <c r="W64" s="200"/>
      <c r="X64" s="200"/>
      <c r="Y64" s="200"/>
      <c r="Z64" s="203">
        <f t="shared" ca="1" si="21"/>
        <v>6408</v>
      </c>
      <c r="AA64" s="203">
        <f t="shared" ca="1" si="1"/>
        <v>4229</v>
      </c>
      <c r="AB64" s="232"/>
      <c r="AC64" s="232"/>
      <c r="AD64" s="78" t="s">
        <v>216</v>
      </c>
      <c r="AE64" s="78" t="s">
        <v>217</v>
      </c>
      <c r="AF64" s="78" t="s">
        <v>218</v>
      </c>
      <c r="AG64" s="78" t="s">
        <v>218</v>
      </c>
      <c r="AH64" s="23" t="s">
        <v>161</v>
      </c>
      <c r="AI64" s="23" t="s">
        <v>162</v>
      </c>
      <c r="AJ64" s="23" t="s">
        <v>535</v>
      </c>
      <c r="AK64" s="23">
        <v>13594</v>
      </c>
      <c r="AL64" s="78" t="s">
        <v>219</v>
      </c>
      <c r="AM64" s="206" t="s">
        <v>1087</v>
      </c>
      <c r="AN64" s="207" t="s">
        <v>1088</v>
      </c>
      <c r="AO64" s="78" t="s">
        <v>222</v>
      </c>
      <c r="AP64" s="78" t="s">
        <v>597</v>
      </c>
      <c r="AQ64" s="201" t="s">
        <v>598</v>
      </c>
      <c r="AS64" s="209" t="s">
        <v>226</v>
      </c>
      <c r="AT64" s="23" t="s">
        <v>201</v>
      </c>
      <c r="AU64" s="23" t="s">
        <v>435</v>
      </c>
      <c r="AV64" s="210" t="s">
        <v>454</v>
      </c>
      <c r="AW64" s="211">
        <v>6905000</v>
      </c>
      <c r="AX64" s="175">
        <v>6905000</v>
      </c>
      <c r="AY64" s="212">
        <v>12</v>
      </c>
      <c r="AZ64" s="213">
        <f t="shared" si="2"/>
        <v>82860000</v>
      </c>
      <c r="BA64" s="234"/>
      <c r="BB64" s="234"/>
      <c r="BC64" s="214">
        <v>45839</v>
      </c>
      <c r="BD64" s="215">
        <v>54804000</v>
      </c>
      <c r="BE64" s="215">
        <v>56004000</v>
      </c>
      <c r="BF64" s="215">
        <f t="shared" si="22"/>
        <v>56004000</v>
      </c>
      <c r="BG64" s="215">
        <f t="shared" si="23"/>
        <v>4667000</v>
      </c>
      <c r="BH64" s="215">
        <v>4013400</v>
      </c>
      <c r="BI64" s="216">
        <f t="shared" si="37"/>
        <v>20159.810000000001</v>
      </c>
      <c r="BJ64" s="216">
        <f>IF(AT64="통상",209,VLOOKUP(AD64,'[2]스케줄 분석_20260109'!$B$3:$F$20,5,FALSE))</f>
        <v>209</v>
      </c>
      <c r="BK64" s="216">
        <f>IF(AT64="통상",15,VLOOKUP(AD64,'[2]스케줄 분석_20260109'!$B$3:$P$20,10,FALSE))</f>
        <v>15</v>
      </c>
      <c r="BL64" s="216">
        <f>IF(AT64="통상",0,VLOOKUP(AD64,'[2]스케줄 분석_20260109'!$B$3:$P$20,11,FALSE))</f>
        <v>0</v>
      </c>
      <c r="BM64" s="215">
        <f t="shared" si="24"/>
        <v>453600</v>
      </c>
      <c r="BN64" s="175">
        <f t="shared" si="25"/>
        <v>0</v>
      </c>
      <c r="BO64" s="213">
        <v>200000</v>
      </c>
      <c r="BP64" s="175">
        <f>IF(OR(AT64="스케줄",AT64="스케줄_파라"),ROUNDUP(VLOOKUP(AD64,'[2]스케줄 분석_20260109'!$B$3:$Y$20,23,FALSE)*(VLOOKUP(AD64,'[2]스케줄 분석_20260109'!$B$3:$Y$20,21,FALSE)/VLOOKUP(AD64,'[2]스케줄 분석_20260109'!$B$3:$Y$20,20,FALSE))*VLOOKUP(AD64,'[2]스케줄 분석_20260109'!$B$3:$Y$20,22,FALSE)*VLOOKUP(AD64,'[2]스케줄 분석_20260109'!$B$3:$Y$20,2,FALSE)*1.5*BI64,0),0)</f>
        <v>0</v>
      </c>
      <c r="BQ64" s="217" t="str">
        <f t="shared" si="26"/>
        <v>적합</v>
      </c>
      <c r="BR64" s="213"/>
      <c r="BS64" s="218">
        <f t="shared" si="27"/>
        <v>806392.4</v>
      </c>
      <c r="BT64" s="219">
        <f t="shared" si="28"/>
        <v>4734199.3666666662</v>
      </c>
      <c r="BU64" s="175">
        <f t="shared" si="29"/>
        <v>2546190</v>
      </c>
      <c r="BV64" s="175">
        <f t="shared" si="30"/>
        <v>2183312.3615999995</v>
      </c>
      <c r="BW64" s="175">
        <f t="shared" si="31"/>
        <v>830862</v>
      </c>
      <c r="BX64" s="175">
        <f t="shared" si="32"/>
        <v>353786.4</v>
      </c>
      <c r="BY64" s="213">
        <f t="shared" si="20"/>
        <v>5833750</v>
      </c>
      <c r="BZ64" s="220">
        <f t="shared" si="33"/>
        <v>61544591.766666666</v>
      </c>
      <c r="CA64" s="213">
        <f t="shared" si="34"/>
        <v>5914150.7615999999</v>
      </c>
      <c r="CB64" s="221">
        <f t="shared" si="35"/>
        <v>70005000</v>
      </c>
      <c r="CC64" s="222">
        <f t="shared" si="36"/>
        <v>12855000</v>
      </c>
      <c r="CD64" s="223">
        <f t="shared" si="7"/>
        <v>15.514120202751631</v>
      </c>
      <c r="CK64" s="187"/>
      <c r="CL64" s="188"/>
    </row>
    <row r="65" spans="1:117" ht="17.25" customHeight="1">
      <c r="A65" s="23">
        <f t="shared" si="9"/>
        <v>62</v>
      </c>
      <c r="B65" s="23" t="s">
        <v>439</v>
      </c>
      <c r="C65" s="190">
        <v>2015068</v>
      </c>
      <c r="D65" s="194" t="s">
        <v>1089</v>
      </c>
      <c r="E65" s="227" t="s">
        <v>1090</v>
      </c>
      <c r="F65" s="227" t="s">
        <v>1090</v>
      </c>
      <c r="G65" s="23" t="s">
        <v>476</v>
      </c>
      <c r="H65" s="227" t="s">
        <v>177</v>
      </c>
      <c r="I65" s="227" t="s">
        <v>151</v>
      </c>
      <c r="J65" s="194" t="s">
        <v>178</v>
      </c>
      <c r="K65" s="79" t="s">
        <v>627</v>
      </c>
      <c r="L65" s="227" t="s">
        <v>1091</v>
      </c>
      <c r="M65" s="227"/>
      <c r="N65" s="228" t="s">
        <v>1092</v>
      </c>
      <c r="O65" s="240" t="s">
        <v>1093</v>
      </c>
      <c r="P65" s="229" t="s">
        <v>1094</v>
      </c>
      <c r="Q65" s="214">
        <v>37865</v>
      </c>
      <c r="R65" s="214">
        <v>42186</v>
      </c>
      <c r="S65" s="214"/>
      <c r="T65" s="231" t="s">
        <v>1095</v>
      </c>
      <c r="U65" s="231" t="s">
        <v>1096</v>
      </c>
      <c r="V65" s="201" t="s">
        <v>394</v>
      </c>
      <c r="W65" s="231" t="s">
        <v>187</v>
      </c>
      <c r="X65" s="200" t="s">
        <v>498</v>
      </c>
      <c r="Y65" s="200"/>
      <c r="Z65" s="203">
        <f t="shared" ca="1" si="21"/>
        <v>8296</v>
      </c>
      <c r="AA65" s="203">
        <f t="shared" ca="1" si="1"/>
        <v>3975</v>
      </c>
      <c r="AB65" s="232"/>
      <c r="AC65" s="232"/>
      <c r="AD65" s="78" t="s">
        <v>1097</v>
      </c>
      <c r="AE65" s="78" t="s">
        <v>190</v>
      </c>
      <c r="AF65" s="78" t="s">
        <v>218</v>
      </c>
      <c r="AG65" s="78" t="s">
        <v>218</v>
      </c>
      <c r="AH65" s="23" t="s">
        <v>161</v>
      </c>
      <c r="AI65" s="23" t="s">
        <v>1098</v>
      </c>
      <c r="AJ65" s="23" t="s">
        <v>633</v>
      </c>
      <c r="AK65" s="233" t="s">
        <v>1099</v>
      </c>
      <c r="AL65" s="78" t="s">
        <v>1100</v>
      </c>
      <c r="AM65" s="206" t="s">
        <v>1101</v>
      </c>
      <c r="AN65" s="207" t="s">
        <v>1102</v>
      </c>
      <c r="AO65" s="78" t="s">
        <v>197</v>
      </c>
      <c r="AP65" s="78" t="s">
        <v>1103</v>
      </c>
      <c r="AQ65" s="201" t="s">
        <v>921</v>
      </c>
      <c r="AS65" s="209" t="s">
        <v>1104</v>
      </c>
      <c r="AT65" s="23" t="s">
        <v>201</v>
      </c>
      <c r="AU65" s="23" t="s">
        <v>435</v>
      </c>
      <c r="AV65" s="210" t="s">
        <v>454</v>
      </c>
      <c r="AW65" s="211">
        <v>5882000</v>
      </c>
      <c r="AX65" s="175">
        <v>5882000</v>
      </c>
      <c r="AY65" s="212">
        <v>12</v>
      </c>
      <c r="AZ65" s="213">
        <f t="shared" si="2"/>
        <v>70584000</v>
      </c>
      <c r="BA65" s="213"/>
      <c r="BB65" s="213"/>
      <c r="BC65" s="214">
        <v>45839</v>
      </c>
      <c r="BD65" s="235">
        <v>49800000</v>
      </c>
      <c r="BE65" s="215">
        <v>51444000</v>
      </c>
      <c r="BF65" s="215">
        <f t="shared" si="22"/>
        <v>51444000</v>
      </c>
      <c r="BG65" s="215">
        <f t="shared" si="23"/>
        <v>4287000</v>
      </c>
      <c r="BH65" s="215">
        <v>3670300</v>
      </c>
      <c r="BI65" s="216">
        <f t="shared" si="37"/>
        <v>18518.18</v>
      </c>
      <c r="BJ65" s="216">
        <f>IF(AT65="통상",209,VLOOKUP(AD65,'[2]스케줄 분석_20260109'!$B$3:$F$20,5,FALSE))</f>
        <v>209</v>
      </c>
      <c r="BK65" s="216">
        <f>IF(AT65="통상",15,VLOOKUP(AD65,'[2]스케줄 분석_20260109'!$B$3:$P$20,10,FALSE))</f>
        <v>15</v>
      </c>
      <c r="BL65" s="216">
        <f>IF(AT65="통상",0,VLOOKUP(AD65,'[2]스케줄 분석_20260109'!$B$3:$P$20,11,FALSE))</f>
        <v>0</v>
      </c>
      <c r="BM65" s="215">
        <f t="shared" si="24"/>
        <v>416700</v>
      </c>
      <c r="BN65" s="175">
        <f t="shared" si="25"/>
        <v>0</v>
      </c>
      <c r="BO65" s="213">
        <v>200000</v>
      </c>
      <c r="BP65" s="175">
        <f>IF(OR(AT65="스케줄",AT65="스케줄_파라"),ROUNDUP(VLOOKUP(AD65,'[2]스케줄 분석_20260109'!$B$3:$Y$20,23,FALSE)*(VLOOKUP(AD65,'[2]스케줄 분석_20260109'!$B$3:$Y$20,21,FALSE)/VLOOKUP(AD65,'[2]스케줄 분석_20260109'!$B$3:$Y$20,20,FALSE))*VLOOKUP(AD65,'[2]스케줄 분석_20260109'!$B$3:$Y$20,22,FALSE)*VLOOKUP(AD65,'[2]스케줄 분석_20260109'!$B$3:$Y$20,2,FALSE)*1.5*BI65,0),0)</f>
        <v>0</v>
      </c>
      <c r="BQ65" s="217" t="str">
        <f t="shared" si="26"/>
        <v>적합</v>
      </c>
      <c r="BR65" s="213"/>
      <c r="BS65" s="218">
        <f t="shared" si="27"/>
        <v>740727.2</v>
      </c>
      <c r="BT65" s="219">
        <f t="shared" si="28"/>
        <v>4348727.2666666666</v>
      </c>
      <c r="BU65" s="175">
        <f t="shared" si="29"/>
        <v>2329590</v>
      </c>
      <c r="BV65" s="175">
        <f t="shared" si="30"/>
        <v>1997581.7375999996</v>
      </c>
      <c r="BW65" s="175">
        <f t="shared" si="31"/>
        <v>760182</v>
      </c>
      <c r="BX65" s="175">
        <f t="shared" si="32"/>
        <v>323690.40000000002</v>
      </c>
      <c r="BY65" s="213">
        <f t="shared" si="20"/>
        <v>5358750</v>
      </c>
      <c r="BZ65" s="220">
        <f t="shared" si="33"/>
        <v>56533454.466666669</v>
      </c>
      <c r="CA65" s="213">
        <f t="shared" si="34"/>
        <v>5411044.1376</v>
      </c>
      <c r="CB65" s="221">
        <f t="shared" si="35"/>
        <v>64305000</v>
      </c>
      <c r="CC65" s="222">
        <f t="shared" si="36"/>
        <v>6279000</v>
      </c>
      <c r="CD65" s="223">
        <f t="shared" si="7"/>
        <v>8.8957837470248222</v>
      </c>
      <c r="CK65" s="187"/>
      <c r="CL65" s="188"/>
    </row>
    <row r="66" spans="1:117" ht="17.25" customHeight="1">
      <c r="A66" s="23">
        <f t="shared" si="9"/>
        <v>63</v>
      </c>
      <c r="B66" s="23" t="s">
        <v>439</v>
      </c>
      <c r="C66" s="190">
        <v>2015071</v>
      </c>
      <c r="D66" s="194" t="s">
        <v>1105</v>
      </c>
      <c r="E66" s="227" t="s">
        <v>1106</v>
      </c>
      <c r="F66" s="227" t="s">
        <v>1107</v>
      </c>
      <c r="G66" s="23" t="s">
        <v>476</v>
      </c>
      <c r="H66" s="227" t="s">
        <v>177</v>
      </c>
      <c r="I66" s="227" t="s">
        <v>151</v>
      </c>
      <c r="J66" s="194" t="s">
        <v>1108</v>
      </c>
      <c r="K66" s="79" t="s">
        <v>641</v>
      </c>
      <c r="L66" s="227" t="s">
        <v>1091</v>
      </c>
      <c r="M66" s="227" t="s">
        <v>1109</v>
      </c>
      <c r="N66" s="228" t="s">
        <v>1110</v>
      </c>
      <c r="O66" s="194" t="s">
        <v>1111</v>
      </c>
      <c r="P66" s="229" t="s">
        <v>673</v>
      </c>
      <c r="Q66" s="214">
        <v>36526</v>
      </c>
      <c r="R66" s="214">
        <v>42188</v>
      </c>
      <c r="S66" s="214"/>
      <c r="T66" s="231" t="s">
        <v>1112</v>
      </c>
      <c r="U66" s="231" t="s">
        <v>915</v>
      </c>
      <c r="V66" s="201" t="s">
        <v>394</v>
      </c>
      <c r="W66" s="231" t="s">
        <v>1113</v>
      </c>
      <c r="X66" s="201" t="s">
        <v>1114</v>
      </c>
      <c r="Z66" s="203">
        <f t="shared" ca="1" si="21"/>
        <v>9635</v>
      </c>
      <c r="AA66" s="203">
        <f t="shared" ca="1" si="1"/>
        <v>3973</v>
      </c>
      <c r="AB66" s="232"/>
      <c r="AC66" s="232"/>
      <c r="AD66" s="78" t="s">
        <v>381</v>
      </c>
      <c r="AE66" s="78" t="s">
        <v>217</v>
      </c>
      <c r="AF66" s="78" t="s">
        <v>191</v>
      </c>
      <c r="AG66" s="78" t="s">
        <v>191</v>
      </c>
      <c r="AH66" s="23" t="s">
        <v>1115</v>
      </c>
      <c r="AI66" s="23" t="s">
        <v>365</v>
      </c>
      <c r="AJ66" s="23" t="s">
        <v>633</v>
      </c>
      <c r="AK66" s="23">
        <v>17336</v>
      </c>
      <c r="AL66" s="78" t="s">
        <v>1116</v>
      </c>
      <c r="AM66" s="206">
        <v>16990</v>
      </c>
      <c r="AN66" s="207" t="s">
        <v>1117</v>
      </c>
      <c r="AO66" s="78" t="s">
        <v>1118</v>
      </c>
      <c r="AP66" s="23" t="s">
        <v>1119</v>
      </c>
      <c r="AQ66" s="201" t="s">
        <v>895</v>
      </c>
      <c r="AS66" s="209" t="s">
        <v>1120</v>
      </c>
      <c r="AT66" s="23" t="s">
        <v>201</v>
      </c>
      <c r="AU66" s="23" t="s">
        <v>435</v>
      </c>
      <c r="AV66" s="210" t="s">
        <v>454</v>
      </c>
      <c r="AW66" s="251">
        <v>7030000</v>
      </c>
      <c r="AX66" s="175">
        <v>7030000</v>
      </c>
      <c r="AY66" s="212">
        <v>12</v>
      </c>
      <c r="AZ66" s="213">
        <f t="shared" si="2"/>
        <v>84360000</v>
      </c>
      <c r="BA66" s="213"/>
      <c r="BB66" s="213"/>
      <c r="BC66" s="214">
        <v>45839</v>
      </c>
      <c r="BD66" s="215">
        <v>52368000</v>
      </c>
      <c r="BE66" s="215">
        <v>53568000</v>
      </c>
      <c r="BF66" s="215">
        <f t="shared" si="22"/>
        <v>53568000</v>
      </c>
      <c r="BG66" s="215">
        <f t="shared" si="23"/>
        <v>4464000</v>
      </c>
      <c r="BH66" s="215">
        <v>3830100</v>
      </c>
      <c r="BI66" s="216">
        <f t="shared" si="37"/>
        <v>19282.78</v>
      </c>
      <c r="BJ66" s="216">
        <f>IF(AT66="통상",209,VLOOKUP(AD66,'[2]스케줄 분석_20260109'!$B$3:$F$20,5,FALSE))</f>
        <v>209</v>
      </c>
      <c r="BK66" s="216">
        <f>IF(AT66="통상",15,VLOOKUP(AD66,'[2]스케줄 분석_20260109'!$B$3:$P$20,10,FALSE))</f>
        <v>15</v>
      </c>
      <c r="BL66" s="216">
        <f>IF(AT66="통상",0,VLOOKUP(AD66,'[2]스케줄 분석_20260109'!$B$3:$P$20,11,FALSE))</f>
        <v>0</v>
      </c>
      <c r="BM66" s="215">
        <f t="shared" si="24"/>
        <v>433900</v>
      </c>
      <c r="BN66" s="175">
        <f t="shared" si="25"/>
        <v>0</v>
      </c>
      <c r="BO66" s="213">
        <v>200000</v>
      </c>
      <c r="BP66" s="175">
        <f>IF(OR(AT66="스케줄",AT66="스케줄_파라"),ROUNDUP(VLOOKUP(AD66,'[2]스케줄 분석_20260109'!$B$3:$Y$20,23,FALSE)*(VLOOKUP(AD66,'[2]스케줄 분석_20260109'!$B$3:$Y$20,21,FALSE)/VLOOKUP(AD66,'[2]스케줄 분석_20260109'!$B$3:$Y$20,20,FALSE))*VLOOKUP(AD66,'[2]스케줄 분석_20260109'!$B$3:$Y$20,22,FALSE)*VLOOKUP(AD66,'[2]스케줄 분석_20260109'!$B$3:$Y$20,2,FALSE)*1.5*BI66,0),0)</f>
        <v>0</v>
      </c>
      <c r="BQ66" s="217" t="str">
        <f t="shared" si="26"/>
        <v>적합</v>
      </c>
      <c r="BR66" s="213"/>
      <c r="BS66" s="218">
        <f t="shared" si="27"/>
        <v>771311.2</v>
      </c>
      <c r="BT66" s="219">
        <f t="shared" si="28"/>
        <v>4528275.9333333336</v>
      </c>
      <c r="BU66" s="175">
        <f t="shared" si="29"/>
        <v>2430480</v>
      </c>
      <c r="BV66" s="175">
        <f t="shared" si="30"/>
        <v>2084093.1071999997</v>
      </c>
      <c r="BW66" s="175">
        <f t="shared" si="31"/>
        <v>793104</v>
      </c>
      <c r="BX66" s="175">
        <f t="shared" si="32"/>
        <v>337708.79999999999</v>
      </c>
      <c r="BY66" s="213">
        <f t="shared" si="20"/>
        <v>5580000</v>
      </c>
      <c r="BZ66" s="220">
        <f t="shared" si="33"/>
        <v>58867587.13333334</v>
      </c>
      <c r="CA66" s="213">
        <f t="shared" si="34"/>
        <v>5645385.9071999993</v>
      </c>
      <c r="CB66" s="221">
        <f t="shared" si="35"/>
        <v>66960000</v>
      </c>
      <c r="CC66" s="222">
        <f t="shared" si="36"/>
        <v>17400000</v>
      </c>
      <c r="CD66" s="223">
        <f t="shared" si="7"/>
        <v>20.62588904694168</v>
      </c>
      <c r="CK66" s="187"/>
      <c r="CL66" s="188"/>
    </row>
    <row r="67" spans="1:117" ht="17.25" customHeight="1">
      <c r="A67" s="23">
        <f t="shared" si="9"/>
        <v>64</v>
      </c>
      <c r="B67" s="23" t="s">
        <v>439</v>
      </c>
      <c r="C67" s="190">
        <v>2015083</v>
      </c>
      <c r="D67" s="194" t="s">
        <v>490</v>
      </c>
      <c r="E67" s="227" t="s">
        <v>1121</v>
      </c>
      <c r="F67" s="227" t="s">
        <v>1122</v>
      </c>
      <c r="G67" s="23" t="s">
        <v>251</v>
      </c>
      <c r="H67" s="227" t="s">
        <v>150</v>
      </c>
      <c r="I67" s="227" t="s">
        <v>151</v>
      </c>
      <c r="J67" s="194" t="s">
        <v>207</v>
      </c>
      <c r="K67" s="79" t="s">
        <v>641</v>
      </c>
      <c r="L67" s="227"/>
      <c r="M67" s="227" t="s">
        <v>1123</v>
      </c>
      <c r="N67" s="228" t="s">
        <v>1124</v>
      </c>
      <c r="O67" s="194" t="s">
        <v>1125</v>
      </c>
      <c r="P67" s="229" t="s">
        <v>1126</v>
      </c>
      <c r="Q67" s="214">
        <v>38645</v>
      </c>
      <c r="R67" s="214">
        <v>42233</v>
      </c>
      <c r="S67" s="214"/>
      <c r="T67" s="231" t="s">
        <v>982</v>
      </c>
      <c r="U67" s="200"/>
      <c r="V67" s="201" t="s">
        <v>278</v>
      </c>
      <c r="W67" s="231" t="s">
        <v>1019</v>
      </c>
      <c r="X67" s="200" t="s">
        <v>498</v>
      </c>
      <c r="Y67" s="200"/>
      <c r="Z67" s="203">
        <f t="shared" ca="1" si="21"/>
        <v>7516</v>
      </c>
      <c r="AA67" s="203">
        <f t="shared" ca="1" si="1"/>
        <v>3928</v>
      </c>
      <c r="AB67" s="232"/>
      <c r="AC67" s="232"/>
      <c r="AD67" s="78" t="s">
        <v>890</v>
      </c>
      <c r="AE67" s="78" t="s">
        <v>190</v>
      </c>
      <c r="AF67" s="78" t="s">
        <v>263</v>
      </c>
      <c r="AG67" s="78" t="s">
        <v>263</v>
      </c>
      <c r="AH67" s="23" t="s">
        <v>161</v>
      </c>
      <c r="AI67" s="23" t="s">
        <v>503</v>
      </c>
      <c r="AJ67" s="23" t="s">
        <v>491</v>
      </c>
      <c r="AK67" s="23" t="s">
        <v>505</v>
      </c>
      <c r="AL67" s="78" t="s">
        <v>1127</v>
      </c>
      <c r="AM67" s="206" t="s">
        <v>1128</v>
      </c>
      <c r="AN67" s="207" t="s">
        <v>1129</v>
      </c>
      <c r="AO67" s="78" t="s">
        <v>222</v>
      </c>
      <c r="AP67" s="78" t="s">
        <v>1130</v>
      </c>
      <c r="AQ67" s="201" t="s">
        <v>1131</v>
      </c>
      <c r="AR67" s="201" t="s">
        <v>1132</v>
      </c>
      <c r="AS67" s="209" t="s">
        <v>1133</v>
      </c>
      <c r="AT67" s="23" t="s">
        <v>201</v>
      </c>
      <c r="AU67" s="23" t="s">
        <v>435</v>
      </c>
      <c r="AV67" s="210" t="s">
        <v>454</v>
      </c>
      <c r="AW67" s="211">
        <v>6275000</v>
      </c>
      <c r="AX67" s="175">
        <v>6275000</v>
      </c>
      <c r="AY67" s="212">
        <v>12</v>
      </c>
      <c r="AZ67" s="213">
        <f t="shared" si="2"/>
        <v>75300000</v>
      </c>
      <c r="BA67" s="252"/>
      <c r="BB67" s="252"/>
      <c r="BC67" s="214">
        <v>45839</v>
      </c>
      <c r="BD67" s="235">
        <v>48804000.000000007</v>
      </c>
      <c r="BE67" s="215">
        <v>50004000</v>
      </c>
      <c r="BF67" s="215">
        <f t="shared" si="22"/>
        <v>50004000</v>
      </c>
      <c r="BG67" s="215">
        <f t="shared" si="23"/>
        <v>4167000</v>
      </c>
      <c r="BH67" s="215">
        <v>3562000</v>
      </c>
      <c r="BI67" s="216">
        <f t="shared" si="37"/>
        <v>18000</v>
      </c>
      <c r="BJ67" s="216">
        <f>IF(AT67="통상",209,VLOOKUP(AD67,'[2]스케줄 분석_20260109'!$B$3:$F$20,5,FALSE))</f>
        <v>209</v>
      </c>
      <c r="BK67" s="216">
        <f>IF(AT67="통상",15,VLOOKUP(AD67,'[2]스케줄 분석_20260109'!$B$3:$P$20,10,FALSE))</f>
        <v>15</v>
      </c>
      <c r="BL67" s="216">
        <f>IF(AT67="통상",0,VLOOKUP(AD67,'[2]스케줄 분석_20260109'!$B$3:$P$20,11,FALSE))</f>
        <v>0</v>
      </c>
      <c r="BM67" s="215">
        <f t="shared" si="24"/>
        <v>405000</v>
      </c>
      <c r="BN67" s="175">
        <f t="shared" si="25"/>
        <v>0</v>
      </c>
      <c r="BO67" s="213">
        <v>200000</v>
      </c>
      <c r="BP67" s="175">
        <f>IF(OR(AT67="스케줄",AT67="스케줄_파라"),ROUNDUP(VLOOKUP(AD67,'[2]스케줄 분석_20260109'!$B$3:$Y$20,23,FALSE)*(VLOOKUP(AD67,'[2]스케줄 분석_20260109'!$B$3:$Y$20,21,FALSE)/VLOOKUP(AD67,'[2]스케줄 분석_20260109'!$B$3:$Y$20,20,FALSE))*VLOOKUP(AD67,'[2]스케줄 분석_20260109'!$B$3:$Y$20,22,FALSE)*VLOOKUP(AD67,'[2]스케줄 분석_20260109'!$B$3:$Y$20,2,FALSE)*1.5*BI67,0),0)</f>
        <v>0</v>
      </c>
      <c r="BQ67" s="217" t="str">
        <f t="shared" si="26"/>
        <v>적합</v>
      </c>
      <c r="BR67" s="213"/>
      <c r="BS67" s="218">
        <f t="shared" si="27"/>
        <v>720000</v>
      </c>
      <c r="BT67" s="219">
        <f t="shared" si="28"/>
        <v>4227000</v>
      </c>
      <c r="BU67" s="175">
        <f t="shared" si="29"/>
        <v>2261190</v>
      </c>
      <c r="BV67" s="175">
        <f t="shared" si="30"/>
        <v>1938929.9615999998</v>
      </c>
      <c r="BW67" s="175">
        <f t="shared" si="31"/>
        <v>737862</v>
      </c>
      <c r="BX67" s="175">
        <f t="shared" si="32"/>
        <v>314186.40000000002</v>
      </c>
      <c r="BY67" s="213">
        <f t="shared" si="20"/>
        <v>5208750</v>
      </c>
      <c r="BZ67" s="220">
        <f t="shared" si="33"/>
        <v>54951000</v>
      </c>
      <c r="CA67" s="213">
        <f t="shared" si="34"/>
        <v>5252168.3616000004</v>
      </c>
      <c r="CB67" s="221">
        <f t="shared" si="35"/>
        <v>62505000</v>
      </c>
      <c r="CC67" s="222">
        <f t="shared" si="36"/>
        <v>12795000</v>
      </c>
      <c r="CD67" s="223">
        <f t="shared" si="7"/>
        <v>16.992031872509962</v>
      </c>
      <c r="CK67" s="187"/>
      <c r="CL67" s="188"/>
    </row>
    <row r="68" spans="1:117" ht="17.25" customHeight="1">
      <c r="A68" s="23">
        <f t="shared" si="9"/>
        <v>65</v>
      </c>
      <c r="B68" s="23" t="s">
        <v>439</v>
      </c>
      <c r="C68" s="190">
        <v>2015092</v>
      </c>
      <c r="D68" s="194" t="s">
        <v>655</v>
      </c>
      <c r="E68" s="227" t="s">
        <v>656</v>
      </c>
      <c r="F68" s="23" t="s">
        <v>1134</v>
      </c>
      <c r="G68" s="23" t="s">
        <v>1010</v>
      </c>
      <c r="H68" s="227" t="s">
        <v>272</v>
      </c>
      <c r="I68" s="227" t="s">
        <v>151</v>
      </c>
      <c r="J68" s="194" t="s">
        <v>207</v>
      </c>
      <c r="K68" s="79" t="s">
        <v>841</v>
      </c>
      <c r="L68" s="227" t="s">
        <v>1135</v>
      </c>
      <c r="M68" s="227"/>
      <c r="N68" s="228" t="s">
        <v>1136</v>
      </c>
      <c r="O68" s="194" t="s">
        <v>1137</v>
      </c>
      <c r="P68" s="229" t="s">
        <v>1138</v>
      </c>
      <c r="Q68" s="214">
        <v>42263</v>
      </c>
      <c r="R68" s="214">
        <v>42263</v>
      </c>
      <c r="S68" s="214"/>
      <c r="T68" s="231" t="s">
        <v>1139</v>
      </c>
      <c r="U68" s="231" t="s">
        <v>1140</v>
      </c>
      <c r="V68" s="201" t="s">
        <v>394</v>
      </c>
      <c r="W68" s="231" t="s">
        <v>498</v>
      </c>
      <c r="X68" s="200" t="s">
        <v>188</v>
      </c>
      <c r="Y68" s="200" t="s">
        <v>187</v>
      </c>
      <c r="Z68" s="203">
        <f t="shared" ca="1" si="21"/>
        <v>3898</v>
      </c>
      <c r="AA68" s="203">
        <f t="shared" ca="1" si="1"/>
        <v>3898</v>
      </c>
      <c r="AB68" s="232"/>
      <c r="AC68" s="232"/>
      <c r="AD68" s="78" t="s">
        <v>675</v>
      </c>
      <c r="AE68" s="78" t="s">
        <v>217</v>
      </c>
      <c r="AF68" s="78" t="s">
        <v>160</v>
      </c>
      <c r="AG68" s="78" t="s">
        <v>160</v>
      </c>
      <c r="AH68" s="23" t="s">
        <v>161</v>
      </c>
      <c r="AI68" s="23" t="s">
        <v>162</v>
      </c>
      <c r="AJ68" s="23" t="s">
        <v>483</v>
      </c>
      <c r="AK68" s="23">
        <v>13486</v>
      </c>
      <c r="AL68" s="78" t="s">
        <v>163</v>
      </c>
      <c r="AM68" s="206" t="s">
        <v>1141</v>
      </c>
      <c r="AN68" s="207" t="s">
        <v>1142</v>
      </c>
      <c r="AO68" s="78" t="s">
        <v>166</v>
      </c>
      <c r="AP68" s="78" t="s">
        <v>1143</v>
      </c>
      <c r="AQ68" s="201" t="s">
        <v>1144</v>
      </c>
      <c r="AS68" s="209" t="s">
        <v>488</v>
      </c>
      <c r="AT68" s="23" t="s">
        <v>434</v>
      </c>
      <c r="AU68" s="23" t="s">
        <v>435</v>
      </c>
      <c r="AV68" s="210" t="s">
        <v>454</v>
      </c>
      <c r="AW68" s="211">
        <v>5844000</v>
      </c>
      <c r="AX68" s="175">
        <v>5844000</v>
      </c>
      <c r="AY68" s="212">
        <v>12</v>
      </c>
      <c r="AZ68" s="213">
        <f t="shared" si="2"/>
        <v>70128000</v>
      </c>
      <c r="BA68" s="213"/>
      <c r="BB68" s="213"/>
      <c r="BC68" s="214">
        <v>45839</v>
      </c>
      <c r="BD68" s="215">
        <v>42733200</v>
      </c>
      <c r="BE68" s="215">
        <v>43837200</v>
      </c>
      <c r="BF68" s="215">
        <f t="shared" si="22"/>
        <v>43837200</v>
      </c>
      <c r="BG68" s="215">
        <f t="shared" si="23"/>
        <v>3653100</v>
      </c>
      <c r="BH68" s="215">
        <v>2951800</v>
      </c>
      <c r="BI68" s="216">
        <f t="shared" si="37"/>
        <v>16479.14</v>
      </c>
      <c r="BJ68" s="216">
        <f>IF(AT68="통상",209,VLOOKUP(AD68,'[2]스케줄 분석_20260109'!$B$3:$F$20,5,FALSE))</f>
        <v>191.26</v>
      </c>
      <c r="BK68" s="216">
        <f>IF(AT68="통상",15,VLOOKUP(AD68,'[2]스케줄 분석_20260109'!$B$3:$P$20,10,FALSE))</f>
        <v>27.88</v>
      </c>
      <c r="BL68" s="216">
        <f>IF(AT68="통상",0,VLOOKUP(AD68,'[2]스케줄 분석_20260109'!$B$3:$P$20,11,FALSE))</f>
        <v>32.950000000000003</v>
      </c>
      <c r="BM68" s="215">
        <f t="shared" si="24"/>
        <v>229800</v>
      </c>
      <c r="BN68" s="175">
        <f t="shared" si="25"/>
        <v>271500</v>
      </c>
      <c r="BO68" s="213">
        <v>200000</v>
      </c>
      <c r="BP68" s="175">
        <f>IF(OR(AT68="스케줄",AT68="스케줄_파라"),ROUNDUP(VLOOKUP(AD68,'[2]스케줄 분석_20260109'!$B$3:$Y$20,23,FALSE)*(VLOOKUP(AD68,'[2]스케줄 분석_20260109'!$B$3:$Y$20,21,FALSE)/VLOOKUP(AD68,'[2]스케줄 분석_20260109'!$B$3:$Y$20,20,FALSE))*VLOOKUP(AD68,'[2]스케줄 분석_20260109'!$B$3:$Y$20,22,FALSE)*VLOOKUP(AD68,'[2]스케줄 분석_20260109'!$B$3:$Y$20,2,FALSE)*1.5*BI68,0),0)</f>
        <v>948039</v>
      </c>
      <c r="BQ68" s="217" t="str">
        <f t="shared" si="26"/>
        <v>적합</v>
      </c>
      <c r="BR68" s="253">
        <v>250000</v>
      </c>
      <c r="BS68" s="218">
        <f t="shared" si="27"/>
        <v>1647914</v>
      </c>
      <c r="BT68" s="219">
        <f t="shared" si="28"/>
        <v>3790426.1666666665</v>
      </c>
      <c r="BU68" s="175">
        <f t="shared" si="29"/>
        <v>1968267</v>
      </c>
      <c r="BV68" s="175">
        <f t="shared" si="30"/>
        <v>1687753.7308799999</v>
      </c>
      <c r="BW68" s="175">
        <f t="shared" si="31"/>
        <v>642276.6</v>
      </c>
      <c r="BX68" s="175">
        <f t="shared" si="32"/>
        <v>273485.52</v>
      </c>
      <c r="BY68" s="213">
        <f t="shared" si="20"/>
        <v>4566375</v>
      </c>
      <c r="BZ68" s="220">
        <f t="shared" si="33"/>
        <v>49275540.166666664</v>
      </c>
      <c r="CA68" s="213">
        <f t="shared" si="34"/>
        <v>4571782.8508799989</v>
      </c>
      <c r="CB68" s="221">
        <f t="shared" si="35"/>
        <v>54796500</v>
      </c>
      <c r="CC68" s="222">
        <f t="shared" si="36"/>
        <v>14184372.810000001</v>
      </c>
      <c r="CD68" s="223">
        <f t="shared" si="7"/>
        <v>20.226404303559207</v>
      </c>
      <c r="CK68" s="187"/>
      <c r="CL68" s="188"/>
    </row>
    <row r="69" spans="1:117" ht="17.25" customHeight="1">
      <c r="A69" s="23">
        <f t="shared" ref="A69:A132" si="38">ROW()-3</f>
        <v>66</v>
      </c>
      <c r="B69" s="23" t="s">
        <v>439</v>
      </c>
      <c r="C69" s="190">
        <v>2016001</v>
      </c>
      <c r="D69" s="194" t="s">
        <v>561</v>
      </c>
      <c r="E69" s="227" t="s">
        <v>1145</v>
      </c>
      <c r="F69" s="254" t="s">
        <v>1146</v>
      </c>
      <c r="G69" s="23" t="s">
        <v>476</v>
      </c>
      <c r="H69" s="227" t="s">
        <v>442</v>
      </c>
      <c r="I69" s="227" t="s">
        <v>309</v>
      </c>
      <c r="J69" s="194" t="s">
        <v>178</v>
      </c>
      <c r="K69" s="79" t="s">
        <v>589</v>
      </c>
      <c r="L69" s="227" t="s">
        <v>1091</v>
      </c>
      <c r="M69" s="254" t="s">
        <v>1147</v>
      </c>
      <c r="N69" s="228" t="s">
        <v>1148</v>
      </c>
      <c r="O69" s="194" t="s">
        <v>1149</v>
      </c>
      <c r="P69" s="229" t="s">
        <v>1150</v>
      </c>
      <c r="Q69" s="255">
        <v>36861</v>
      </c>
      <c r="R69" s="255">
        <v>42370</v>
      </c>
      <c r="S69" s="255"/>
      <c r="T69" s="231" t="s">
        <v>1151</v>
      </c>
      <c r="U69" s="231" t="s">
        <v>1086</v>
      </c>
      <c r="V69" s="201" t="s">
        <v>394</v>
      </c>
      <c r="W69" s="231" t="s">
        <v>1152</v>
      </c>
      <c r="X69" s="200"/>
      <c r="Y69" s="200"/>
      <c r="Z69" s="203">
        <f t="shared" ca="1" si="21"/>
        <v>9300</v>
      </c>
      <c r="AA69" s="203">
        <f t="shared" ca="1" si="1"/>
        <v>3791</v>
      </c>
      <c r="AB69" s="256"/>
      <c r="AC69" s="256"/>
      <c r="AD69" s="78" t="s">
        <v>189</v>
      </c>
      <c r="AE69" s="78" t="s">
        <v>190</v>
      </c>
      <c r="AF69" s="78" t="s">
        <v>191</v>
      </c>
      <c r="AG69" s="78" t="s">
        <v>191</v>
      </c>
      <c r="AH69" s="23" t="s">
        <v>161</v>
      </c>
      <c r="AI69" s="23" t="s">
        <v>192</v>
      </c>
      <c r="AJ69" s="23" t="s">
        <v>174</v>
      </c>
      <c r="AK69" s="233" t="s">
        <v>193</v>
      </c>
      <c r="AL69" s="78" t="s">
        <v>570</v>
      </c>
      <c r="AM69" s="206">
        <v>10321</v>
      </c>
      <c r="AN69" s="207" t="s">
        <v>1153</v>
      </c>
      <c r="AO69" s="78" t="s">
        <v>197</v>
      </c>
      <c r="AP69" s="78" t="s">
        <v>780</v>
      </c>
      <c r="AQ69" s="201" t="s">
        <v>598</v>
      </c>
      <c r="AR69" s="201" t="s">
        <v>654</v>
      </c>
      <c r="AS69" s="209" t="s">
        <v>200</v>
      </c>
      <c r="AT69" s="23" t="s">
        <v>201</v>
      </c>
      <c r="AU69" s="23" t="s">
        <v>435</v>
      </c>
      <c r="AV69" s="210" t="s">
        <v>454</v>
      </c>
      <c r="AW69" s="211">
        <v>7186000</v>
      </c>
      <c r="AX69" s="175">
        <v>7186000</v>
      </c>
      <c r="AY69" s="212">
        <v>12</v>
      </c>
      <c r="AZ69" s="213">
        <f t="shared" si="2"/>
        <v>86232000</v>
      </c>
      <c r="BA69" s="234"/>
      <c r="BB69" s="234"/>
      <c r="BC69" s="214">
        <v>45839</v>
      </c>
      <c r="BD69" s="215">
        <v>60984000</v>
      </c>
      <c r="BE69" s="215">
        <v>62328000</v>
      </c>
      <c r="BF69" s="215">
        <f t="shared" si="22"/>
        <v>62328000</v>
      </c>
      <c r="BG69" s="215">
        <f t="shared" si="23"/>
        <v>5194000</v>
      </c>
      <c r="BH69" s="215">
        <v>4489100</v>
      </c>
      <c r="BI69" s="216">
        <f t="shared" si="37"/>
        <v>22435.89</v>
      </c>
      <c r="BJ69" s="216">
        <f>IF(AT69="통상",209,VLOOKUP(AD69,'[2]스케줄 분석_20260109'!$B$3:$F$20,5,FALSE))</f>
        <v>209</v>
      </c>
      <c r="BK69" s="216">
        <f>IF(AT69="통상",15,VLOOKUP(AD69,'[2]스케줄 분석_20260109'!$B$3:$P$20,10,FALSE))</f>
        <v>15</v>
      </c>
      <c r="BL69" s="216">
        <f>IF(AT69="통상",0,VLOOKUP(AD69,'[2]스케줄 분석_20260109'!$B$3:$P$20,11,FALSE))</f>
        <v>0</v>
      </c>
      <c r="BM69" s="215">
        <f t="shared" si="24"/>
        <v>504900</v>
      </c>
      <c r="BN69" s="175">
        <f t="shared" si="25"/>
        <v>0</v>
      </c>
      <c r="BO69" s="213">
        <v>200000</v>
      </c>
      <c r="BP69" s="175">
        <f>IF(OR(AT69="스케줄",AT69="스케줄_파라"),ROUNDUP(VLOOKUP(AD69,'[2]스케줄 분석_20260109'!$B$3:$Y$20,23,FALSE)*(VLOOKUP(AD69,'[2]스케줄 분석_20260109'!$B$3:$Y$20,21,FALSE)/VLOOKUP(AD69,'[2]스케줄 분석_20260109'!$B$3:$Y$20,20,FALSE))*VLOOKUP(AD69,'[2]스케줄 분석_20260109'!$B$3:$Y$20,22,FALSE)*VLOOKUP(AD69,'[2]스케줄 분석_20260109'!$B$3:$Y$20,2,FALSE)*1.5*BI69,0),0)</f>
        <v>0</v>
      </c>
      <c r="BQ69" s="217" t="str">
        <f t="shared" si="26"/>
        <v>적합</v>
      </c>
      <c r="BR69" s="213"/>
      <c r="BS69" s="218">
        <f t="shared" si="27"/>
        <v>897435.6</v>
      </c>
      <c r="BT69" s="219">
        <f t="shared" si="28"/>
        <v>5268786.3</v>
      </c>
      <c r="BU69" s="175">
        <f t="shared" si="29"/>
        <v>2846580</v>
      </c>
      <c r="BV69" s="175">
        <f t="shared" si="30"/>
        <v>2440891.4112</v>
      </c>
      <c r="BW69" s="175">
        <f t="shared" si="31"/>
        <v>928884</v>
      </c>
      <c r="BX69" s="175">
        <f t="shared" si="32"/>
        <v>395524.8</v>
      </c>
      <c r="BY69" s="213">
        <f t="shared" si="20"/>
        <v>6492500</v>
      </c>
      <c r="BZ69" s="220">
        <f t="shared" si="33"/>
        <v>68494221.900000006</v>
      </c>
      <c r="CA69" s="213">
        <f t="shared" si="34"/>
        <v>6611880.2111999998</v>
      </c>
      <c r="CB69" s="221">
        <f t="shared" si="35"/>
        <v>77910000</v>
      </c>
      <c r="CC69" s="222">
        <f t="shared" si="36"/>
        <v>8322000</v>
      </c>
      <c r="CD69" s="223">
        <f t="shared" si="7"/>
        <v>9.6507097133314783</v>
      </c>
      <c r="CK69" s="187"/>
      <c r="CL69" s="188"/>
    </row>
    <row r="70" spans="1:117" ht="17.25" customHeight="1">
      <c r="A70" s="23">
        <f t="shared" si="38"/>
        <v>67</v>
      </c>
      <c r="B70" s="23" t="s">
        <v>439</v>
      </c>
      <c r="C70" s="190">
        <v>2016006</v>
      </c>
      <c r="D70" s="194" t="s">
        <v>561</v>
      </c>
      <c r="E70" s="227" t="s">
        <v>1145</v>
      </c>
      <c r="F70" s="227" t="s">
        <v>1154</v>
      </c>
      <c r="G70" s="23" t="s">
        <v>1010</v>
      </c>
      <c r="H70" s="227" t="s">
        <v>729</v>
      </c>
      <c r="I70" s="227" t="s">
        <v>151</v>
      </c>
      <c r="J70" s="194" t="s">
        <v>178</v>
      </c>
      <c r="K70" s="79" t="s">
        <v>208</v>
      </c>
      <c r="L70" s="227" t="s">
        <v>1155</v>
      </c>
      <c r="M70" s="227" t="s">
        <v>1156</v>
      </c>
      <c r="N70" s="228" t="s">
        <v>1157</v>
      </c>
      <c r="O70" s="194" t="s">
        <v>1158</v>
      </c>
      <c r="P70" s="239" t="s">
        <v>1159</v>
      </c>
      <c r="Q70" s="214">
        <v>41183</v>
      </c>
      <c r="R70" s="214">
        <v>42387</v>
      </c>
      <c r="S70" s="214"/>
      <c r="T70" s="231" t="s">
        <v>1160</v>
      </c>
      <c r="U70" s="231" t="s">
        <v>1161</v>
      </c>
      <c r="V70" s="201" t="s">
        <v>394</v>
      </c>
      <c r="W70" s="231" t="s">
        <v>1162</v>
      </c>
      <c r="X70" s="201" t="s">
        <v>583</v>
      </c>
      <c r="Z70" s="203">
        <f t="shared" ca="1" si="21"/>
        <v>4978</v>
      </c>
      <c r="AA70" s="203">
        <f t="shared" ca="1" si="1"/>
        <v>3774</v>
      </c>
      <c r="AB70" s="232"/>
      <c r="AC70" s="232"/>
      <c r="AD70" s="78" t="s">
        <v>189</v>
      </c>
      <c r="AE70" s="78" t="s">
        <v>190</v>
      </c>
      <c r="AF70" s="78" t="s">
        <v>191</v>
      </c>
      <c r="AG70" s="78" t="s">
        <v>191</v>
      </c>
      <c r="AH70" s="23" t="s">
        <v>161</v>
      </c>
      <c r="AI70" s="23" t="s">
        <v>192</v>
      </c>
      <c r="AJ70" s="23" t="s">
        <v>569</v>
      </c>
      <c r="AK70" s="233" t="s">
        <v>193</v>
      </c>
      <c r="AL70" s="78" t="s">
        <v>1163</v>
      </c>
      <c r="AM70" s="206" t="s">
        <v>1164</v>
      </c>
      <c r="AN70" s="207" t="s">
        <v>1165</v>
      </c>
      <c r="AO70" s="78" t="s">
        <v>197</v>
      </c>
      <c r="AP70" s="78" t="s">
        <v>223</v>
      </c>
      <c r="AQ70" s="201" t="s">
        <v>223</v>
      </c>
      <c r="AR70" s="201" t="s">
        <v>586</v>
      </c>
      <c r="AS70" s="209" t="s">
        <v>200</v>
      </c>
      <c r="AT70" s="23" t="s">
        <v>201</v>
      </c>
      <c r="AU70" s="23" t="s">
        <v>435</v>
      </c>
      <c r="AV70" s="210" t="s">
        <v>454</v>
      </c>
      <c r="AW70" s="211">
        <v>5699000</v>
      </c>
      <c r="AX70" s="175">
        <v>5699000</v>
      </c>
      <c r="AY70" s="212">
        <v>12</v>
      </c>
      <c r="AZ70" s="213">
        <f t="shared" si="2"/>
        <v>68388000</v>
      </c>
      <c r="BA70" s="234"/>
      <c r="BB70" s="234"/>
      <c r="BC70" s="214">
        <v>45839</v>
      </c>
      <c r="BD70" s="235">
        <v>43500000</v>
      </c>
      <c r="BE70" s="215">
        <v>44568000</v>
      </c>
      <c r="BF70" s="215">
        <f t="shared" si="22"/>
        <v>44568000</v>
      </c>
      <c r="BG70" s="215">
        <f t="shared" si="23"/>
        <v>3714000</v>
      </c>
      <c r="BH70" s="215">
        <v>3153000</v>
      </c>
      <c r="BI70" s="216">
        <f t="shared" si="37"/>
        <v>16043.06</v>
      </c>
      <c r="BJ70" s="216">
        <f>IF(AT70="통상",209,VLOOKUP(AD70,'[2]스케줄 분석_20260109'!$B$3:$F$20,5,FALSE))</f>
        <v>209</v>
      </c>
      <c r="BK70" s="216">
        <f>IF(AT70="통상",15,VLOOKUP(AD70,'[2]스케줄 분석_20260109'!$B$3:$P$20,10,FALSE))</f>
        <v>15</v>
      </c>
      <c r="BL70" s="216">
        <f>IF(AT70="통상",0,VLOOKUP(AD70,'[2]스케줄 분석_20260109'!$B$3:$P$20,11,FALSE))</f>
        <v>0</v>
      </c>
      <c r="BM70" s="215">
        <f t="shared" si="24"/>
        <v>361000</v>
      </c>
      <c r="BN70" s="175">
        <f t="shared" si="25"/>
        <v>0</v>
      </c>
      <c r="BO70" s="213">
        <v>200000</v>
      </c>
      <c r="BP70" s="175">
        <f>IF(OR(AT70="스케줄",AT70="스케줄_파라"),ROUNDUP(VLOOKUP(AD70,'[2]스케줄 분석_20260109'!$B$3:$Y$20,23,FALSE)*(VLOOKUP(AD70,'[2]스케줄 분석_20260109'!$B$3:$Y$20,21,FALSE)/VLOOKUP(AD70,'[2]스케줄 분석_20260109'!$B$3:$Y$20,20,FALSE))*VLOOKUP(AD70,'[2]스케줄 분석_20260109'!$B$3:$Y$20,22,FALSE)*VLOOKUP(AD70,'[2]스케줄 분석_20260109'!$B$3:$Y$20,2,FALSE)*1.5*BI70,0),0)</f>
        <v>0</v>
      </c>
      <c r="BQ70" s="217" t="str">
        <f t="shared" si="26"/>
        <v>적합</v>
      </c>
      <c r="BR70" s="213"/>
      <c r="BS70" s="218">
        <f t="shared" si="27"/>
        <v>641722.4</v>
      </c>
      <c r="BT70" s="219">
        <f t="shared" si="28"/>
        <v>3767476.8666666667</v>
      </c>
      <c r="BU70" s="175">
        <f t="shared" si="29"/>
        <v>2002980</v>
      </c>
      <c r="BV70" s="175">
        <f t="shared" si="30"/>
        <v>1717519.5071999999</v>
      </c>
      <c r="BW70" s="175">
        <f t="shared" si="31"/>
        <v>653604</v>
      </c>
      <c r="BX70" s="175">
        <f t="shared" si="32"/>
        <v>278308.8</v>
      </c>
      <c r="BY70" s="213">
        <f t="shared" si="20"/>
        <v>4642500</v>
      </c>
      <c r="BZ70" s="220">
        <f t="shared" si="33"/>
        <v>48977199.266666666</v>
      </c>
      <c r="CA70" s="213">
        <f t="shared" si="34"/>
        <v>4652412.3071999997</v>
      </c>
      <c r="CB70" s="221">
        <f t="shared" si="35"/>
        <v>55710000</v>
      </c>
      <c r="CC70" s="222">
        <f t="shared" si="36"/>
        <v>12678000</v>
      </c>
      <c r="CD70" s="223">
        <f t="shared" si="7"/>
        <v>18.538340059659589</v>
      </c>
      <c r="CK70" s="187"/>
      <c r="CL70" s="188"/>
    </row>
    <row r="71" spans="1:117" s="121" customFormat="1" ht="17.25" customHeight="1">
      <c r="A71" s="23">
        <f t="shared" si="38"/>
        <v>68</v>
      </c>
      <c r="B71" s="23" t="s">
        <v>439</v>
      </c>
      <c r="C71" s="190">
        <v>2016016</v>
      </c>
      <c r="D71" s="194" t="s">
        <v>1007</v>
      </c>
      <c r="E71" s="227" t="s">
        <v>1008</v>
      </c>
      <c r="F71" s="227" t="s">
        <v>1166</v>
      </c>
      <c r="G71" s="23" t="s">
        <v>1010</v>
      </c>
      <c r="H71" s="227" t="s">
        <v>1167</v>
      </c>
      <c r="I71" s="227" t="s">
        <v>741</v>
      </c>
      <c r="J71" s="194" t="s">
        <v>178</v>
      </c>
      <c r="K71" s="79" t="s">
        <v>1168</v>
      </c>
      <c r="L71" s="227" t="s">
        <v>1169</v>
      </c>
      <c r="M71" s="227" t="s">
        <v>1013</v>
      </c>
      <c r="N71" s="228" t="s">
        <v>1170</v>
      </c>
      <c r="O71" s="194" t="s">
        <v>1171</v>
      </c>
      <c r="P71" s="229" t="s">
        <v>1172</v>
      </c>
      <c r="Q71" s="214">
        <v>42419</v>
      </c>
      <c r="R71" s="214">
        <v>42419</v>
      </c>
      <c r="S71" s="214"/>
      <c r="T71" s="231" t="s">
        <v>1173</v>
      </c>
      <c r="U71" s="231" t="s">
        <v>1174</v>
      </c>
      <c r="V71" s="201" t="s">
        <v>278</v>
      </c>
      <c r="W71" s="201"/>
      <c r="X71" s="201"/>
      <c r="Y71" s="201"/>
      <c r="Z71" s="203">
        <f t="shared" ca="1" si="21"/>
        <v>3742</v>
      </c>
      <c r="AA71" s="203">
        <f t="shared" ref="AA71:AA106" ca="1" si="39">$A$1-R71</f>
        <v>3742</v>
      </c>
      <c r="AB71" s="232"/>
      <c r="AC71" s="232"/>
      <c r="AD71" t="s">
        <v>1020</v>
      </c>
      <c r="AE71" s="78" t="s">
        <v>833</v>
      </c>
      <c r="AF71" s="78" t="s">
        <v>191</v>
      </c>
      <c r="AG71" s="78" t="s">
        <v>191</v>
      </c>
      <c r="AH71" s="23" t="s">
        <v>161</v>
      </c>
      <c r="AI71" s="23" t="s">
        <v>1021</v>
      </c>
      <c r="AJ71" s="23" t="s">
        <v>1008</v>
      </c>
      <c r="AK71" s="23" t="s">
        <v>1022</v>
      </c>
      <c r="AL71" s="78" t="s">
        <v>1175</v>
      </c>
      <c r="AM71" s="206" t="s">
        <v>1176</v>
      </c>
      <c r="AN71" s="207" t="s">
        <v>1177</v>
      </c>
      <c r="AO71" s="78" t="s">
        <v>401</v>
      </c>
      <c r="AP71" s="78" t="s">
        <v>1025</v>
      </c>
      <c r="AQ71" s="201" t="s">
        <v>1178</v>
      </c>
      <c r="AR71" s="201"/>
      <c r="AS71" s="209" t="s">
        <v>1006</v>
      </c>
      <c r="AT71" s="23" t="s">
        <v>201</v>
      </c>
      <c r="AU71" s="23" t="s">
        <v>435</v>
      </c>
      <c r="AV71" s="210" t="s">
        <v>454</v>
      </c>
      <c r="AW71" s="211">
        <v>4179000</v>
      </c>
      <c r="AX71" s="175">
        <v>4179000</v>
      </c>
      <c r="AY71" s="212">
        <v>12</v>
      </c>
      <c r="AZ71" s="213">
        <f t="shared" ref="AZ71:AZ134" si="40">AX71*AY71</f>
        <v>50148000</v>
      </c>
      <c r="BA71" s="78"/>
      <c r="BB71" s="78"/>
      <c r="BC71" s="214">
        <v>45839</v>
      </c>
      <c r="BD71" s="235">
        <v>33360000</v>
      </c>
      <c r="BE71" s="215">
        <v>34200000</v>
      </c>
      <c r="BF71" s="215">
        <f t="shared" si="22"/>
        <v>34200000</v>
      </c>
      <c r="BG71" s="215">
        <f t="shared" si="23"/>
        <v>2850000</v>
      </c>
      <c r="BH71" s="215">
        <v>2373000</v>
      </c>
      <c r="BI71" s="216">
        <f t="shared" si="37"/>
        <v>12311</v>
      </c>
      <c r="BJ71" s="216">
        <f>IF(AT71="통상",209,VLOOKUP(AD71,'[2]스케줄 분석_20260109'!$B$3:$F$20,5,FALSE))</f>
        <v>209</v>
      </c>
      <c r="BK71" s="216">
        <f>IF(AT71="통상",15,VLOOKUP(AD71,'[2]스케줄 분석_20260109'!$B$3:$P$20,10,FALSE))</f>
        <v>15</v>
      </c>
      <c r="BL71" s="216">
        <f>IF(AT71="통상",0,VLOOKUP(AD71,'[2]스케줄 분석_20260109'!$B$3:$P$20,11,FALSE))</f>
        <v>0</v>
      </c>
      <c r="BM71" s="215">
        <f t="shared" si="24"/>
        <v>277000</v>
      </c>
      <c r="BN71" s="175">
        <f t="shared" si="25"/>
        <v>0</v>
      </c>
      <c r="BO71" s="213">
        <v>200000</v>
      </c>
      <c r="BP71" s="175">
        <f>IF(OR(AT71="스케줄",AT71="스케줄_파라"),ROUNDUP(VLOOKUP(AD71,'[2]스케줄 분석_20260109'!$B$3:$Y$20,23,FALSE)*(VLOOKUP(AD71,'[2]스케줄 분석_20260109'!$B$3:$Y$20,21,FALSE)/VLOOKUP(AD71,'[2]스케줄 분석_20260109'!$B$3:$Y$20,20,FALSE))*VLOOKUP(AD71,'[2]스케줄 분석_20260109'!$B$3:$Y$20,22,FALSE)*VLOOKUP(AD71,'[2]스케줄 분석_20260109'!$B$3:$Y$20,2,FALSE)*1.5*BI71,0),0)</f>
        <v>0</v>
      </c>
      <c r="BQ71" s="217" t="str">
        <f t="shared" si="26"/>
        <v>적합</v>
      </c>
      <c r="BR71" s="213"/>
      <c r="BS71" s="218">
        <f t="shared" si="27"/>
        <v>492440</v>
      </c>
      <c r="BT71" s="219">
        <f t="shared" si="28"/>
        <v>2891036.6666666665</v>
      </c>
      <c r="BU71" s="175">
        <f t="shared" si="29"/>
        <v>1510500</v>
      </c>
      <c r="BV71" s="175">
        <f t="shared" si="30"/>
        <v>1295226.72</v>
      </c>
      <c r="BW71" s="175">
        <f t="shared" si="31"/>
        <v>492900</v>
      </c>
      <c r="BX71" s="175">
        <f t="shared" si="32"/>
        <v>209880</v>
      </c>
      <c r="BY71" s="213">
        <f t="shared" si="20"/>
        <v>3562500</v>
      </c>
      <c r="BZ71" s="220">
        <f t="shared" si="33"/>
        <v>37583476.666666664</v>
      </c>
      <c r="CA71" s="213">
        <f t="shared" si="34"/>
        <v>3508506.7199999997</v>
      </c>
      <c r="CB71" s="221">
        <f t="shared" si="35"/>
        <v>42750000</v>
      </c>
      <c r="CC71" s="222">
        <f t="shared" si="36"/>
        <v>7398000</v>
      </c>
      <c r="CD71" s="223">
        <f t="shared" ref="CD71:CD134" si="41">IFERROR((CC71/AZ71)*100,0)</f>
        <v>14.752333094041637</v>
      </c>
      <c r="CE71" s="245"/>
      <c r="CF71" s="245"/>
      <c r="CG71" s="246"/>
      <c r="CH71" s="246"/>
      <c r="CI71" s="111"/>
      <c r="CJ71" s="111"/>
      <c r="CK71" s="187"/>
      <c r="CL71" s="188"/>
      <c r="CM71" s="111"/>
      <c r="CN71" s="111"/>
      <c r="CO71" s="111"/>
      <c r="CP71" s="111"/>
      <c r="CQ71" s="111"/>
      <c r="CR71" s="111"/>
      <c r="CS71" s="111"/>
      <c r="CT71" s="111"/>
      <c r="CU71" s="111"/>
      <c r="CV71" s="111"/>
      <c r="CW71" s="111"/>
      <c r="CX71" s="111"/>
      <c r="CY71" s="111"/>
      <c r="CZ71" s="111"/>
      <c r="DA71" s="111"/>
      <c r="DB71" s="111"/>
      <c r="DC71" s="111"/>
      <c r="DD71" s="111"/>
      <c r="DE71" s="111"/>
      <c r="DF71" s="111"/>
      <c r="DG71" s="111"/>
      <c r="DH71" s="111"/>
      <c r="DI71" s="111"/>
      <c r="DJ71" s="111"/>
      <c r="DK71" s="111"/>
      <c r="DL71" s="210"/>
      <c r="DM71" s="210"/>
    </row>
    <row r="72" spans="1:117" s="121" customFormat="1" ht="17.25" customHeight="1">
      <c r="A72" s="23">
        <f t="shared" si="38"/>
        <v>69</v>
      </c>
      <c r="B72" s="23" t="s">
        <v>439</v>
      </c>
      <c r="C72" s="190">
        <v>2016037</v>
      </c>
      <c r="D72" s="194" t="s">
        <v>202</v>
      </c>
      <c r="E72" s="227" t="s">
        <v>1179</v>
      </c>
      <c r="F72" s="227" t="s">
        <v>1179</v>
      </c>
      <c r="G72" s="23" t="s">
        <v>1010</v>
      </c>
      <c r="H72" s="227" t="s">
        <v>992</v>
      </c>
      <c r="I72" s="227" t="s">
        <v>741</v>
      </c>
      <c r="J72" s="194" t="s">
        <v>207</v>
      </c>
      <c r="K72" s="79" t="s">
        <v>589</v>
      </c>
      <c r="L72" s="227" t="s">
        <v>1155</v>
      </c>
      <c r="M72" s="227"/>
      <c r="N72" s="228" t="s">
        <v>1180</v>
      </c>
      <c r="O72" s="194" t="s">
        <v>1181</v>
      </c>
      <c r="P72" s="229" t="s">
        <v>1182</v>
      </c>
      <c r="Q72" s="214">
        <v>41244</v>
      </c>
      <c r="R72" s="214">
        <v>42522</v>
      </c>
      <c r="S72" s="214"/>
      <c r="T72" s="231" t="s">
        <v>1183</v>
      </c>
      <c r="U72" s="231" t="s">
        <v>1184</v>
      </c>
      <c r="V72" s="201" t="s">
        <v>394</v>
      </c>
      <c r="W72" s="231" t="s">
        <v>1185</v>
      </c>
      <c r="X72" s="200" t="s">
        <v>1186</v>
      </c>
      <c r="Y72" s="200" t="s">
        <v>1187</v>
      </c>
      <c r="Z72" s="203">
        <f t="shared" ca="1" si="21"/>
        <v>4917</v>
      </c>
      <c r="AA72" s="203">
        <f t="shared" ca="1" si="39"/>
        <v>3639</v>
      </c>
      <c r="AB72" s="232"/>
      <c r="AC72" s="232"/>
      <c r="AD72" s="78" t="s">
        <v>610</v>
      </c>
      <c r="AE72" s="78" t="s">
        <v>217</v>
      </c>
      <c r="AF72" s="78" t="s">
        <v>218</v>
      </c>
      <c r="AG72" s="78" t="s">
        <v>218</v>
      </c>
      <c r="AH72" s="23" t="s">
        <v>161</v>
      </c>
      <c r="AI72" s="23" t="s">
        <v>162</v>
      </c>
      <c r="AJ72" s="23" t="s">
        <v>520</v>
      </c>
      <c r="AK72" s="23">
        <v>13558</v>
      </c>
      <c r="AL72" s="78" t="s">
        <v>1188</v>
      </c>
      <c r="AM72" s="206" t="s">
        <v>1189</v>
      </c>
      <c r="AN72" s="207" t="s">
        <v>1190</v>
      </c>
      <c r="AO72" s="78" t="s">
        <v>524</v>
      </c>
      <c r="AP72" s="78" t="s">
        <v>597</v>
      </c>
      <c r="AQ72" s="201" t="s">
        <v>598</v>
      </c>
      <c r="AR72" s="201"/>
      <c r="AS72" s="209" t="s">
        <v>526</v>
      </c>
      <c r="AT72" s="23" t="s">
        <v>201</v>
      </c>
      <c r="AU72" s="23" t="s">
        <v>435</v>
      </c>
      <c r="AV72" s="210" t="s">
        <v>454</v>
      </c>
      <c r="AW72" s="211">
        <v>4746000</v>
      </c>
      <c r="AX72" s="175">
        <v>4746000</v>
      </c>
      <c r="AY72" s="212">
        <v>12</v>
      </c>
      <c r="AZ72" s="213">
        <f t="shared" si="40"/>
        <v>56952000</v>
      </c>
      <c r="BA72" s="234"/>
      <c r="BB72" s="234"/>
      <c r="BC72" s="214">
        <v>45839</v>
      </c>
      <c r="BD72" s="235">
        <v>40008000.000000007</v>
      </c>
      <c r="BE72" s="215">
        <v>40908000</v>
      </c>
      <c r="BF72" s="215">
        <f t="shared" si="22"/>
        <v>40908000</v>
      </c>
      <c r="BG72" s="215">
        <f t="shared" si="23"/>
        <v>3409000</v>
      </c>
      <c r="BH72" s="215">
        <v>2877600</v>
      </c>
      <c r="BI72" s="216">
        <f t="shared" si="37"/>
        <v>14725.36</v>
      </c>
      <c r="BJ72" s="216">
        <f>IF(AT72="통상",209,VLOOKUP(AD72,'[2]스케줄 분석_20260109'!$B$3:$F$20,5,FALSE))</f>
        <v>209</v>
      </c>
      <c r="BK72" s="216">
        <f>IF(AT72="통상",15,VLOOKUP(AD72,'[2]스케줄 분석_20260109'!$B$3:$P$20,10,FALSE))</f>
        <v>15</v>
      </c>
      <c r="BL72" s="216">
        <f>IF(AT72="통상",0,VLOOKUP(AD72,'[2]스케줄 분석_20260109'!$B$3:$P$20,11,FALSE))</f>
        <v>0</v>
      </c>
      <c r="BM72" s="215">
        <f t="shared" si="24"/>
        <v>331400</v>
      </c>
      <c r="BN72" s="175">
        <f t="shared" si="25"/>
        <v>0</v>
      </c>
      <c r="BO72" s="213">
        <v>200000</v>
      </c>
      <c r="BP72" s="175">
        <f>IF(OR(AT72="스케줄",AT72="스케줄_파라"),ROUNDUP(VLOOKUP(AD72,'[2]스케줄 분석_20260109'!$B$3:$Y$20,23,FALSE)*(VLOOKUP(AD72,'[2]스케줄 분석_20260109'!$B$3:$Y$20,21,FALSE)/VLOOKUP(AD72,'[2]스케줄 분석_20260109'!$B$3:$Y$20,20,FALSE))*VLOOKUP(AD72,'[2]스케줄 분석_20260109'!$B$3:$Y$20,22,FALSE)*VLOOKUP(AD72,'[2]스케줄 분석_20260109'!$B$3:$Y$20,2,FALSE)*1.5*BI72,0),0)</f>
        <v>0</v>
      </c>
      <c r="BQ72" s="217" t="str">
        <f t="shared" si="26"/>
        <v>적합</v>
      </c>
      <c r="BR72" s="213"/>
      <c r="BS72" s="218">
        <f t="shared" si="27"/>
        <v>589014.4</v>
      </c>
      <c r="BT72" s="219">
        <f t="shared" si="28"/>
        <v>3458084.5333333332</v>
      </c>
      <c r="BU72" s="175">
        <f t="shared" si="29"/>
        <v>1829130</v>
      </c>
      <c r="BV72" s="175">
        <f t="shared" si="30"/>
        <v>1568446.2431999999</v>
      </c>
      <c r="BW72" s="175">
        <f t="shared" si="31"/>
        <v>596874</v>
      </c>
      <c r="BX72" s="175">
        <f t="shared" si="32"/>
        <v>254152.8</v>
      </c>
      <c r="BY72" s="213">
        <f t="shared" si="20"/>
        <v>4261250</v>
      </c>
      <c r="BZ72" s="220">
        <f t="shared" si="33"/>
        <v>44955098.93333333</v>
      </c>
      <c r="CA72" s="213">
        <f t="shared" si="34"/>
        <v>4248603.0432000002</v>
      </c>
      <c r="CB72" s="221">
        <f t="shared" si="35"/>
        <v>51135000</v>
      </c>
      <c r="CC72" s="222">
        <f t="shared" si="36"/>
        <v>5817000</v>
      </c>
      <c r="CD72" s="223">
        <f t="shared" si="41"/>
        <v>10.213864306784661</v>
      </c>
      <c r="CE72" s="77"/>
      <c r="CF72" s="77"/>
      <c r="CG72" s="23"/>
      <c r="CH72" s="23"/>
      <c r="CI72" s="78"/>
      <c r="CJ72" s="78"/>
      <c r="CK72" s="187"/>
      <c r="CL72" s="188"/>
      <c r="CM72" s="78"/>
      <c r="CN72" s="78"/>
      <c r="CO72" s="78"/>
      <c r="CP72" s="78"/>
      <c r="CQ72" s="78"/>
      <c r="CR72" s="78"/>
      <c r="CS72" s="78"/>
      <c r="CT72" s="78"/>
      <c r="CU72" s="78"/>
      <c r="CV72" s="78"/>
      <c r="CW72" s="78"/>
      <c r="CX72" s="78"/>
      <c r="CY72" s="78"/>
      <c r="CZ72" s="78"/>
      <c r="DA72" s="78"/>
      <c r="DB72" s="78"/>
      <c r="DC72" s="78"/>
      <c r="DD72" s="78"/>
      <c r="DE72" s="78"/>
      <c r="DF72" s="78"/>
      <c r="DG72" s="78"/>
      <c r="DH72" s="78"/>
      <c r="DI72" s="78"/>
      <c r="DJ72" s="78"/>
      <c r="DK72" s="78"/>
      <c r="DL72" s="78"/>
      <c r="DM72" s="78"/>
    </row>
    <row r="73" spans="1:117" s="121" customFormat="1" ht="17.25" customHeight="1">
      <c r="A73" s="23">
        <f t="shared" si="38"/>
        <v>70</v>
      </c>
      <c r="B73" s="23" t="s">
        <v>439</v>
      </c>
      <c r="C73" s="190">
        <v>2016061</v>
      </c>
      <c r="D73" s="194" t="s">
        <v>989</v>
      </c>
      <c r="E73" s="227" t="s">
        <v>990</v>
      </c>
      <c r="F73" s="227" t="s">
        <v>1191</v>
      </c>
      <c r="G73" s="23" t="s">
        <v>1192</v>
      </c>
      <c r="H73" s="227" t="s">
        <v>1167</v>
      </c>
      <c r="I73" s="227" t="s">
        <v>741</v>
      </c>
      <c r="J73" s="194" t="s">
        <v>178</v>
      </c>
      <c r="K73" s="79" t="s">
        <v>993</v>
      </c>
      <c r="L73" s="227" t="s">
        <v>1193</v>
      </c>
      <c r="M73" s="227" t="s">
        <v>1194</v>
      </c>
      <c r="N73" s="228" t="s">
        <v>1195</v>
      </c>
      <c r="O73" s="194" t="s">
        <v>1196</v>
      </c>
      <c r="P73" s="229" t="s">
        <v>1197</v>
      </c>
      <c r="Q73" s="214">
        <v>42633</v>
      </c>
      <c r="R73" s="214">
        <v>42633</v>
      </c>
      <c r="S73" s="214"/>
      <c r="T73" s="231" t="s">
        <v>1198</v>
      </c>
      <c r="U73" s="231" t="s">
        <v>1199</v>
      </c>
      <c r="V73" s="201" t="s">
        <v>215</v>
      </c>
      <c r="W73" s="231" t="s">
        <v>684</v>
      </c>
      <c r="X73" s="201"/>
      <c r="Y73" s="201"/>
      <c r="Z73" s="203">
        <f t="shared" ca="1" si="21"/>
        <v>3528</v>
      </c>
      <c r="AA73" s="203">
        <f t="shared" ca="1" si="39"/>
        <v>3528</v>
      </c>
      <c r="AB73" s="232"/>
      <c r="AC73" s="232"/>
      <c r="AD73" s="78" t="s">
        <v>999</v>
      </c>
      <c r="AE73" s="78" t="s">
        <v>217</v>
      </c>
      <c r="AF73" s="78" t="s">
        <v>191</v>
      </c>
      <c r="AG73" s="78" t="s">
        <v>191</v>
      </c>
      <c r="AH73" s="23" t="s">
        <v>161</v>
      </c>
      <c r="AI73" s="23" t="s">
        <v>365</v>
      </c>
      <c r="AJ73" s="23" t="s">
        <v>990</v>
      </c>
      <c r="AK73" s="23" t="s">
        <v>1000</v>
      </c>
      <c r="AL73" s="78" t="s">
        <v>1001</v>
      </c>
      <c r="AM73" s="206">
        <v>12813</v>
      </c>
      <c r="AN73" s="207" t="s">
        <v>1200</v>
      </c>
      <c r="AO73" s="78" t="s">
        <v>401</v>
      </c>
      <c r="AP73" s="201" t="s">
        <v>1004</v>
      </c>
      <c r="AQ73" s="201" t="s">
        <v>1005</v>
      </c>
      <c r="AR73" s="201"/>
      <c r="AS73" s="209" t="s">
        <v>1006</v>
      </c>
      <c r="AT73" s="23" t="s">
        <v>434</v>
      </c>
      <c r="AU73" s="23" t="s">
        <v>435</v>
      </c>
      <c r="AV73" s="210" t="s">
        <v>454</v>
      </c>
      <c r="AW73" s="211">
        <v>5151000</v>
      </c>
      <c r="AX73" s="175">
        <v>5151000</v>
      </c>
      <c r="AY73" s="212">
        <v>12</v>
      </c>
      <c r="AZ73" s="213">
        <f t="shared" si="40"/>
        <v>61812000</v>
      </c>
      <c r="BA73" s="78"/>
      <c r="BB73" s="78"/>
      <c r="BC73" s="214">
        <v>45839</v>
      </c>
      <c r="BD73" s="215">
        <v>33720960</v>
      </c>
      <c r="BE73" s="215">
        <v>34801200</v>
      </c>
      <c r="BF73" s="215">
        <f t="shared" si="22"/>
        <v>34801200</v>
      </c>
      <c r="BG73" s="215">
        <f t="shared" si="23"/>
        <v>2900100</v>
      </c>
      <c r="BH73" s="215">
        <v>2075400</v>
      </c>
      <c r="BI73" s="216">
        <f t="shared" si="37"/>
        <v>14556.04</v>
      </c>
      <c r="BJ73" s="216">
        <f>IF(AT73="통상",209,VLOOKUP(AD73,'[2]스케줄 분석_20260109'!$B$3:$F$20,5,FALSE))</f>
        <v>156.32000000000002</v>
      </c>
      <c r="BK73" s="216">
        <f>IF(AT73="통상",15,VLOOKUP(AD73,'[2]스케줄 분석_20260109'!$B$3:$P$20,10,FALSE))</f>
        <v>36.39</v>
      </c>
      <c r="BL73" s="216">
        <f>IF(AT73="통상",0,VLOOKUP(AD73,'[2]스케줄 분석_20260109'!$B$3:$P$20,11,FALSE))</f>
        <v>49.43</v>
      </c>
      <c r="BM73" s="215">
        <f t="shared" si="24"/>
        <v>264900</v>
      </c>
      <c r="BN73" s="175">
        <f t="shared" si="25"/>
        <v>359800</v>
      </c>
      <c r="BO73" s="213">
        <v>200000</v>
      </c>
      <c r="BP73" s="175">
        <f>IF(OR(AT73="스케줄",AT73="스케줄_파라"),ROUNDUP(VLOOKUP(AD73,'[2]스케줄 분석_20260109'!$B$3:$Y$20,23,FALSE)*(VLOOKUP(AD73,'[2]스케줄 분석_20260109'!$B$3:$Y$20,21,FALSE)/VLOOKUP(AD73,'[2]스케줄 분석_20260109'!$B$3:$Y$20,20,FALSE))*VLOOKUP(AD73,'[2]스케줄 분석_20260109'!$B$3:$Y$20,22,FALSE)*VLOOKUP(AD73,'[2]스케줄 분석_20260109'!$B$3:$Y$20,2,FALSE)*1.5*BI73,0),0)</f>
        <v>2740175</v>
      </c>
      <c r="BQ73" s="217" t="str">
        <f t="shared" si="26"/>
        <v>적합</v>
      </c>
      <c r="BR73" s="213"/>
      <c r="BS73" s="218">
        <f t="shared" si="27"/>
        <v>1455604</v>
      </c>
      <c r="BT73" s="219">
        <f t="shared" si="28"/>
        <v>3021400.3333333335</v>
      </c>
      <c r="BU73" s="175">
        <f t="shared" si="29"/>
        <v>1539057</v>
      </c>
      <c r="BV73" s="175">
        <f t="shared" si="30"/>
        <v>1319713.8364800001</v>
      </c>
      <c r="BW73" s="175">
        <f t="shared" si="31"/>
        <v>502218.6</v>
      </c>
      <c r="BX73" s="175">
        <f t="shared" si="32"/>
        <v>213847.92</v>
      </c>
      <c r="BY73" s="213">
        <f t="shared" si="20"/>
        <v>3625125</v>
      </c>
      <c r="BZ73" s="220">
        <f t="shared" si="33"/>
        <v>39278204.333333336</v>
      </c>
      <c r="CA73" s="213">
        <f t="shared" si="34"/>
        <v>3574837.3564800001</v>
      </c>
      <c r="CB73" s="221">
        <f t="shared" si="35"/>
        <v>43501500</v>
      </c>
      <c r="CC73" s="222">
        <f t="shared" si="36"/>
        <v>14994888.25</v>
      </c>
      <c r="CD73" s="223">
        <f t="shared" si="41"/>
        <v>24.258862761276127</v>
      </c>
      <c r="CE73" s="245"/>
      <c r="CF73" s="245"/>
      <c r="CG73" s="246"/>
      <c r="CH73" s="246"/>
      <c r="CI73" s="111"/>
      <c r="CJ73" s="78"/>
      <c r="CK73" s="187"/>
      <c r="CL73" s="188"/>
      <c r="CM73" s="78"/>
      <c r="CN73" s="78"/>
      <c r="CO73" s="78"/>
      <c r="CP73" s="78"/>
      <c r="CQ73" s="78"/>
      <c r="CR73" s="78"/>
      <c r="CS73" s="78"/>
      <c r="CT73" s="78"/>
      <c r="CU73" s="78"/>
      <c r="CV73" s="78"/>
      <c r="CW73" s="78"/>
      <c r="CX73" s="78"/>
      <c r="CY73" s="78"/>
      <c r="CZ73" s="78"/>
      <c r="DA73" s="78"/>
      <c r="DB73" s="78"/>
      <c r="DC73" s="78"/>
      <c r="DD73" s="78"/>
      <c r="DE73" s="78"/>
      <c r="DF73" s="78"/>
      <c r="DG73" s="78"/>
      <c r="DH73" s="78"/>
      <c r="DI73" s="78"/>
      <c r="DJ73" s="78"/>
      <c r="DK73" s="78"/>
      <c r="DL73" s="78"/>
      <c r="DM73" s="78"/>
    </row>
    <row r="74" spans="1:117" s="121" customFormat="1" ht="17.25" customHeight="1">
      <c r="A74" s="23">
        <f t="shared" si="38"/>
        <v>71</v>
      </c>
      <c r="B74" s="23" t="s">
        <v>439</v>
      </c>
      <c r="C74" s="190">
        <v>2016065</v>
      </c>
      <c r="D74" s="194" t="s">
        <v>1201</v>
      </c>
      <c r="E74" s="227" t="s">
        <v>1202</v>
      </c>
      <c r="F74" s="227" t="s">
        <v>1203</v>
      </c>
      <c r="G74" s="23" t="s">
        <v>230</v>
      </c>
      <c r="H74" s="227" t="s">
        <v>992</v>
      </c>
      <c r="I74" s="227" t="s">
        <v>1204</v>
      </c>
      <c r="J74" s="194" t="s">
        <v>178</v>
      </c>
      <c r="K74" s="79" t="s">
        <v>708</v>
      </c>
      <c r="L74" s="227" t="s">
        <v>1205</v>
      </c>
      <c r="M74" s="227"/>
      <c r="N74" s="228" t="s">
        <v>1206</v>
      </c>
      <c r="O74" t="s">
        <v>1207</v>
      </c>
      <c r="P74" s="229" t="s">
        <v>1208</v>
      </c>
      <c r="Q74" s="214">
        <v>42647</v>
      </c>
      <c r="R74" s="214">
        <v>42647</v>
      </c>
      <c r="S74" s="23"/>
      <c r="T74" s="231" t="s">
        <v>1209</v>
      </c>
      <c r="U74" s="231" t="s">
        <v>1086</v>
      </c>
      <c r="V74" s="201" t="s">
        <v>1210</v>
      </c>
      <c r="W74" s="231" t="s">
        <v>1211</v>
      </c>
      <c r="X74" s="201" t="s">
        <v>684</v>
      </c>
      <c r="Y74" s="201" t="s">
        <v>1212</v>
      </c>
      <c r="Z74" s="203">
        <f t="shared" ca="1" si="21"/>
        <v>3514</v>
      </c>
      <c r="AA74" s="203">
        <f t="shared" ca="1" si="39"/>
        <v>3514</v>
      </c>
      <c r="AB74" s="232"/>
      <c r="AC74" s="232"/>
      <c r="AD74" s="78" t="s">
        <v>1213</v>
      </c>
      <c r="AE74" s="78" t="s">
        <v>217</v>
      </c>
      <c r="AF74" s="78" t="s">
        <v>218</v>
      </c>
      <c r="AG74" s="78" t="s">
        <v>218</v>
      </c>
      <c r="AH74" s="23" t="s">
        <v>161</v>
      </c>
      <c r="AI74" s="23" t="s">
        <v>1214</v>
      </c>
      <c r="AJ74" s="23" t="s">
        <v>1215</v>
      </c>
      <c r="AK74" s="23">
        <v>13595</v>
      </c>
      <c r="AL74" s="78" t="s">
        <v>1216</v>
      </c>
      <c r="AM74" s="206" t="s">
        <v>1217</v>
      </c>
      <c r="AN74" s="207" t="s">
        <v>1218</v>
      </c>
      <c r="AO74" s="78" t="s">
        <v>1219</v>
      </c>
      <c r="AP74" s="78" t="s">
        <v>1220</v>
      </c>
      <c r="AQ74" s="201" t="s">
        <v>717</v>
      </c>
      <c r="AR74" s="201"/>
      <c r="AS74" s="209" t="s">
        <v>1221</v>
      </c>
      <c r="AT74" s="23" t="s">
        <v>201</v>
      </c>
      <c r="AU74" s="23" t="s">
        <v>435</v>
      </c>
      <c r="AV74" s="210" t="s">
        <v>454</v>
      </c>
      <c r="AW74" s="211">
        <v>4676000</v>
      </c>
      <c r="AX74" s="175">
        <v>4676000</v>
      </c>
      <c r="AY74" s="212">
        <v>12</v>
      </c>
      <c r="AZ74" s="213">
        <f t="shared" si="40"/>
        <v>56112000</v>
      </c>
      <c r="BA74" s="78"/>
      <c r="BB74" s="78"/>
      <c r="BC74" s="214">
        <v>45839</v>
      </c>
      <c r="BD74" s="215">
        <v>39408000</v>
      </c>
      <c r="BE74" s="215">
        <v>40608000</v>
      </c>
      <c r="BF74" s="215">
        <f t="shared" si="22"/>
        <v>40608000</v>
      </c>
      <c r="BG74" s="215">
        <f t="shared" si="23"/>
        <v>3384000</v>
      </c>
      <c r="BH74" s="215">
        <v>2855100</v>
      </c>
      <c r="BI74" s="216">
        <f t="shared" si="37"/>
        <v>14617.7</v>
      </c>
      <c r="BJ74" s="216">
        <f>IF(AT74="통상",209,VLOOKUP(AD74,'[2]스케줄 분석_20260109'!$B$3:$F$20,5,FALSE))</f>
        <v>209</v>
      </c>
      <c r="BK74" s="216">
        <f>IF(AT74="통상",15,VLOOKUP(AD74,'[2]스케줄 분석_20260109'!$B$3:$P$20,10,FALSE))</f>
        <v>15</v>
      </c>
      <c r="BL74" s="216">
        <f>IF(AT74="통상",0,VLOOKUP(AD74,'[2]스케줄 분석_20260109'!$B$3:$P$20,11,FALSE))</f>
        <v>0</v>
      </c>
      <c r="BM74" s="215">
        <f t="shared" si="24"/>
        <v>328900</v>
      </c>
      <c r="BN74" s="175">
        <f t="shared" si="25"/>
        <v>0</v>
      </c>
      <c r="BO74" s="213">
        <v>200000</v>
      </c>
      <c r="BP74" s="175">
        <f>IF(OR(AT74="스케줄",AT74="스케줄_파라"),ROUNDUP(VLOOKUP(AD74,'[2]스케줄 분석_20260109'!$B$3:$Y$20,23,FALSE)*(VLOOKUP(AD74,'[2]스케줄 분석_20260109'!$B$3:$Y$20,21,FALSE)/VLOOKUP(AD74,'[2]스케줄 분석_20260109'!$B$3:$Y$20,20,FALSE))*VLOOKUP(AD74,'[2]스케줄 분석_20260109'!$B$3:$Y$20,22,FALSE)*VLOOKUP(AD74,'[2]스케줄 분석_20260109'!$B$3:$Y$20,2,FALSE)*1.5*BI74,0),0)</f>
        <v>0</v>
      </c>
      <c r="BQ74" s="217" t="str">
        <f t="shared" si="26"/>
        <v>적합</v>
      </c>
      <c r="BR74" s="213"/>
      <c r="BS74" s="218">
        <f t="shared" si="27"/>
        <v>584708</v>
      </c>
      <c r="BT74" s="219">
        <f t="shared" si="28"/>
        <v>3432725.6666666665</v>
      </c>
      <c r="BU74" s="175">
        <f t="shared" si="29"/>
        <v>1814880</v>
      </c>
      <c r="BV74" s="175">
        <f t="shared" si="30"/>
        <v>1556227.1232</v>
      </c>
      <c r="BW74" s="175">
        <f t="shared" si="31"/>
        <v>592224</v>
      </c>
      <c r="BX74" s="175">
        <f t="shared" si="32"/>
        <v>252172.79999999999</v>
      </c>
      <c r="BY74" s="213">
        <f t="shared" si="20"/>
        <v>4230000</v>
      </c>
      <c r="BZ74" s="220">
        <f t="shared" si="33"/>
        <v>44625433.666666664</v>
      </c>
      <c r="CA74" s="213">
        <f t="shared" si="34"/>
        <v>4215503.9232000001</v>
      </c>
      <c r="CB74" s="221">
        <f t="shared" si="35"/>
        <v>50760000</v>
      </c>
      <c r="CC74" s="222">
        <f t="shared" si="36"/>
        <v>5352000</v>
      </c>
      <c r="CD74" s="223">
        <f t="shared" si="41"/>
        <v>9.5380667236954668</v>
      </c>
      <c r="CE74" s="77"/>
      <c r="CF74" s="77"/>
      <c r="CG74" s="23"/>
      <c r="CH74" s="23"/>
      <c r="CI74" s="78"/>
      <c r="CJ74" s="78"/>
      <c r="CK74" s="187"/>
      <c r="CL74" s="188"/>
      <c r="CM74" s="78"/>
      <c r="CN74" s="78"/>
      <c r="CO74" s="78"/>
      <c r="CP74" s="78"/>
      <c r="CQ74" s="78"/>
      <c r="CR74" s="78"/>
      <c r="CS74" s="78"/>
      <c r="CT74" s="78"/>
      <c r="CU74" s="78"/>
      <c r="CV74" s="78"/>
      <c r="CW74" s="78"/>
      <c r="CX74" s="78"/>
      <c r="CY74" s="78"/>
      <c r="CZ74" s="78"/>
      <c r="DA74" s="78"/>
      <c r="DB74" s="78"/>
      <c r="DC74" s="78"/>
      <c r="DD74" s="78"/>
      <c r="DE74" s="78"/>
      <c r="DF74" s="78"/>
      <c r="DG74" s="78"/>
      <c r="DH74" s="78"/>
      <c r="DI74" s="78"/>
      <c r="DJ74" s="78"/>
      <c r="DK74" s="78"/>
      <c r="DL74" s="78"/>
      <c r="DM74" s="78"/>
    </row>
    <row r="75" spans="1:117" s="257" customFormat="1" ht="17.25" customHeight="1">
      <c r="A75" s="23">
        <f t="shared" si="38"/>
        <v>72</v>
      </c>
      <c r="B75" s="23" t="s">
        <v>439</v>
      </c>
      <c r="C75" s="190">
        <v>2016068</v>
      </c>
      <c r="D75" s="194" t="s">
        <v>490</v>
      </c>
      <c r="E75" s="227" t="s">
        <v>1222</v>
      </c>
      <c r="F75" s="227" t="s">
        <v>1223</v>
      </c>
      <c r="G75" s="23" t="s">
        <v>1224</v>
      </c>
      <c r="H75" s="227" t="s">
        <v>1225</v>
      </c>
      <c r="I75" s="227" t="s">
        <v>1204</v>
      </c>
      <c r="J75" s="194" t="s">
        <v>207</v>
      </c>
      <c r="K75" s="79" t="s">
        <v>208</v>
      </c>
      <c r="L75" s="227" t="s">
        <v>1226</v>
      </c>
      <c r="M75" s="227"/>
      <c r="N75" s="228" t="s">
        <v>1227</v>
      </c>
      <c r="O75" s="194" t="s">
        <v>1228</v>
      </c>
      <c r="P75" s="239" t="s">
        <v>1229</v>
      </c>
      <c r="Q75" s="214">
        <v>40026</v>
      </c>
      <c r="R75" s="214">
        <v>42668</v>
      </c>
      <c r="S75" s="214"/>
      <c r="T75" s="231" t="s">
        <v>1230</v>
      </c>
      <c r="U75" s="231" t="s">
        <v>1231</v>
      </c>
      <c r="V75" s="201" t="s">
        <v>278</v>
      </c>
      <c r="W75" s="231" t="s">
        <v>1232</v>
      </c>
      <c r="X75" s="201" t="s">
        <v>1233</v>
      </c>
      <c r="Y75" s="201"/>
      <c r="Z75" s="203">
        <f t="shared" ca="1" si="21"/>
        <v>6135</v>
      </c>
      <c r="AA75" s="203">
        <f t="shared" ca="1" si="39"/>
        <v>3493</v>
      </c>
      <c r="AB75" s="232"/>
      <c r="AC75" s="232"/>
      <c r="AD75" s="78" t="s">
        <v>890</v>
      </c>
      <c r="AE75" s="78" t="s">
        <v>190</v>
      </c>
      <c r="AF75" s="78" t="s">
        <v>263</v>
      </c>
      <c r="AG75" s="78" t="s">
        <v>263</v>
      </c>
      <c r="AH75" s="23" t="s">
        <v>161</v>
      </c>
      <c r="AI75" s="23" t="s">
        <v>503</v>
      </c>
      <c r="AJ75" s="23" t="s">
        <v>504</v>
      </c>
      <c r="AK75" s="23" t="s">
        <v>505</v>
      </c>
      <c r="AL75" s="78" t="s">
        <v>1234</v>
      </c>
      <c r="AM75" s="206">
        <v>16542</v>
      </c>
      <c r="AN75" s="207" t="s">
        <v>1235</v>
      </c>
      <c r="AO75" s="78" t="s">
        <v>222</v>
      </c>
      <c r="AP75" s="78" t="s">
        <v>223</v>
      </c>
      <c r="AQ75" s="201" t="s">
        <v>223</v>
      </c>
      <c r="AR75" s="201" t="s">
        <v>586</v>
      </c>
      <c r="AS75" s="209" t="s">
        <v>1236</v>
      </c>
      <c r="AT75" s="23" t="s">
        <v>201</v>
      </c>
      <c r="AU75" s="23" t="s">
        <v>435</v>
      </c>
      <c r="AV75" s="210" t="s">
        <v>454</v>
      </c>
      <c r="AW75" s="211">
        <v>4804000</v>
      </c>
      <c r="AX75" s="175">
        <v>4804000</v>
      </c>
      <c r="AY75" s="212">
        <v>12</v>
      </c>
      <c r="AZ75" s="213">
        <f t="shared" si="40"/>
        <v>57648000</v>
      </c>
      <c r="BA75" s="78"/>
      <c r="BB75" s="78"/>
      <c r="BC75" s="214">
        <v>45839</v>
      </c>
      <c r="BD75" s="215">
        <v>43799999.999999993</v>
      </c>
      <c r="BE75" s="215">
        <v>44712000</v>
      </c>
      <c r="BF75" s="215">
        <f t="shared" si="22"/>
        <v>44712000</v>
      </c>
      <c r="BG75" s="215">
        <f t="shared" si="23"/>
        <v>3726000</v>
      </c>
      <c r="BH75" s="215">
        <v>3163800</v>
      </c>
      <c r="BI75" s="216">
        <f t="shared" si="37"/>
        <v>16094.74</v>
      </c>
      <c r="BJ75" s="216">
        <f>IF(AT75="통상",209,VLOOKUP(AD75,'[2]스케줄 분석_20260109'!$B$3:$F$20,5,FALSE))</f>
        <v>209</v>
      </c>
      <c r="BK75" s="216">
        <f>IF(AT75="통상",15,VLOOKUP(AD75,'[2]스케줄 분석_20260109'!$B$3:$P$20,10,FALSE))</f>
        <v>15</v>
      </c>
      <c r="BL75" s="216">
        <f>IF(AT75="통상",0,VLOOKUP(AD75,'[2]스케줄 분석_20260109'!$B$3:$P$20,11,FALSE))</f>
        <v>0</v>
      </c>
      <c r="BM75" s="215">
        <f t="shared" si="24"/>
        <v>362200</v>
      </c>
      <c r="BN75" s="175">
        <f t="shared" si="25"/>
        <v>0</v>
      </c>
      <c r="BO75" s="213">
        <v>200000</v>
      </c>
      <c r="BP75" s="175">
        <f>IF(OR(AT75="스케줄",AT75="스케줄_파라"),ROUNDUP(VLOOKUP(AD75,'[2]스케줄 분석_20260109'!$B$3:$Y$20,23,FALSE)*(VLOOKUP(AD75,'[2]스케줄 분석_20260109'!$B$3:$Y$20,21,FALSE)/VLOOKUP(AD75,'[2]스케줄 분석_20260109'!$B$3:$Y$20,20,FALSE))*VLOOKUP(AD75,'[2]스케줄 분석_20260109'!$B$3:$Y$20,22,FALSE)*VLOOKUP(AD75,'[2]스케줄 분석_20260109'!$B$3:$Y$20,2,FALSE)*1.5*BI75,0),0)</f>
        <v>0</v>
      </c>
      <c r="BQ75" s="217" t="str">
        <f t="shared" si="26"/>
        <v>적합</v>
      </c>
      <c r="BR75" s="213"/>
      <c r="BS75" s="218">
        <f t="shared" si="27"/>
        <v>643789.6</v>
      </c>
      <c r="BT75" s="219">
        <f t="shared" si="28"/>
        <v>3779649.1333333333</v>
      </c>
      <c r="BU75" s="175">
        <f t="shared" si="29"/>
        <v>2009820</v>
      </c>
      <c r="BV75" s="175">
        <f t="shared" si="30"/>
        <v>1723384.6847999999</v>
      </c>
      <c r="BW75" s="175">
        <f t="shared" si="31"/>
        <v>655836</v>
      </c>
      <c r="BX75" s="175">
        <f t="shared" si="32"/>
        <v>279259.2</v>
      </c>
      <c r="BY75" s="213">
        <f t="shared" si="20"/>
        <v>4657500</v>
      </c>
      <c r="BZ75" s="220">
        <f t="shared" si="33"/>
        <v>49135438.733333334</v>
      </c>
      <c r="CA75" s="213">
        <f t="shared" si="34"/>
        <v>4668299.8848000001</v>
      </c>
      <c r="CB75" s="221">
        <f t="shared" si="35"/>
        <v>55890000</v>
      </c>
      <c r="CC75" s="222">
        <f t="shared" si="36"/>
        <v>1758000</v>
      </c>
      <c r="CD75" s="223">
        <f t="shared" si="41"/>
        <v>3.0495420482930893</v>
      </c>
      <c r="CE75" s="77"/>
      <c r="CF75" s="77"/>
      <c r="CG75" s="23"/>
      <c r="CH75" s="23"/>
      <c r="CI75" s="78"/>
      <c r="CJ75" s="78"/>
      <c r="CK75" s="187"/>
      <c r="CL75" s="188"/>
      <c r="CM75" s="78"/>
      <c r="CN75" s="78"/>
      <c r="CO75" s="78"/>
      <c r="CP75" s="78"/>
      <c r="CQ75" s="78"/>
      <c r="CR75" s="78"/>
      <c r="CS75" s="78"/>
      <c r="CT75" s="78"/>
      <c r="CU75" s="78"/>
      <c r="CV75" s="78"/>
      <c r="CW75" s="78"/>
      <c r="CX75" s="78"/>
      <c r="CY75" s="78"/>
      <c r="CZ75" s="78"/>
      <c r="DA75" s="78"/>
      <c r="DB75" s="78"/>
      <c r="DC75" s="78"/>
      <c r="DD75" s="78"/>
      <c r="DE75" s="78"/>
      <c r="DF75" s="78"/>
      <c r="DG75" s="78"/>
      <c r="DH75" s="78"/>
      <c r="DI75" s="78"/>
      <c r="DJ75" s="78"/>
      <c r="DK75" s="78"/>
      <c r="DL75" s="78"/>
      <c r="DM75" s="78"/>
    </row>
    <row r="76" spans="1:117" ht="17.25" customHeight="1">
      <c r="A76" s="23">
        <f t="shared" si="38"/>
        <v>73</v>
      </c>
      <c r="B76" s="23" t="s">
        <v>439</v>
      </c>
      <c r="C76" s="190">
        <v>2017001</v>
      </c>
      <c r="D76" s="191" t="s">
        <v>1237</v>
      </c>
      <c r="E76" s="227" t="s">
        <v>1008</v>
      </c>
      <c r="F76" s="227" t="s">
        <v>1008</v>
      </c>
      <c r="G76" s="23" t="s">
        <v>230</v>
      </c>
      <c r="H76" s="227" t="s">
        <v>992</v>
      </c>
      <c r="I76" s="227" t="s">
        <v>1204</v>
      </c>
      <c r="J76" s="194" t="s">
        <v>178</v>
      </c>
      <c r="K76" s="79" t="s">
        <v>444</v>
      </c>
      <c r="L76" s="227" t="s">
        <v>1238</v>
      </c>
      <c r="M76" s="227"/>
      <c r="N76" s="228" t="s">
        <v>1239</v>
      </c>
      <c r="O76" t="s">
        <v>1240</v>
      </c>
      <c r="P76" s="229" t="s">
        <v>1241</v>
      </c>
      <c r="Q76" s="214">
        <v>41487</v>
      </c>
      <c r="R76" s="214">
        <v>42736</v>
      </c>
      <c r="S76" s="214"/>
      <c r="T76" s="231" t="s">
        <v>1242</v>
      </c>
      <c r="U76" s="231" t="s">
        <v>1243</v>
      </c>
      <c r="V76" s="201" t="s">
        <v>215</v>
      </c>
      <c r="W76" s="231" t="s">
        <v>1244</v>
      </c>
      <c r="X76" s="200"/>
      <c r="Y76" s="200"/>
      <c r="Z76" s="203">
        <f t="shared" ca="1" si="21"/>
        <v>4674</v>
      </c>
      <c r="AA76" s="203">
        <f t="shared" ca="1" si="39"/>
        <v>3425</v>
      </c>
      <c r="AB76" s="232"/>
      <c r="AC76" s="232"/>
      <c r="AD76" t="s">
        <v>1020</v>
      </c>
      <c r="AE76" s="78" t="s">
        <v>833</v>
      </c>
      <c r="AF76" s="78" t="s">
        <v>191</v>
      </c>
      <c r="AG76" s="78" t="s">
        <v>191</v>
      </c>
      <c r="AH76" s="23" t="s">
        <v>161</v>
      </c>
      <c r="AI76" s="23" t="s">
        <v>1021</v>
      </c>
      <c r="AJ76" s="23" t="s">
        <v>1008</v>
      </c>
      <c r="AK76" s="23" t="s">
        <v>1022</v>
      </c>
      <c r="AL76" s="78" t="s">
        <v>1175</v>
      </c>
      <c r="AM76" s="206" t="s">
        <v>1245</v>
      </c>
      <c r="AN76" s="207" t="s">
        <v>1246</v>
      </c>
      <c r="AO76" s="78" t="s">
        <v>401</v>
      </c>
      <c r="AP76" s="78" t="s">
        <v>1025</v>
      </c>
      <c r="AQ76" s="201" t="s">
        <v>452</v>
      </c>
      <c r="AS76" s="209" t="s">
        <v>1006</v>
      </c>
      <c r="AT76" s="23" t="s">
        <v>201</v>
      </c>
      <c r="AU76" s="23" t="s">
        <v>435</v>
      </c>
      <c r="AV76" s="210" t="s">
        <v>454</v>
      </c>
      <c r="AW76" s="211">
        <v>5151000</v>
      </c>
      <c r="AX76" s="175">
        <v>5151000</v>
      </c>
      <c r="AY76" s="212">
        <v>12</v>
      </c>
      <c r="AZ76" s="213">
        <f t="shared" si="40"/>
        <v>61812000</v>
      </c>
      <c r="BC76" s="214">
        <v>45839</v>
      </c>
      <c r="BD76" s="215">
        <v>41004000</v>
      </c>
      <c r="BE76" s="215">
        <v>42204000</v>
      </c>
      <c r="BF76" s="215">
        <f t="shared" si="22"/>
        <v>42204000</v>
      </c>
      <c r="BG76" s="215">
        <f t="shared" si="23"/>
        <v>3517000</v>
      </c>
      <c r="BH76" s="215">
        <v>2975100</v>
      </c>
      <c r="BI76" s="216">
        <f t="shared" si="37"/>
        <v>15191.87</v>
      </c>
      <c r="BJ76" s="216">
        <f>IF(AT76="통상",209,VLOOKUP(AD76,'[2]스케줄 분석_20260109'!$B$3:$F$20,5,FALSE))</f>
        <v>209</v>
      </c>
      <c r="BK76" s="216">
        <f>IF(AT76="통상",15,VLOOKUP(AD76,'[2]스케줄 분석_20260109'!$B$3:$P$20,10,FALSE))</f>
        <v>15</v>
      </c>
      <c r="BL76" s="216">
        <f>IF(AT76="통상",0,VLOOKUP(AD76,'[2]스케줄 분석_20260109'!$B$3:$P$20,11,FALSE))</f>
        <v>0</v>
      </c>
      <c r="BM76" s="215">
        <f t="shared" si="24"/>
        <v>341900</v>
      </c>
      <c r="BN76" s="175">
        <f t="shared" si="25"/>
        <v>0</v>
      </c>
      <c r="BO76" s="213">
        <v>200000</v>
      </c>
      <c r="BP76" s="175">
        <f>IF(OR(AT76="스케줄",AT76="스케줄_파라"),ROUNDUP(VLOOKUP(AD76,'[2]스케줄 분석_20260109'!$B$3:$Y$20,23,FALSE)*(VLOOKUP(AD76,'[2]스케줄 분석_20260109'!$B$3:$Y$20,21,FALSE)/VLOOKUP(AD76,'[2]스케줄 분석_20260109'!$B$3:$Y$20,20,FALSE))*VLOOKUP(AD76,'[2]스케줄 분석_20260109'!$B$3:$Y$20,22,FALSE)*VLOOKUP(AD76,'[2]스케줄 분석_20260109'!$B$3:$Y$20,2,FALSE)*1.5*BI76,0),0)</f>
        <v>0</v>
      </c>
      <c r="BQ76" s="217" t="str">
        <f t="shared" si="26"/>
        <v>적합</v>
      </c>
      <c r="BR76" s="213"/>
      <c r="BS76" s="218">
        <f t="shared" si="27"/>
        <v>607674.80000000005</v>
      </c>
      <c r="BT76" s="219">
        <f t="shared" si="28"/>
        <v>3567639.5666666669</v>
      </c>
      <c r="BU76" s="175">
        <f t="shared" si="29"/>
        <v>1890690</v>
      </c>
      <c r="BV76" s="175">
        <f t="shared" si="30"/>
        <v>1621232.8415999999</v>
      </c>
      <c r="BW76" s="175">
        <f t="shared" si="31"/>
        <v>616962</v>
      </c>
      <c r="BX76" s="175">
        <f t="shared" si="32"/>
        <v>262706.40000000002</v>
      </c>
      <c r="BY76" s="213">
        <f t="shared" si="20"/>
        <v>4396250</v>
      </c>
      <c r="BZ76" s="220">
        <f t="shared" si="33"/>
        <v>46379314.366666667</v>
      </c>
      <c r="CA76" s="213">
        <f t="shared" si="34"/>
        <v>4391591.2416000003</v>
      </c>
      <c r="CB76" s="221">
        <f t="shared" si="35"/>
        <v>52755000</v>
      </c>
      <c r="CC76" s="222">
        <f t="shared" si="36"/>
        <v>9057000</v>
      </c>
      <c r="CD76" s="223">
        <f t="shared" si="41"/>
        <v>14.652494661230827</v>
      </c>
      <c r="CK76" s="187"/>
      <c r="CL76" s="188"/>
    </row>
    <row r="77" spans="1:117" ht="17.25" customHeight="1">
      <c r="A77" s="23">
        <f t="shared" si="38"/>
        <v>74</v>
      </c>
      <c r="B77" s="23" t="s">
        <v>439</v>
      </c>
      <c r="C77" s="190">
        <v>2017021</v>
      </c>
      <c r="D77" s="194" t="s">
        <v>202</v>
      </c>
      <c r="E77" s="227" t="s">
        <v>1247</v>
      </c>
      <c r="F77" s="227" t="s">
        <v>1248</v>
      </c>
      <c r="G77" s="23" t="s">
        <v>1010</v>
      </c>
      <c r="H77" s="227" t="s">
        <v>992</v>
      </c>
      <c r="I77" s="227" t="s">
        <v>1204</v>
      </c>
      <c r="J77" s="194" t="s">
        <v>207</v>
      </c>
      <c r="K77" s="79" t="s">
        <v>641</v>
      </c>
      <c r="L77" s="227" t="s">
        <v>1169</v>
      </c>
      <c r="M77" s="227"/>
      <c r="N77" s="228" t="s">
        <v>1249</v>
      </c>
      <c r="O77" s="194" t="s">
        <v>1250</v>
      </c>
      <c r="P77" s="229" t="s">
        <v>1251</v>
      </c>
      <c r="Q77" s="214">
        <v>41791</v>
      </c>
      <c r="R77" s="214">
        <v>42852</v>
      </c>
      <c r="S77" s="214"/>
      <c r="T77" s="231" t="s">
        <v>259</v>
      </c>
      <c r="U77" s="231" t="s">
        <v>1252</v>
      </c>
      <c r="V77" s="201" t="s">
        <v>278</v>
      </c>
      <c r="W77" s="200"/>
      <c r="X77" s="200"/>
      <c r="Y77" s="200"/>
      <c r="Z77" s="203">
        <f t="shared" ca="1" si="21"/>
        <v>4370</v>
      </c>
      <c r="AA77" s="203">
        <f t="shared" ca="1" si="39"/>
        <v>3309</v>
      </c>
      <c r="AB77" s="232"/>
      <c r="AC77" s="232"/>
      <c r="AD77" s="78" t="s">
        <v>519</v>
      </c>
      <c r="AE77" s="78" t="s">
        <v>217</v>
      </c>
      <c r="AF77" s="78" t="s">
        <v>218</v>
      </c>
      <c r="AG77" s="78" t="s">
        <v>218</v>
      </c>
      <c r="AH77" s="23" t="s">
        <v>161</v>
      </c>
      <c r="AI77" s="23" t="s">
        <v>162</v>
      </c>
      <c r="AJ77" s="23" t="s">
        <v>1253</v>
      </c>
      <c r="AK77" s="23">
        <v>13486</v>
      </c>
      <c r="AL77" s="78" t="s">
        <v>1254</v>
      </c>
      <c r="AM77" s="206" t="s">
        <v>1255</v>
      </c>
      <c r="AN77" s="207" t="s">
        <v>1256</v>
      </c>
      <c r="AO77" s="78" t="s">
        <v>524</v>
      </c>
      <c r="AP77" s="201" t="s">
        <v>1103</v>
      </c>
      <c r="AQ77" s="201" t="s">
        <v>895</v>
      </c>
      <c r="AS77" s="209" t="s">
        <v>526</v>
      </c>
      <c r="AT77" s="23" t="s">
        <v>201</v>
      </c>
      <c r="AU77" s="23" t="s">
        <v>435</v>
      </c>
      <c r="AV77" s="210" t="s">
        <v>454</v>
      </c>
      <c r="AW77" s="211">
        <v>4794000</v>
      </c>
      <c r="AX77" s="175">
        <v>4794000</v>
      </c>
      <c r="AY77" s="236">
        <v>12</v>
      </c>
      <c r="AZ77" s="213">
        <f t="shared" si="40"/>
        <v>57528000</v>
      </c>
      <c r="BA77" s="213"/>
      <c r="BB77" s="213"/>
      <c r="BC77" s="214">
        <v>45839</v>
      </c>
      <c r="BD77" s="215">
        <v>36600000</v>
      </c>
      <c r="BE77" s="215">
        <v>37800000</v>
      </c>
      <c r="BF77" s="215">
        <f t="shared" si="22"/>
        <v>37800000</v>
      </c>
      <c r="BG77" s="215">
        <f t="shared" si="23"/>
        <v>3150000</v>
      </c>
      <c r="BH77" s="215">
        <v>2643800</v>
      </c>
      <c r="BI77" s="216">
        <f t="shared" si="37"/>
        <v>13606.7</v>
      </c>
      <c r="BJ77" s="216">
        <f>IF(AT77="통상",209,VLOOKUP(AD77,'[2]스케줄 분석_20260109'!$B$3:$F$20,5,FALSE))</f>
        <v>209</v>
      </c>
      <c r="BK77" s="216">
        <f>IF(AT77="통상",15,VLOOKUP(AD77,'[2]스케줄 분석_20260109'!$B$3:$P$20,10,FALSE))</f>
        <v>15</v>
      </c>
      <c r="BL77" s="216">
        <f>IF(AT77="통상",0,VLOOKUP(AD77,'[2]스케줄 분석_20260109'!$B$3:$P$20,11,FALSE))</f>
        <v>0</v>
      </c>
      <c r="BM77" s="215">
        <f t="shared" si="24"/>
        <v>306200</v>
      </c>
      <c r="BN77" s="175">
        <f t="shared" si="25"/>
        <v>0</v>
      </c>
      <c r="BO77" s="213">
        <v>200000</v>
      </c>
      <c r="BP77" s="175">
        <f>IF(OR(AT77="스케줄",AT77="스케줄_파라"),ROUNDUP(VLOOKUP(AD77,'[2]스케줄 분석_20260109'!$B$3:$Y$20,23,FALSE)*(VLOOKUP(AD77,'[2]스케줄 분석_20260109'!$B$3:$Y$20,21,FALSE)/VLOOKUP(AD77,'[2]스케줄 분석_20260109'!$B$3:$Y$20,20,FALSE))*VLOOKUP(AD77,'[2]스케줄 분석_20260109'!$B$3:$Y$20,22,FALSE)*VLOOKUP(AD77,'[2]스케줄 분석_20260109'!$B$3:$Y$20,2,FALSE)*1.5*BI77,0),0)</f>
        <v>0</v>
      </c>
      <c r="BQ77" s="217" t="str">
        <f t="shared" si="26"/>
        <v>적합</v>
      </c>
      <c r="BR77" s="213"/>
      <c r="BS77" s="218">
        <f t="shared" si="27"/>
        <v>544268</v>
      </c>
      <c r="BT77" s="219">
        <f t="shared" si="28"/>
        <v>3195355.6666666665</v>
      </c>
      <c r="BU77" s="175">
        <f t="shared" si="29"/>
        <v>1681500</v>
      </c>
      <c r="BV77" s="175">
        <f t="shared" si="30"/>
        <v>1441856.16</v>
      </c>
      <c r="BW77" s="175">
        <f t="shared" si="31"/>
        <v>548700</v>
      </c>
      <c r="BX77" s="175">
        <f t="shared" si="32"/>
        <v>233640</v>
      </c>
      <c r="BY77" s="213">
        <f t="shared" si="20"/>
        <v>3937500</v>
      </c>
      <c r="BZ77" s="220">
        <f t="shared" si="33"/>
        <v>41539623.666666664</v>
      </c>
      <c r="CA77" s="213">
        <f t="shared" si="34"/>
        <v>3905696.16</v>
      </c>
      <c r="CB77" s="221">
        <f t="shared" si="35"/>
        <v>47250000</v>
      </c>
      <c r="CC77" s="222">
        <f t="shared" si="36"/>
        <v>10278000</v>
      </c>
      <c r="CD77" s="223">
        <f t="shared" si="41"/>
        <v>17.866082603254068</v>
      </c>
      <c r="CK77" s="187"/>
      <c r="CL77" s="188"/>
      <c r="DL77" s="121"/>
      <c r="DM77" s="121"/>
    </row>
    <row r="78" spans="1:117" ht="17.25" customHeight="1">
      <c r="A78" s="23">
        <f t="shared" si="38"/>
        <v>75</v>
      </c>
      <c r="B78" s="23" t="s">
        <v>439</v>
      </c>
      <c r="C78" s="190">
        <v>2017034</v>
      </c>
      <c r="D78" s="194" t="s">
        <v>1007</v>
      </c>
      <c r="E78" s="227" t="s">
        <v>1008</v>
      </c>
      <c r="F78" s="227" t="s">
        <v>1257</v>
      </c>
      <c r="G78" s="23" t="s">
        <v>1010</v>
      </c>
      <c r="H78" s="227" t="s">
        <v>992</v>
      </c>
      <c r="I78" s="227" t="s">
        <v>741</v>
      </c>
      <c r="J78" s="194" t="s">
        <v>178</v>
      </c>
      <c r="K78" s="79" t="s">
        <v>993</v>
      </c>
      <c r="L78" s="227" t="s">
        <v>1258</v>
      </c>
      <c r="M78" s="227" t="s">
        <v>1013</v>
      </c>
      <c r="N78" s="228" t="s">
        <v>1259</v>
      </c>
      <c r="O78" s="194" t="s">
        <v>1260</v>
      </c>
      <c r="P78" s="229" t="s">
        <v>1261</v>
      </c>
      <c r="Q78" s="214">
        <v>42912</v>
      </c>
      <c r="R78" s="214">
        <v>42912</v>
      </c>
      <c r="S78" s="214"/>
      <c r="T78" s="231" t="s">
        <v>1262</v>
      </c>
      <c r="U78" s="231" t="s">
        <v>1263</v>
      </c>
      <c r="V78" s="201" t="s">
        <v>394</v>
      </c>
      <c r="W78" s="231" t="s">
        <v>498</v>
      </c>
      <c r="Z78" s="203">
        <f t="shared" ca="1" si="21"/>
        <v>3249</v>
      </c>
      <c r="AA78" s="203">
        <f t="shared" ca="1" si="39"/>
        <v>3249</v>
      </c>
      <c r="AB78" s="232"/>
      <c r="AC78" s="232"/>
      <c r="AD78" s="78" t="s">
        <v>1264</v>
      </c>
      <c r="AE78" s="78" t="s">
        <v>833</v>
      </c>
      <c r="AF78" s="78" t="s">
        <v>191</v>
      </c>
      <c r="AG78" s="78" t="s">
        <v>191</v>
      </c>
      <c r="AH78" s="23" t="s">
        <v>161</v>
      </c>
      <c r="AI78" s="23" t="s">
        <v>1021</v>
      </c>
      <c r="AJ78" s="23" t="s">
        <v>1008</v>
      </c>
      <c r="AK78" s="23" t="s">
        <v>1022</v>
      </c>
      <c r="AL78" s="78" t="s">
        <v>1023</v>
      </c>
      <c r="AM78" s="206">
        <v>28753</v>
      </c>
      <c r="AN78" s="207" t="s">
        <v>1265</v>
      </c>
      <c r="AO78" s="78" t="s">
        <v>401</v>
      </c>
      <c r="AP78" s="201" t="s">
        <v>1004</v>
      </c>
      <c r="AQ78" s="201" t="s">
        <v>1005</v>
      </c>
      <c r="AS78" s="209" t="s">
        <v>1006</v>
      </c>
      <c r="AT78" s="23" t="s">
        <v>434</v>
      </c>
      <c r="AU78" s="23" t="s">
        <v>435</v>
      </c>
      <c r="AV78" s="210" t="s">
        <v>454</v>
      </c>
      <c r="AW78" s="211">
        <v>5151000</v>
      </c>
      <c r="AX78" s="175">
        <v>5151000</v>
      </c>
      <c r="AY78" s="212">
        <v>12</v>
      </c>
      <c r="AZ78" s="213">
        <f t="shared" si="40"/>
        <v>61812000</v>
      </c>
      <c r="BC78" s="214">
        <v>45839</v>
      </c>
      <c r="BD78" s="215">
        <v>33805032</v>
      </c>
      <c r="BE78" s="215">
        <v>34885200</v>
      </c>
      <c r="BF78" s="215">
        <f t="shared" si="22"/>
        <v>34885200</v>
      </c>
      <c r="BG78" s="215">
        <f t="shared" si="23"/>
        <v>2907100</v>
      </c>
      <c r="BH78" s="215">
        <v>2080900</v>
      </c>
      <c r="BI78" s="216">
        <f t="shared" si="37"/>
        <v>14591.22</v>
      </c>
      <c r="BJ78" s="216">
        <f>IF(AT78="통상",209,VLOOKUP(AD78,'[2]스케줄 분석_20260109'!$B$3:$F$20,5,FALSE))</f>
        <v>156.32000000000002</v>
      </c>
      <c r="BK78" s="216">
        <f>IF(AT78="통상",15,VLOOKUP(AD78,'[2]스케줄 분석_20260109'!$B$3:$P$20,10,FALSE))</f>
        <v>36.39</v>
      </c>
      <c r="BL78" s="216">
        <f>IF(AT78="통상",0,VLOOKUP(AD78,'[2]스케줄 분석_20260109'!$B$3:$P$20,11,FALSE))</f>
        <v>49.43</v>
      </c>
      <c r="BM78" s="215">
        <f t="shared" si="24"/>
        <v>265500</v>
      </c>
      <c r="BN78" s="175">
        <f t="shared" si="25"/>
        <v>360700</v>
      </c>
      <c r="BO78" s="213">
        <v>200000</v>
      </c>
      <c r="BP78" s="175">
        <f>IF(OR(AT78="스케줄",AT78="스케줄_파라"),ROUNDUP(VLOOKUP(AD78,'[2]스케줄 분석_20260109'!$B$3:$Y$20,23,FALSE)*(VLOOKUP(AD78,'[2]스케줄 분석_20260109'!$B$3:$Y$20,21,FALSE)/VLOOKUP(AD78,'[2]스케줄 분석_20260109'!$B$3:$Y$20,20,FALSE))*VLOOKUP(AD78,'[2]스케줄 분석_20260109'!$B$3:$Y$20,22,FALSE)*VLOOKUP(AD78,'[2]스케줄 분석_20260109'!$B$3:$Y$20,2,FALSE)*1.5*BI78,0),0)</f>
        <v>2746798</v>
      </c>
      <c r="BQ78" s="217" t="str">
        <f t="shared" si="26"/>
        <v>적합</v>
      </c>
      <c r="BR78" s="213"/>
      <c r="BS78" s="218">
        <f t="shared" si="27"/>
        <v>1459122</v>
      </c>
      <c r="BT78" s="219">
        <f t="shared" si="28"/>
        <v>3028693.5</v>
      </c>
      <c r="BU78" s="175">
        <f t="shared" si="29"/>
        <v>1543047</v>
      </c>
      <c r="BV78" s="175">
        <f t="shared" si="30"/>
        <v>1323135.1900799999</v>
      </c>
      <c r="BW78" s="175">
        <f t="shared" si="31"/>
        <v>503520.6</v>
      </c>
      <c r="BX78" s="175">
        <f t="shared" si="32"/>
        <v>214402.32</v>
      </c>
      <c r="BY78" s="213">
        <f t="shared" si="20"/>
        <v>3633875</v>
      </c>
      <c r="BZ78" s="220">
        <f t="shared" si="33"/>
        <v>39373015.5</v>
      </c>
      <c r="CA78" s="213">
        <f t="shared" si="34"/>
        <v>3584105.11008</v>
      </c>
      <c r="CB78" s="221">
        <f t="shared" si="35"/>
        <v>43606500</v>
      </c>
      <c r="CC78" s="222">
        <f t="shared" si="36"/>
        <v>14881874.42</v>
      </c>
      <c r="CD78" s="223">
        <f t="shared" si="41"/>
        <v>24.076027988092928</v>
      </c>
      <c r="CK78" s="187"/>
      <c r="CL78" s="188"/>
    </row>
    <row r="79" spans="1:117" ht="17.25" customHeight="1">
      <c r="A79" s="23">
        <f t="shared" si="38"/>
        <v>76</v>
      </c>
      <c r="B79" s="23" t="s">
        <v>439</v>
      </c>
      <c r="C79" s="190">
        <v>2017045</v>
      </c>
      <c r="D79" s="194" t="s">
        <v>1201</v>
      </c>
      <c r="E79" s="227" t="s">
        <v>1202</v>
      </c>
      <c r="F79" s="227" t="s">
        <v>1202</v>
      </c>
      <c r="G79" s="23" t="s">
        <v>441</v>
      </c>
      <c r="H79" s="227" t="s">
        <v>640</v>
      </c>
      <c r="I79" s="227" t="s">
        <v>309</v>
      </c>
      <c r="J79" s="194" t="s">
        <v>178</v>
      </c>
      <c r="K79" s="79" t="s">
        <v>708</v>
      </c>
      <c r="L79" s="227" t="s">
        <v>1266</v>
      </c>
      <c r="M79" s="227"/>
      <c r="N79" s="228" t="s">
        <v>1267</v>
      </c>
      <c r="O79" s="197" t="s">
        <v>1268</v>
      </c>
      <c r="P79" s="229" t="s">
        <v>1269</v>
      </c>
      <c r="Q79" s="214">
        <v>38261</v>
      </c>
      <c r="R79" s="214">
        <v>42940</v>
      </c>
      <c r="S79" s="214"/>
      <c r="T79" s="231" t="s">
        <v>1270</v>
      </c>
      <c r="U79" s="231" t="s">
        <v>1271</v>
      </c>
      <c r="V79" s="201" t="s">
        <v>394</v>
      </c>
      <c r="W79" s="231" t="s">
        <v>498</v>
      </c>
      <c r="X79" s="200" t="s">
        <v>1272</v>
      </c>
      <c r="Y79" s="200" t="s">
        <v>187</v>
      </c>
      <c r="Z79" s="203">
        <f t="shared" ca="1" si="21"/>
        <v>7900</v>
      </c>
      <c r="AA79" s="203">
        <f t="shared" ca="1" si="39"/>
        <v>3221</v>
      </c>
      <c r="AB79" s="232"/>
      <c r="AC79" s="232"/>
      <c r="AD79" s="78" t="s">
        <v>1213</v>
      </c>
      <c r="AE79" s="78" t="s">
        <v>217</v>
      </c>
      <c r="AF79" s="78" t="s">
        <v>218</v>
      </c>
      <c r="AG79" s="78" t="s">
        <v>218</v>
      </c>
      <c r="AH79" s="23" t="s">
        <v>161</v>
      </c>
      <c r="AI79" s="23" t="s">
        <v>1214</v>
      </c>
      <c r="AJ79" s="23" t="s">
        <v>1215</v>
      </c>
      <c r="AK79" s="23">
        <v>13595</v>
      </c>
      <c r="AL79" s="78" t="s">
        <v>1216</v>
      </c>
      <c r="AM79" s="206">
        <v>16948</v>
      </c>
      <c r="AN79" s="207" t="s">
        <v>1273</v>
      </c>
      <c r="AO79" s="78" t="s">
        <v>1219</v>
      </c>
      <c r="AP79" s="78" t="s">
        <v>1220</v>
      </c>
      <c r="AQ79" s="201" t="s">
        <v>717</v>
      </c>
      <c r="AR79" s="201" t="s">
        <v>974</v>
      </c>
      <c r="AS79" s="209" t="s">
        <v>1221</v>
      </c>
      <c r="AT79" s="23" t="s">
        <v>201</v>
      </c>
      <c r="AU79" s="23" t="s">
        <v>435</v>
      </c>
      <c r="AV79" s="210" t="s">
        <v>454</v>
      </c>
      <c r="AW79" s="211">
        <v>6042000</v>
      </c>
      <c r="AX79" s="175">
        <v>6042000</v>
      </c>
      <c r="AY79" s="212">
        <v>12</v>
      </c>
      <c r="AZ79" s="213">
        <f t="shared" si="40"/>
        <v>72504000</v>
      </c>
      <c r="BA79" s="234"/>
      <c r="BB79" s="234"/>
      <c r="BC79" s="214">
        <v>45839</v>
      </c>
      <c r="BD79" s="215">
        <v>48564000</v>
      </c>
      <c r="BE79" s="215">
        <v>49704000</v>
      </c>
      <c r="BF79" s="215">
        <f t="shared" si="22"/>
        <v>49704000</v>
      </c>
      <c r="BG79" s="215">
        <f t="shared" si="23"/>
        <v>4142000</v>
      </c>
      <c r="BH79" s="215">
        <v>3539400</v>
      </c>
      <c r="BI79" s="216">
        <f t="shared" si="37"/>
        <v>17891.87</v>
      </c>
      <c r="BJ79" s="216">
        <f>IF(AT79="통상",209,VLOOKUP(AD79,'[2]스케줄 분석_20260109'!$B$3:$F$20,5,FALSE))</f>
        <v>209</v>
      </c>
      <c r="BK79" s="216">
        <f>IF(AT79="통상",15,VLOOKUP(AD79,'[2]스케줄 분석_20260109'!$B$3:$P$20,10,FALSE))</f>
        <v>15</v>
      </c>
      <c r="BL79" s="216">
        <f>IF(AT79="통상",0,VLOOKUP(AD79,'[2]스케줄 분석_20260109'!$B$3:$P$20,11,FALSE))</f>
        <v>0</v>
      </c>
      <c r="BM79" s="215">
        <f t="shared" si="24"/>
        <v>402600</v>
      </c>
      <c r="BN79" s="175">
        <f t="shared" si="25"/>
        <v>0</v>
      </c>
      <c r="BO79" s="213">
        <v>200000</v>
      </c>
      <c r="BP79" s="175">
        <f>IF(OR(AT79="스케줄",AT79="스케줄_파라"),ROUNDUP(VLOOKUP(AD79,'[2]스케줄 분석_20260109'!$B$3:$Y$20,23,FALSE)*(VLOOKUP(AD79,'[2]스케줄 분석_20260109'!$B$3:$Y$20,21,FALSE)/VLOOKUP(AD79,'[2]스케줄 분석_20260109'!$B$3:$Y$20,20,FALSE))*VLOOKUP(AD79,'[2]스케줄 분석_20260109'!$B$3:$Y$20,22,FALSE)*VLOOKUP(AD79,'[2]스케줄 분석_20260109'!$B$3:$Y$20,2,FALSE)*1.5*BI79,0),0)</f>
        <v>0</v>
      </c>
      <c r="BQ79" s="217" t="str">
        <f t="shared" si="26"/>
        <v>적합</v>
      </c>
      <c r="BR79" s="213"/>
      <c r="BS79" s="218">
        <f t="shared" si="27"/>
        <v>715674.79999999993</v>
      </c>
      <c r="BT79" s="219">
        <f t="shared" si="28"/>
        <v>4201639.5666666664</v>
      </c>
      <c r="BU79" s="175">
        <f t="shared" si="29"/>
        <v>2246940</v>
      </c>
      <c r="BV79" s="175">
        <f t="shared" si="30"/>
        <v>1926710.8415999997</v>
      </c>
      <c r="BW79" s="175">
        <f t="shared" si="31"/>
        <v>733212</v>
      </c>
      <c r="BX79" s="175">
        <f t="shared" si="32"/>
        <v>312206.40000000002</v>
      </c>
      <c r="BY79" s="213">
        <f t="shared" ref="BY79:BY142" si="42">CB79/AY79</f>
        <v>5177500</v>
      </c>
      <c r="BZ79" s="220">
        <f t="shared" si="33"/>
        <v>54621314.36666666</v>
      </c>
      <c r="CA79" s="213">
        <f t="shared" si="34"/>
        <v>5219069.2416000003</v>
      </c>
      <c r="CB79" s="221">
        <f t="shared" si="35"/>
        <v>62130000</v>
      </c>
      <c r="CC79" s="222">
        <f t="shared" si="36"/>
        <v>10374000</v>
      </c>
      <c r="CD79" s="223">
        <f t="shared" si="41"/>
        <v>14.308176100628931</v>
      </c>
      <c r="CG79" s="247"/>
      <c r="CH79" s="247"/>
      <c r="CI79" s="210"/>
      <c r="CK79" s="187"/>
      <c r="CL79" s="188"/>
      <c r="DL79" s="121"/>
      <c r="DM79" s="121"/>
    </row>
    <row r="80" spans="1:117" s="121" customFormat="1" ht="17.25" customHeight="1">
      <c r="A80" s="23">
        <f t="shared" si="38"/>
        <v>77</v>
      </c>
      <c r="B80" s="23" t="s">
        <v>439</v>
      </c>
      <c r="C80" s="190">
        <v>2017047</v>
      </c>
      <c r="D80" s="194" t="s">
        <v>655</v>
      </c>
      <c r="E80" s="227" t="s">
        <v>656</v>
      </c>
      <c r="F80" s="227" t="s">
        <v>1274</v>
      </c>
      <c r="G80" s="23" t="s">
        <v>204</v>
      </c>
      <c r="H80" s="227" t="s">
        <v>992</v>
      </c>
      <c r="I80" s="227" t="s">
        <v>1204</v>
      </c>
      <c r="J80" s="194" t="s">
        <v>207</v>
      </c>
      <c r="K80" s="79" t="s">
        <v>841</v>
      </c>
      <c r="L80" s="227" t="s">
        <v>1275</v>
      </c>
      <c r="M80" s="227" t="s">
        <v>1276</v>
      </c>
      <c r="N80" s="228" t="s">
        <v>1277</v>
      </c>
      <c r="O80" s="194" t="s">
        <v>1278</v>
      </c>
      <c r="P80" s="229" t="s">
        <v>1279</v>
      </c>
      <c r="Q80" s="214">
        <v>42948</v>
      </c>
      <c r="R80" s="214">
        <v>42948</v>
      </c>
      <c r="S80" s="214"/>
      <c r="T80" s="231" t="s">
        <v>1280</v>
      </c>
      <c r="U80" s="231" t="s">
        <v>1281</v>
      </c>
      <c r="V80" s="201" t="s">
        <v>394</v>
      </c>
      <c r="W80" s="231" t="s">
        <v>1282</v>
      </c>
      <c r="X80" s="200" t="s">
        <v>1283</v>
      </c>
      <c r="Y80" s="200" t="s">
        <v>647</v>
      </c>
      <c r="Z80" s="203">
        <f t="shared" ref="Z80:Z106" ca="1" si="43">IF(Q80&lt;&gt;"",$A$1-Q80,"")</f>
        <v>3213</v>
      </c>
      <c r="AA80" s="203">
        <f t="shared" ca="1" si="39"/>
        <v>3213</v>
      </c>
      <c r="AB80" s="232"/>
      <c r="AC80" s="232"/>
      <c r="AD80" s="78" t="s">
        <v>675</v>
      </c>
      <c r="AE80" s="78" t="s">
        <v>217</v>
      </c>
      <c r="AF80" s="78" t="s">
        <v>160</v>
      </c>
      <c r="AG80" s="78" t="s">
        <v>160</v>
      </c>
      <c r="AH80" s="23" t="s">
        <v>161</v>
      </c>
      <c r="AI80" s="23" t="s">
        <v>162</v>
      </c>
      <c r="AJ80" s="23" t="s">
        <v>483</v>
      </c>
      <c r="AK80" s="23">
        <v>13486</v>
      </c>
      <c r="AL80" s="78" t="s">
        <v>163</v>
      </c>
      <c r="AM80" s="206" t="s">
        <v>1284</v>
      </c>
      <c r="AN80" s="207" t="s">
        <v>1285</v>
      </c>
      <c r="AO80" s="78" t="s">
        <v>166</v>
      </c>
      <c r="AP80" s="78" t="s">
        <v>1143</v>
      </c>
      <c r="AQ80" s="201" t="s">
        <v>1144</v>
      </c>
      <c r="AR80" s="201"/>
      <c r="AS80" s="209" t="s">
        <v>488</v>
      </c>
      <c r="AT80" s="23" t="s">
        <v>434</v>
      </c>
      <c r="AU80" s="23" t="s">
        <v>435</v>
      </c>
      <c r="AV80" s="210" t="s">
        <v>454</v>
      </c>
      <c r="AW80" s="211">
        <v>5087000</v>
      </c>
      <c r="AX80" s="175">
        <v>5087000</v>
      </c>
      <c r="AY80" s="212">
        <v>12</v>
      </c>
      <c r="AZ80" s="213">
        <f t="shared" si="40"/>
        <v>61044000</v>
      </c>
      <c r="BA80" s="213"/>
      <c r="BB80" s="213"/>
      <c r="BC80" s="214">
        <v>45839</v>
      </c>
      <c r="BD80" s="215">
        <v>40297320</v>
      </c>
      <c r="BE80" s="215">
        <v>41246400</v>
      </c>
      <c r="BF80" s="215">
        <f t="shared" ref="BF80:BF143" si="44">BG80*12</f>
        <v>41246400</v>
      </c>
      <c r="BG80" s="215">
        <f t="shared" ref="BG80:BG143" si="45">BH80+BM80+BN80+BO80</f>
        <v>3437200</v>
      </c>
      <c r="BH80" s="215">
        <v>2765500</v>
      </c>
      <c r="BI80" s="216">
        <f t="shared" si="37"/>
        <v>15505.07</v>
      </c>
      <c r="BJ80" s="216">
        <f>IF(AT80="통상",209,VLOOKUP(AD80,'[2]스케줄 분석_20260109'!$B$3:$F$20,5,FALSE))</f>
        <v>191.26</v>
      </c>
      <c r="BK80" s="216">
        <f>IF(AT80="통상",15,VLOOKUP(AD80,'[2]스케줄 분석_20260109'!$B$3:$P$20,10,FALSE))</f>
        <v>27.88</v>
      </c>
      <c r="BL80" s="216">
        <f>IF(AT80="통상",0,VLOOKUP(AD80,'[2]스케줄 분석_20260109'!$B$3:$P$20,11,FALSE))</f>
        <v>32.950000000000003</v>
      </c>
      <c r="BM80" s="215">
        <f t="shared" ref="BM80:BM143" si="46">IF(OR(AT80="통상",AT80="스케줄_파라"),ROUNDUP(BI80*BK80*1.5,-2),IF(OR(AT80="스케줄",AT80="휴직_스케줄"),ROUNDUP(BI80*BK80*0.5,-2),"확인바람"))</f>
        <v>216200</v>
      </c>
      <c r="BN80" s="175">
        <f t="shared" ref="BN80:BN143" si="47">ROUNDUP(BI80*BL80*0.5,-2)</f>
        <v>255500</v>
      </c>
      <c r="BO80" s="213">
        <v>200000</v>
      </c>
      <c r="BP80" s="175">
        <f>IF(OR(AT80="스케줄",AT80="스케줄_파라"),ROUNDUP(VLOOKUP(AD80,'[2]스케줄 분석_20260109'!$B$3:$Y$20,23,FALSE)*(VLOOKUP(AD80,'[2]스케줄 분석_20260109'!$B$3:$Y$20,21,FALSE)/VLOOKUP(AD80,'[2]스케줄 분석_20260109'!$B$3:$Y$20,20,FALSE))*VLOOKUP(AD80,'[2]스케줄 분석_20260109'!$B$3:$Y$20,22,FALSE)*VLOOKUP(AD80,'[2]스케줄 분석_20260109'!$B$3:$Y$20,2,FALSE)*1.5*BI80,0),0)</f>
        <v>892001</v>
      </c>
      <c r="BQ80" s="217" t="str">
        <f t="shared" ref="BQ80:BQ143" si="48">IF(BI80&gt;=$D$1,"적합","미달")</f>
        <v>적합</v>
      </c>
      <c r="BR80" s="253">
        <v>250000</v>
      </c>
      <c r="BS80" s="218">
        <f t="shared" ref="BS80:BS143" si="49">IF(AT80="통상",BI80*8*5,IF(OR(AT80="스케줄",AT80="스케줄_파라"),BI80*100,"확인"))</f>
        <v>1550507</v>
      </c>
      <c r="BT80" s="219">
        <f t="shared" ref="BT80:BT143" si="50">BG80+BS80/12</f>
        <v>3566408.9166666665</v>
      </c>
      <c r="BU80" s="175">
        <f t="shared" ref="BU80:BU143" si="51">(BF80-BO80*12)*0.0475</f>
        <v>1845204</v>
      </c>
      <c r="BV80" s="175">
        <f t="shared" ref="BV80:BV143" si="52">(BF80-BO80*12)*0.036+(BF80-BO80*12)*0.036*0.1314</f>
        <v>1582229.4105599998</v>
      </c>
      <c r="BW80" s="175">
        <f t="shared" ref="BW80:BW143" si="53">(BF80-BO80*12)*(0.009+0.0065)</f>
        <v>602119.19999999995</v>
      </c>
      <c r="BX80" s="175">
        <f t="shared" ref="BX80:BX143" si="54">(BF80-BO80*12)*0.0066</f>
        <v>256386.24</v>
      </c>
      <c r="BY80" s="213">
        <f t="shared" si="42"/>
        <v>4296500</v>
      </c>
      <c r="BZ80" s="220">
        <f t="shared" ref="BZ80:BZ143" si="55">SUM(BF80,BS80:BT80)</f>
        <v>46363315.916666664</v>
      </c>
      <c r="CA80" s="213">
        <f t="shared" ref="CA80:CA143" si="56">SUM(BU80:BX80)</f>
        <v>4285938.8505600002</v>
      </c>
      <c r="CB80" s="221">
        <f t="shared" ref="CB80:CB143" si="57">BF80*1.25</f>
        <v>51558000</v>
      </c>
      <c r="CC80" s="222">
        <f t="shared" ref="CC80:CC143" si="58">AZ80-CB80-BP80*1.21</f>
        <v>8406678.7899999991</v>
      </c>
      <c r="CD80" s="223">
        <f t="shared" si="41"/>
        <v>13.771507093244214</v>
      </c>
      <c r="CE80" s="77"/>
      <c r="CF80" s="77"/>
      <c r="CG80" s="23"/>
      <c r="CH80" s="23"/>
      <c r="CI80" s="78"/>
      <c r="CJ80" s="120"/>
      <c r="CK80" s="187"/>
      <c r="CL80" s="188"/>
      <c r="CM80" s="78"/>
      <c r="CN80" s="78"/>
      <c r="CO80" s="78"/>
      <c r="CP80" s="78"/>
      <c r="CQ80" s="78"/>
      <c r="CR80" s="78"/>
      <c r="CS80" s="78"/>
      <c r="CT80" s="78"/>
      <c r="CU80" s="78"/>
      <c r="CV80" s="78"/>
      <c r="CW80" s="78"/>
      <c r="CX80" s="78"/>
      <c r="CY80" s="78"/>
      <c r="CZ80" s="78"/>
      <c r="DA80" s="78"/>
      <c r="DB80" s="78"/>
      <c r="DC80" s="78"/>
      <c r="DD80" s="78"/>
      <c r="DE80" s="78"/>
      <c r="DF80" s="78"/>
      <c r="DG80" s="78"/>
      <c r="DH80" s="78"/>
      <c r="DI80" s="78"/>
      <c r="DJ80" s="78"/>
      <c r="DK80" s="78"/>
      <c r="DL80" s="78"/>
      <c r="DM80" s="78"/>
    </row>
    <row r="81" spans="1:117" ht="17.25" customHeight="1">
      <c r="A81" s="23">
        <f t="shared" si="38"/>
        <v>78</v>
      </c>
      <c r="B81" s="23" t="s">
        <v>439</v>
      </c>
      <c r="C81" s="190">
        <v>2017057</v>
      </c>
      <c r="D81" s="194" t="s">
        <v>1286</v>
      </c>
      <c r="E81" s="227" t="s">
        <v>1247</v>
      </c>
      <c r="F81" s="227" t="s">
        <v>1247</v>
      </c>
      <c r="G81" s="23" t="s">
        <v>230</v>
      </c>
      <c r="H81" s="227" t="s">
        <v>205</v>
      </c>
      <c r="I81" s="227" t="s">
        <v>151</v>
      </c>
      <c r="J81" s="194" t="s">
        <v>207</v>
      </c>
      <c r="K81" s="79" t="s">
        <v>342</v>
      </c>
      <c r="L81" s="227" t="s">
        <v>1287</v>
      </c>
      <c r="M81" s="227" t="s">
        <v>1288</v>
      </c>
      <c r="N81" s="228" t="s">
        <v>1289</v>
      </c>
      <c r="O81" s="237" t="s">
        <v>1290</v>
      </c>
      <c r="P81" s="229" t="s">
        <v>1291</v>
      </c>
      <c r="Q81" s="214">
        <v>42989</v>
      </c>
      <c r="R81" s="214">
        <v>42989</v>
      </c>
      <c r="S81" s="214"/>
      <c r="T81" s="231" t="s">
        <v>1292</v>
      </c>
      <c r="U81" s="231" t="s">
        <v>1293</v>
      </c>
      <c r="V81" s="201" t="s">
        <v>1294</v>
      </c>
      <c r="W81" s="231" t="s">
        <v>791</v>
      </c>
      <c r="X81" s="200" t="s">
        <v>684</v>
      </c>
      <c r="Y81" s="200" t="s">
        <v>1295</v>
      </c>
      <c r="Z81" s="203">
        <f t="shared" ca="1" si="43"/>
        <v>3172</v>
      </c>
      <c r="AA81" s="203">
        <f t="shared" ca="1" si="39"/>
        <v>3172</v>
      </c>
      <c r="AB81" s="232"/>
      <c r="AC81" s="232"/>
      <c r="AD81" s="78" t="s">
        <v>519</v>
      </c>
      <c r="AE81" s="78" t="s">
        <v>217</v>
      </c>
      <c r="AF81" s="78" t="s">
        <v>218</v>
      </c>
      <c r="AG81" s="78" t="s">
        <v>218</v>
      </c>
      <c r="AH81" s="23" t="s">
        <v>161</v>
      </c>
      <c r="AI81" s="23" t="s">
        <v>162</v>
      </c>
      <c r="AJ81" s="23" t="s">
        <v>1253</v>
      </c>
      <c r="AK81" s="23">
        <v>13486</v>
      </c>
      <c r="AL81" s="78" t="s">
        <v>1296</v>
      </c>
      <c r="AM81" s="206" t="s">
        <v>1297</v>
      </c>
      <c r="AN81" s="207" t="s">
        <v>1298</v>
      </c>
      <c r="AO81" s="78" t="s">
        <v>1299</v>
      </c>
      <c r="AP81" s="78" t="s">
        <v>538</v>
      </c>
      <c r="AQ81" s="201" t="s">
        <v>539</v>
      </c>
      <c r="AR81" s="201" t="s">
        <v>540</v>
      </c>
      <c r="AS81" s="209" t="s">
        <v>1300</v>
      </c>
      <c r="AT81" s="23" t="s">
        <v>201</v>
      </c>
      <c r="AU81" s="23" t="s">
        <v>435</v>
      </c>
      <c r="AV81" s="210" t="s">
        <v>454</v>
      </c>
      <c r="AW81" s="211">
        <v>6094000</v>
      </c>
      <c r="AX81" s="175">
        <v>6094000</v>
      </c>
      <c r="AY81" s="212">
        <v>12</v>
      </c>
      <c r="AZ81" s="213">
        <f t="shared" si="40"/>
        <v>73128000</v>
      </c>
      <c r="BA81" s="213"/>
      <c r="BB81" s="213"/>
      <c r="BC81" s="214">
        <v>45839</v>
      </c>
      <c r="BD81" s="215">
        <v>42528000</v>
      </c>
      <c r="BE81" s="215">
        <v>44928000</v>
      </c>
      <c r="BF81" s="215">
        <f t="shared" si="44"/>
        <v>44928000</v>
      </c>
      <c r="BG81" s="215">
        <f t="shared" si="45"/>
        <v>3744000</v>
      </c>
      <c r="BH81" s="215">
        <v>3180100</v>
      </c>
      <c r="BI81" s="216">
        <f t="shared" ref="BI81:BI144" si="59">ROUND((BH81+BO81)/BJ81,2)</f>
        <v>16172.73</v>
      </c>
      <c r="BJ81" s="216">
        <f>IF(AT81="통상",209,VLOOKUP(AD81,'[2]스케줄 분석_20260109'!$B$3:$F$20,5,FALSE))</f>
        <v>209</v>
      </c>
      <c r="BK81" s="216">
        <f>IF(AT81="통상",15,VLOOKUP(AD81,'[2]스케줄 분석_20260109'!$B$3:$P$20,10,FALSE))</f>
        <v>15</v>
      </c>
      <c r="BL81" s="216">
        <f>IF(AT81="통상",0,VLOOKUP(AD81,'[2]스케줄 분석_20260109'!$B$3:$P$20,11,FALSE))</f>
        <v>0</v>
      </c>
      <c r="BM81" s="215">
        <f t="shared" si="46"/>
        <v>363900</v>
      </c>
      <c r="BN81" s="175">
        <f t="shared" si="47"/>
        <v>0</v>
      </c>
      <c r="BO81" s="213">
        <v>200000</v>
      </c>
      <c r="BP81" s="175">
        <f>IF(OR(AT81="스케줄",AT81="스케줄_파라"),ROUNDUP(VLOOKUP(AD81,'[2]스케줄 분석_20260109'!$B$3:$Y$20,23,FALSE)*(VLOOKUP(AD81,'[2]스케줄 분석_20260109'!$B$3:$Y$20,21,FALSE)/VLOOKUP(AD81,'[2]스케줄 분석_20260109'!$B$3:$Y$20,20,FALSE))*VLOOKUP(AD81,'[2]스케줄 분석_20260109'!$B$3:$Y$20,22,FALSE)*VLOOKUP(AD81,'[2]스케줄 분석_20260109'!$B$3:$Y$20,2,FALSE)*1.5*BI81,0),0)</f>
        <v>0</v>
      </c>
      <c r="BQ81" s="217" t="str">
        <f t="shared" si="48"/>
        <v>적합</v>
      </c>
      <c r="BR81" s="213"/>
      <c r="BS81" s="218">
        <f t="shared" si="49"/>
        <v>646909.19999999995</v>
      </c>
      <c r="BT81" s="219">
        <f t="shared" si="50"/>
        <v>3797909.1</v>
      </c>
      <c r="BU81" s="175">
        <f t="shared" si="51"/>
        <v>2020080</v>
      </c>
      <c r="BV81" s="175">
        <f t="shared" si="52"/>
        <v>1732182.4512</v>
      </c>
      <c r="BW81" s="175">
        <f t="shared" si="53"/>
        <v>659184</v>
      </c>
      <c r="BX81" s="175">
        <f t="shared" si="54"/>
        <v>280684.79999999999</v>
      </c>
      <c r="BY81" s="213">
        <f t="shared" si="42"/>
        <v>4680000</v>
      </c>
      <c r="BZ81" s="220">
        <f t="shared" si="55"/>
        <v>49372818.300000004</v>
      </c>
      <c r="CA81" s="213">
        <f t="shared" si="56"/>
        <v>4692131.2511999998</v>
      </c>
      <c r="CB81" s="221">
        <f t="shared" si="57"/>
        <v>56160000</v>
      </c>
      <c r="CC81" s="222">
        <f t="shared" si="58"/>
        <v>16968000</v>
      </c>
      <c r="CD81" s="223">
        <f t="shared" si="41"/>
        <v>23.203150639973742</v>
      </c>
      <c r="CE81" s="258"/>
      <c r="CF81" s="258"/>
      <c r="CK81" s="187"/>
      <c r="CL81" s="188"/>
    </row>
    <row r="82" spans="1:117" ht="17.25" customHeight="1">
      <c r="A82" s="23">
        <f t="shared" si="38"/>
        <v>79</v>
      </c>
      <c r="B82" s="23" t="s">
        <v>439</v>
      </c>
      <c r="C82" s="190">
        <v>2017071</v>
      </c>
      <c r="D82" s="194" t="s">
        <v>561</v>
      </c>
      <c r="E82" s="227" t="s">
        <v>1301</v>
      </c>
      <c r="F82" s="227" t="s">
        <v>1302</v>
      </c>
      <c r="G82" s="23" t="s">
        <v>825</v>
      </c>
      <c r="H82" s="227" t="s">
        <v>729</v>
      </c>
      <c r="I82" s="227" t="s">
        <v>151</v>
      </c>
      <c r="J82" s="194" t="s">
        <v>178</v>
      </c>
      <c r="K82" s="79" t="s">
        <v>310</v>
      </c>
      <c r="L82" s="227" t="s">
        <v>1303</v>
      </c>
      <c r="M82" s="227" t="s">
        <v>1304</v>
      </c>
      <c r="N82" s="228" t="s">
        <v>1305</v>
      </c>
      <c r="O82" s="194" t="s">
        <v>1306</v>
      </c>
      <c r="P82" s="239" t="s">
        <v>1307</v>
      </c>
      <c r="Q82" s="214">
        <v>40664</v>
      </c>
      <c r="R82" s="214">
        <v>43040</v>
      </c>
      <c r="S82" s="214"/>
      <c r="T82" s="231" t="s">
        <v>1308</v>
      </c>
      <c r="U82" s="231" t="s">
        <v>1309</v>
      </c>
      <c r="V82" s="201" t="s">
        <v>394</v>
      </c>
      <c r="Z82" s="203">
        <f t="shared" ca="1" si="43"/>
        <v>5497</v>
      </c>
      <c r="AA82" s="203">
        <f t="shared" ca="1" si="39"/>
        <v>3121</v>
      </c>
      <c r="AB82" s="232"/>
      <c r="AC82" s="232"/>
      <c r="AD82" s="78" t="s">
        <v>189</v>
      </c>
      <c r="AE82" s="78" t="s">
        <v>190</v>
      </c>
      <c r="AF82" s="78" t="s">
        <v>191</v>
      </c>
      <c r="AG82" s="78" t="s">
        <v>191</v>
      </c>
      <c r="AH82" s="23" t="s">
        <v>161</v>
      </c>
      <c r="AI82" s="23" t="s">
        <v>192</v>
      </c>
      <c r="AJ82" s="23" t="s">
        <v>569</v>
      </c>
      <c r="AK82" s="233" t="s">
        <v>193</v>
      </c>
      <c r="AL82" s="78" t="s">
        <v>570</v>
      </c>
      <c r="AM82" s="206" t="s">
        <v>1310</v>
      </c>
      <c r="AN82" s="207" t="s">
        <v>1311</v>
      </c>
      <c r="AO82" s="78" t="s">
        <v>197</v>
      </c>
      <c r="AP82" s="78" t="s">
        <v>780</v>
      </c>
      <c r="AQ82" s="201" t="s">
        <v>921</v>
      </c>
      <c r="AS82" s="209" t="s">
        <v>200</v>
      </c>
      <c r="AT82" s="23" t="s">
        <v>201</v>
      </c>
      <c r="AU82" s="23" t="s">
        <v>435</v>
      </c>
      <c r="AV82" s="210" t="s">
        <v>454</v>
      </c>
      <c r="AW82" s="211">
        <v>5699000</v>
      </c>
      <c r="AX82" s="175">
        <v>5699000</v>
      </c>
      <c r="AY82" s="212">
        <v>12</v>
      </c>
      <c r="AZ82" s="213">
        <f t="shared" si="40"/>
        <v>68388000</v>
      </c>
      <c r="BA82" s="234"/>
      <c r="BB82" s="234"/>
      <c r="BC82" s="214">
        <v>45839</v>
      </c>
      <c r="BD82" s="215">
        <v>45768000</v>
      </c>
      <c r="BE82" s="215">
        <v>46836000</v>
      </c>
      <c r="BF82" s="215">
        <f t="shared" si="44"/>
        <v>46836000</v>
      </c>
      <c r="BG82" s="215">
        <f t="shared" si="45"/>
        <v>3903000</v>
      </c>
      <c r="BH82" s="215">
        <v>3323600</v>
      </c>
      <c r="BI82" s="216">
        <f t="shared" si="59"/>
        <v>16859.330000000002</v>
      </c>
      <c r="BJ82" s="216">
        <f>IF(AT82="통상",209,VLOOKUP(AD82,'[2]스케줄 분석_20260109'!$B$3:$F$20,5,FALSE))</f>
        <v>209</v>
      </c>
      <c r="BK82" s="216">
        <f>IF(AT82="통상",15,VLOOKUP(AD82,'[2]스케줄 분석_20260109'!$B$3:$P$20,10,FALSE))</f>
        <v>15</v>
      </c>
      <c r="BL82" s="216">
        <f>IF(AT82="통상",0,VLOOKUP(AD82,'[2]스케줄 분석_20260109'!$B$3:$P$20,11,FALSE))</f>
        <v>0</v>
      </c>
      <c r="BM82" s="215">
        <f t="shared" si="46"/>
        <v>379400</v>
      </c>
      <c r="BN82" s="175">
        <f t="shared" si="47"/>
        <v>0</v>
      </c>
      <c r="BO82" s="213">
        <v>200000</v>
      </c>
      <c r="BP82" s="175">
        <f>IF(OR(AT82="스케줄",AT82="스케줄_파라"),ROUNDUP(VLOOKUP(AD82,'[2]스케줄 분석_20260109'!$B$3:$Y$20,23,FALSE)*(VLOOKUP(AD82,'[2]스케줄 분석_20260109'!$B$3:$Y$20,21,FALSE)/VLOOKUP(AD82,'[2]스케줄 분석_20260109'!$B$3:$Y$20,20,FALSE))*VLOOKUP(AD82,'[2]스케줄 분석_20260109'!$B$3:$Y$20,22,FALSE)*VLOOKUP(AD82,'[2]스케줄 분석_20260109'!$B$3:$Y$20,2,FALSE)*1.5*BI82,0),0)</f>
        <v>0</v>
      </c>
      <c r="BQ82" s="217" t="str">
        <f t="shared" si="48"/>
        <v>적합</v>
      </c>
      <c r="BR82" s="213"/>
      <c r="BS82" s="218">
        <f t="shared" si="49"/>
        <v>674373.20000000007</v>
      </c>
      <c r="BT82" s="219">
        <f t="shared" si="50"/>
        <v>3959197.7666666666</v>
      </c>
      <c r="BU82" s="175">
        <f t="shared" si="51"/>
        <v>2110710</v>
      </c>
      <c r="BV82" s="175">
        <f t="shared" si="52"/>
        <v>1809896.0543999998</v>
      </c>
      <c r="BW82" s="175">
        <f t="shared" si="53"/>
        <v>688758</v>
      </c>
      <c r="BX82" s="175">
        <f t="shared" si="54"/>
        <v>293277.59999999998</v>
      </c>
      <c r="BY82" s="213">
        <f t="shared" si="42"/>
        <v>4878750</v>
      </c>
      <c r="BZ82" s="220">
        <f t="shared" si="55"/>
        <v>51469570.966666669</v>
      </c>
      <c r="CA82" s="213">
        <f t="shared" si="56"/>
        <v>4902641.6543999994</v>
      </c>
      <c r="CB82" s="221">
        <f t="shared" si="57"/>
        <v>58545000</v>
      </c>
      <c r="CC82" s="222">
        <f t="shared" si="58"/>
        <v>9843000</v>
      </c>
      <c r="CD82" s="223">
        <f t="shared" si="41"/>
        <v>14.392875943147921</v>
      </c>
      <c r="CJ82" s="120"/>
      <c r="CK82" s="187"/>
      <c r="CL82" s="188"/>
    </row>
    <row r="83" spans="1:117" ht="17.25" customHeight="1">
      <c r="A83" s="23">
        <f t="shared" si="38"/>
        <v>80</v>
      </c>
      <c r="B83" s="23" t="s">
        <v>439</v>
      </c>
      <c r="C83" s="190">
        <v>2017072</v>
      </c>
      <c r="D83" s="194" t="s">
        <v>561</v>
      </c>
      <c r="E83" s="227" t="s">
        <v>1312</v>
      </c>
      <c r="F83" s="254" t="s">
        <v>1313</v>
      </c>
      <c r="G83" s="23" t="s">
        <v>204</v>
      </c>
      <c r="H83" s="227" t="s">
        <v>992</v>
      </c>
      <c r="I83" s="227" t="s">
        <v>1204</v>
      </c>
      <c r="J83" s="194" t="s">
        <v>178</v>
      </c>
      <c r="K83" s="79" t="s">
        <v>589</v>
      </c>
      <c r="L83" s="227"/>
      <c r="M83" s="227"/>
      <c r="N83" s="228" t="s">
        <v>1314</v>
      </c>
      <c r="O83" t="s">
        <v>1315</v>
      </c>
      <c r="P83" s="229" t="s">
        <v>1316</v>
      </c>
      <c r="Q83" s="214">
        <v>41277</v>
      </c>
      <c r="R83" s="259">
        <v>43040</v>
      </c>
      <c r="S83" s="214"/>
      <c r="T83" s="231" t="s">
        <v>1317</v>
      </c>
      <c r="U83" s="231" t="s">
        <v>1318</v>
      </c>
      <c r="V83" s="201" t="s">
        <v>278</v>
      </c>
      <c r="W83" s="231" t="s">
        <v>1319</v>
      </c>
      <c r="X83" s="200"/>
      <c r="Y83" s="200"/>
      <c r="Z83" s="203">
        <f t="shared" ca="1" si="43"/>
        <v>4884</v>
      </c>
      <c r="AA83" s="203">
        <f t="shared" ca="1" si="39"/>
        <v>3121</v>
      </c>
      <c r="AB83" s="232"/>
      <c r="AC83" s="232"/>
      <c r="AD83" s="78" t="s">
        <v>189</v>
      </c>
      <c r="AE83" s="78" t="s">
        <v>190</v>
      </c>
      <c r="AF83" s="78" t="s">
        <v>191</v>
      </c>
      <c r="AG83" s="78" t="s">
        <v>191</v>
      </c>
      <c r="AH83" s="23" t="s">
        <v>161</v>
      </c>
      <c r="AI83" s="23" t="s">
        <v>192</v>
      </c>
      <c r="AJ83" s="23" t="s">
        <v>569</v>
      </c>
      <c r="AK83" s="23" t="s">
        <v>1320</v>
      </c>
      <c r="AL83" s="78" t="s">
        <v>570</v>
      </c>
      <c r="AM83" s="206">
        <v>14266</v>
      </c>
      <c r="AN83" s="207" t="s">
        <v>1321</v>
      </c>
      <c r="AO83" s="78" t="s">
        <v>197</v>
      </c>
      <c r="AP83" s="78" t="s">
        <v>597</v>
      </c>
      <c r="AQ83" s="201" t="s">
        <v>598</v>
      </c>
      <c r="AR83" s="201" t="s">
        <v>1322</v>
      </c>
      <c r="AS83" s="209" t="s">
        <v>200</v>
      </c>
      <c r="AT83" s="23" t="s">
        <v>201</v>
      </c>
      <c r="AU83" s="23" t="s">
        <v>435</v>
      </c>
      <c r="AV83" s="210" t="s">
        <v>454</v>
      </c>
      <c r="AW83" s="211">
        <v>5202000</v>
      </c>
      <c r="AX83" s="175">
        <v>5202000</v>
      </c>
      <c r="AY83" s="212">
        <v>12</v>
      </c>
      <c r="AZ83" s="213">
        <f t="shared" si="40"/>
        <v>62424000</v>
      </c>
      <c r="BA83" s="210"/>
      <c r="BB83" s="210"/>
      <c r="BC83" s="214">
        <v>45839</v>
      </c>
      <c r="BD83" s="215">
        <v>42803999.999999993</v>
      </c>
      <c r="BE83" s="215">
        <v>43776000</v>
      </c>
      <c r="BF83" s="215">
        <f t="shared" si="44"/>
        <v>43776000</v>
      </c>
      <c r="BG83" s="215">
        <f t="shared" si="45"/>
        <v>3648000</v>
      </c>
      <c r="BH83" s="215">
        <v>3093400</v>
      </c>
      <c r="BI83" s="216">
        <f t="shared" si="59"/>
        <v>15757.89</v>
      </c>
      <c r="BJ83" s="216">
        <f>IF(AT83="통상",209,VLOOKUP(AD83,'[2]스케줄 분석_20260109'!$B$3:$F$20,5,FALSE))</f>
        <v>209</v>
      </c>
      <c r="BK83" s="216">
        <f>IF(AT83="통상",15,VLOOKUP(AD83,'[2]스케줄 분석_20260109'!$B$3:$P$20,10,FALSE))</f>
        <v>15</v>
      </c>
      <c r="BL83" s="216">
        <f>IF(AT83="통상",0,VLOOKUP(AD83,'[2]스케줄 분석_20260109'!$B$3:$P$20,11,FALSE))</f>
        <v>0</v>
      </c>
      <c r="BM83" s="215">
        <f t="shared" si="46"/>
        <v>354600</v>
      </c>
      <c r="BN83" s="175">
        <f t="shared" si="47"/>
        <v>0</v>
      </c>
      <c r="BO83" s="213">
        <v>200000</v>
      </c>
      <c r="BP83" s="175">
        <f>IF(OR(AT83="스케줄",AT83="스케줄_파라"),ROUNDUP(VLOOKUP(AD83,'[2]스케줄 분석_20260109'!$B$3:$Y$20,23,FALSE)*(VLOOKUP(AD83,'[2]스케줄 분석_20260109'!$B$3:$Y$20,21,FALSE)/VLOOKUP(AD83,'[2]스케줄 분석_20260109'!$B$3:$Y$20,20,FALSE))*VLOOKUP(AD83,'[2]스케줄 분석_20260109'!$B$3:$Y$20,22,FALSE)*VLOOKUP(AD83,'[2]스케줄 분석_20260109'!$B$3:$Y$20,2,FALSE)*1.5*BI83,0),0)</f>
        <v>0</v>
      </c>
      <c r="BQ83" s="217" t="str">
        <f t="shared" si="48"/>
        <v>적합</v>
      </c>
      <c r="BR83" s="213"/>
      <c r="BS83" s="218">
        <f t="shared" si="49"/>
        <v>630315.6</v>
      </c>
      <c r="BT83" s="219">
        <f t="shared" si="50"/>
        <v>3700526.3</v>
      </c>
      <c r="BU83" s="175">
        <f t="shared" si="51"/>
        <v>1965360</v>
      </c>
      <c r="BV83" s="175">
        <f t="shared" si="52"/>
        <v>1685261.0304</v>
      </c>
      <c r="BW83" s="175">
        <f t="shared" si="53"/>
        <v>641328</v>
      </c>
      <c r="BX83" s="175">
        <f t="shared" si="54"/>
        <v>273081.59999999998</v>
      </c>
      <c r="BY83" s="213">
        <f t="shared" si="42"/>
        <v>4560000</v>
      </c>
      <c r="BZ83" s="220">
        <f t="shared" si="55"/>
        <v>48106841.899999999</v>
      </c>
      <c r="CA83" s="213">
        <f t="shared" si="56"/>
        <v>4565030.6304000001</v>
      </c>
      <c r="CB83" s="221">
        <f t="shared" si="57"/>
        <v>54720000</v>
      </c>
      <c r="CC83" s="222">
        <f t="shared" si="58"/>
        <v>7704000</v>
      </c>
      <c r="CD83" s="223">
        <f t="shared" si="41"/>
        <v>12.341407151095732</v>
      </c>
      <c r="CI83" s="260"/>
      <c r="CK83" s="187"/>
      <c r="CL83" s="188"/>
    </row>
    <row r="84" spans="1:117" ht="17.25" customHeight="1">
      <c r="A84" s="23">
        <f t="shared" si="38"/>
        <v>81</v>
      </c>
      <c r="B84" s="23" t="s">
        <v>439</v>
      </c>
      <c r="C84" s="190">
        <v>2018013</v>
      </c>
      <c r="D84" s="194" t="s">
        <v>561</v>
      </c>
      <c r="E84" s="227" t="s">
        <v>1323</v>
      </c>
      <c r="F84" s="227" t="s">
        <v>1324</v>
      </c>
      <c r="G84" s="23" t="s">
        <v>204</v>
      </c>
      <c r="H84" s="227" t="s">
        <v>150</v>
      </c>
      <c r="I84" s="227" t="s">
        <v>206</v>
      </c>
      <c r="J84" s="194" t="s">
        <v>178</v>
      </c>
      <c r="K84" s="79" t="s">
        <v>641</v>
      </c>
      <c r="L84" s="227" t="s">
        <v>1325</v>
      </c>
      <c r="M84" s="227" t="s">
        <v>1326</v>
      </c>
      <c r="N84" s="228" t="s">
        <v>1327</v>
      </c>
      <c r="O84" t="s">
        <v>1328</v>
      </c>
      <c r="P84" s="239" t="s">
        <v>1329</v>
      </c>
      <c r="Q84" s="214">
        <v>40513</v>
      </c>
      <c r="R84" s="214">
        <v>43160</v>
      </c>
      <c r="S84" s="214"/>
      <c r="T84" s="231" t="s">
        <v>631</v>
      </c>
      <c r="U84" s="231" t="s">
        <v>1330</v>
      </c>
      <c r="V84" s="201" t="s">
        <v>278</v>
      </c>
      <c r="W84" s="231" t="s">
        <v>187</v>
      </c>
      <c r="X84" s="201" t="s">
        <v>1331</v>
      </c>
      <c r="Y84" s="201" t="s">
        <v>1332</v>
      </c>
      <c r="Z84" s="203">
        <f t="shared" ca="1" si="43"/>
        <v>5648</v>
      </c>
      <c r="AA84" s="203">
        <f t="shared" ca="1" si="39"/>
        <v>3001</v>
      </c>
      <c r="AB84" s="232"/>
      <c r="AC84" s="232"/>
      <c r="AD84" s="78" t="s">
        <v>189</v>
      </c>
      <c r="AE84" s="78" t="s">
        <v>190</v>
      </c>
      <c r="AF84" s="78" t="s">
        <v>191</v>
      </c>
      <c r="AG84" s="78" t="s">
        <v>191</v>
      </c>
      <c r="AH84" s="23" t="s">
        <v>161</v>
      </c>
      <c r="AI84" s="23" t="s">
        <v>192</v>
      </c>
      <c r="AJ84" s="23" t="s">
        <v>569</v>
      </c>
      <c r="AK84" s="233" t="s">
        <v>193</v>
      </c>
      <c r="AL84" s="78" t="s">
        <v>570</v>
      </c>
      <c r="AM84" s="206" t="s">
        <v>1333</v>
      </c>
      <c r="AN84" s="207" t="s">
        <v>1334</v>
      </c>
      <c r="AO84" s="78" t="s">
        <v>197</v>
      </c>
      <c r="AP84" s="78" t="s">
        <v>780</v>
      </c>
      <c r="AQ84" s="201" t="s">
        <v>1335</v>
      </c>
      <c r="AS84" s="209" t="s">
        <v>200</v>
      </c>
      <c r="AT84" s="23" t="s">
        <v>201</v>
      </c>
      <c r="AU84" s="23" t="s">
        <v>435</v>
      </c>
      <c r="AV84" s="210" t="s">
        <v>454</v>
      </c>
      <c r="AW84" s="211">
        <v>5779000</v>
      </c>
      <c r="AX84" s="175">
        <v>5779000</v>
      </c>
      <c r="AY84" s="212">
        <v>12</v>
      </c>
      <c r="AZ84" s="213">
        <f t="shared" si="40"/>
        <v>69348000</v>
      </c>
      <c r="BC84" s="214">
        <v>45839</v>
      </c>
      <c r="BD84" s="215">
        <v>47808000</v>
      </c>
      <c r="BE84" s="215">
        <v>48900000</v>
      </c>
      <c r="BF84" s="215">
        <f t="shared" si="44"/>
        <v>48900000</v>
      </c>
      <c r="BG84" s="215">
        <f t="shared" si="45"/>
        <v>4075000</v>
      </c>
      <c r="BH84" s="215">
        <v>3478900</v>
      </c>
      <c r="BI84" s="216">
        <f t="shared" si="59"/>
        <v>17602.39</v>
      </c>
      <c r="BJ84" s="216">
        <f>IF(AT84="통상",209,VLOOKUP(AD84,'[2]스케줄 분석_20260109'!$B$3:$F$20,5,FALSE))</f>
        <v>209</v>
      </c>
      <c r="BK84" s="216">
        <f>IF(AT84="통상",15,VLOOKUP(AD84,'[2]스케줄 분석_20260109'!$B$3:$P$20,10,FALSE))</f>
        <v>15</v>
      </c>
      <c r="BL84" s="216">
        <f>IF(AT84="통상",0,VLOOKUP(AD84,'[2]스케줄 분석_20260109'!$B$3:$P$20,11,FALSE))</f>
        <v>0</v>
      </c>
      <c r="BM84" s="215">
        <f t="shared" si="46"/>
        <v>396100</v>
      </c>
      <c r="BN84" s="175">
        <f t="shared" si="47"/>
        <v>0</v>
      </c>
      <c r="BO84" s="213">
        <v>200000</v>
      </c>
      <c r="BP84" s="175">
        <f>IF(OR(AT84="스케줄",AT84="스케줄_파라"),ROUNDUP(VLOOKUP(AD84,'[2]스케줄 분석_20260109'!$B$3:$Y$20,23,FALSE)*(VLOOKUP(AD84,'[2]스케줄 분석_20260109'!$B$3:$Y$20,21,FALSE)/VLOOKUP(AD84,'[2]스케줄 분석_20260109'!$B$3:$Y$20,20,FALSE))*VLOOKUP(AD84,'[2]스케줄 분석_20260109'!$B$3:$Y$20,22,FALSE)*VLOOKUP(AD84,'[2]스케줄 분석_20260109'!$B$3:$Y$20,2,FALSE)*1.5*BI84,0),0)</f>
        <v>0</v>
      </c>
      <c r="BQ84" s="217" t="str">
        <f t="shared" si="48"/>
        <v>적합</v>
      </c>
      <c r="BR84" s="213"/>
      <c r="BS84" s="218">
        <f t="shared" si="49"/>
        <v>704095.6</v>
      </c>
      <c r="BT84" s="219">
        <f t="shared" si="50"/>
        <v>4133674.6333333333</v>
      </c>
      <c r="BU84" s="175">
        <f t="shared" si="51"/>
        <v>2208750</v>
      </c>
      <c r="BV84" s="175">
        <f t="shared" si="52"/>
        <v>1893963.5999999996</v>
      </c>
      <c r="BW84" s="175">
        <f t="shared" si="53"/>
        <v>720750</v>
      </c>
      <c r="BX84" s="175">
        <f t="shared" si="54"/>
        <v>306900</v>
      </c>
      <c r="BY84" s="213">
        <f t="shared" si="42"/>
        <v>5093750</v>
      </c>
      <c r="BZ84" s="220">
        <f t="shared" si="55"/>
        <v>53737770.233333334</v>
      </c>
      <c r="CA84" s="213">
        <f t="shared" si="56"/>
        <v>5130363.5999999996</v>
      </c>
      <c r="CB84" s="221">
        <f t="shared" si="57"/>
        <v>61125000</v>
      </c>
      <c r="CC84" s="222">
        <f t="shared" si="58"/>
        <v>8223000</v>
      </c>
      <c r="CD84" s="223">
        <f t="shared" si="41"/>
        <v>11.857587817961585</v>
      </c>
      <c r="CE84" s="245"/>
      <c r="CF84" s="245"/>
      <c r="CG84" s="246"/>
      <c r="CH84" s="246"/>
      <c r="CI84" s="111"/>
      <c r="CJ84" s="111"/>
      <c r="CK84" s="187"/>
      <c r="CL84" s="188"/>
      <c r="CM84" s="111"/>
      <c r="CN84" s="111"/>
      <c r="CO84" s="111"/>
      <c r="CP84" s="111"/>
      <c r="CQ84" s="111"/>
      <c r="CR84" s="111"/>
      <c r="CS84" s="111"/>
      <c r="CT84" s="111"/>
      <c r="CU84" s="111"/>
      <c r="CV84" s="111"/>
      <c r="CW84" s="111"/>
      <c r="CX84" s="111"/>
      <c r="CY84" s="111"/>
      <c r="CZ84" s="111"/>
      <c r="DA84" s="111"/>
      <c r="DB84" s="111"/>
      <c r="DC84" s="111"/>
      <c r="DD84" s="111"/>
      <c r="DE84" s="111"/>
      <c r="DF84" s="111"/>
      <c r="DG84" s="111"/>
      <c r="DH84" s="111"/>
      <c r="DI84" s="111"/>
      <c r="DJ84" s="111"/>
      <c r="DK84" s="111"/>
    </row>
    <row r="85" spans="1:117" ht="17.25" customHeight="1">
      <c r="A85" s="23">
        <f t="shared" si="38"/>
        <v>82</v>
      </c>
      <c r="B85" s="23" t="s">
        <v>439</v>
      </c>
      <c r="C85" s="190">
        <v>2019001</v>
      </c>
      <c r="D85" s="194" t="s">
        <v>541</v>
      </c>
      <c r="E85" s="227" t="s">
        <v>706</v>
      </c>
      <c r="F85" s="227" t="s">
        <v>1336</v>
      </c>
      <c r="G85" s="23" t="s">
        <v>1010</v>
      </c>
      <c r="H85" s="227" t="s">
        <v>992</v>
      </c>
      <c r="I85" s="227" t="s">
        <v>1204</v>
      </c>
      <c r="J85" s="194" t="s">
        <v>207</v>
      </c>
      <c r="K85" s="79" t="s">
        <v>708</v>
      </c>
      <c r="L85" s="227" t="s">
        <v>1337</v>
      </c>
      <c r="M85" s="227"/>
      <c r="N85" s="228" t="s">
        <v>1338</v>
      </c>
      <c r="O85" t="s">
        <v>1339</v>
      </c>
      <c r="P85" s="229" t="s">
        <v>1340</v>
      </c>
      <c r="Q85" s="214">
        <v>42588</v>
      </c>
      <c r="R85" s="214">
        <v>43466</v>
      </c>
      <c r="S85" s="214"/>
      <c r="T85" s="231" t="s">
        <v>1341</v>
      </c>
      <c r="U85" s="231" t="s">
        <v>1342</v>
      </c>
      <c r="V85" s="201" t="s">
        <v>394</v>
      </c>
      <c r="Z85" s="203">
        <f t="shared" ca="1" si="43"/>
        <v>3573</v>
      </c>
      <c r="AA85" s="203">
        <f t="shared" ca="1" si="39"/>
        <v>2695</v>
      </c>
      <c r="AB85" s="232"/>
      <c r="AC85" s="232"/>
      <c r="AD85" s="78" t="s">
        <v>1343</v>
      </c>
      <c r="AE85" s="78" t="s">
        <v>217</v>
      </c>
      <c r="AF85" s="78" t="s">
        <v>160</v>
      </c>
      <c r="AG85" s="78" t="s">
        <v>160</v>
      </c>
      <c r="AH85" s="23" t="s">
        <v>161</v>
      </c>
      <c r="AI85" s="23" t="s">
        <v>162</v>
      </c>
      <c r="AJ85" s="23" t="s">
        <v>483</v>
      </c>
      <c r="AK85" s="23">
        <v>13486</v>
      </c>
      <c r="AL85" s="78" t="s">
        <v>163</v>
      </c>
      <c r="AM85" s="206" t="s">
        <v>1344</v>
      </c>
      <c r="AN85" s="207" t="s">
        <v>1345</v>
      </c>
      <c r="AO85" s="78" t="s">
        <v>166</v>
      </c>
      <c r="AP85" s="78" t="s">
        <v>486</v>
      </c>
      <c r="AQ85" s="201" t="s">
        <v>717</v>
      </c>
      <c r="AS85" s="209" t="s">
        <v>488</v>
      </c>
      <c r="AT85" s="23" t="s">
        <v>201</v>
      </c>
      <c r="AU85" s="23" t="s">
        <v>435</v>
      </c>
      <c r="AV85" s="210" t="s">
        <v>454</v>
      </c>
      <c r="AW85" s="211">
        <v>4728000</v>
      </c>
      <c r="AX85" s="175">
        <v>4728000</v>
      </c>
      <c r="AY85" s="212">
        <v>12</v>
      </c>
      <c r="AZ85" s="213">
        <f t="shared" si="40"/>
        <v>56736000</v>
      </c>
      <c r="BA85" s="213"/>
      <c r="BB85" s="213"/>
      <c r="BC85" s="230">
        <v>46023</v>
      </c>
      <c r="BD85" s="215">
        <v>38760000</v>
      </c>
      <c r="BE85" s="215">
        <v>38760000</v>
      </c>
      <c r="BF85" s="261">
        <f t="shared" si="44"/>
        <v>40260000</v>
      </c>
      <c r="BG85" s="215">
        <f t="shared" si="45"/>
        <v>3355000</v>
      </c>
      <c r="BH85" s="215">
        <v>2828900</v>
      </c>
      <c r="BI85" s="216">
        <f t="shared" si="59"/>
        <v>14492.34</v>
      </c>
      <c r="BJ85" s="216">
        <f>IF(AT85="통상",209,VLOOKUP(AD85,'[2]스케줄 분석_20260109'!$B$3:$F$20,5,FALSE))</f>
        <v>209</v>
      </c>
      <c r="BK85" s="216">
        <f>IF(AT85="통상",15,VLOOKUP(AD85,'[2]스케줄 분석_20260109'!$B$3:$P$20,10,FALSE))</f>
        <v>15</v>
      </c>
      <c r="BL85" s="216">
        <f>IF(AT85="통상",0,VLOOKUP(AD85,'[2]스케줄 분석_20260109'!$B$3:$P$20,11,FALSE))</f>
        <v>0</v>
      </c>
      <c r="BM85" s="215">
        <f t="shared" si="46"/>
        <v>326100</v>
      </c>
      <c r="BN85" s="175">
        <f t="shared" si="47"/>
        <v>0</v>
      </c>
      <c r="BO85" s="213">
        <v>200000</v>
      </c>
      <c r="BP85" s="175">
        <f>IF(OR(AT85="스케줄",AT85="스케줄_파라"),ROUNDUP(VLOOKUP(AD85,'[2]스케줄 분석_20260109'!$B$3:$Y$20,23,FALSE)*(VLOOKUP(AD85,'[2]스케줄 분석_20260109'!$B$3:$Y$20,21,FALSE)/VLOOKUP(AD85,'[2]스케줄 분석_20260109'!$B$3:$Y$20,20,FALSE))*VLOOKUP(AD85,'[2]스케줄 분석_20260109'!$B$3:$Y$20,22,FALSE)*VLOOKUP(AD85,'[2]스케줄 분석_20260109'!$B$3:$Y$20,2,FALSE)*1.5*BI85,0),0)</f>
        <v>0</v>
      </c>
      <c r="BQ85" s="217" t="str">
        <f t="shared" si="48"/>
        <v>적합</v>
      </c>
      <c r="BR85" s="213"/>
      <c r="BS85" s="218">
        <f t="shared" si="49"/>
        <v>579693.6</v>
      </c>
      <c r="BT85" s="219">
        <f t="shared" si="50"/>
        <v>3403307.8</v>
      </c>
      <c r="BU85" s="175">
        <f t="shared" si="51"/>
        <v>1798350</v>
      </c>
      <c r="BV85" s="175">
        <f t="shared" si="52"/>
        <v>1542052.9439999999</v>
      </c>
      <c r="BW85" s="175">
        <f t="shared" si="53"/>
        <v>586830</v>
      </c>
      <c r="BX85" s="175">
        <f t="shared" si="54"/>
        <v>249876</v>
      </c>
      <c r="BY85" s="213">
        <f t="shared" si="42"/>
        <v>4193750</v>
      </c>
      <c r="BZ85" s="220">
        <f t="shared" si="55"/>
        <v>44243001.399999999</v>
      </c>
      <c r="CA85" s="213">
        <f t="shared" si="56"/>
        <v>4177108.9440000001</v>
      </c>
      <c r="CB85" s="221">
        <f t="shared" si="57"/>
        <v>50325000</v>
      </c>
      <c r="CC85" s="222">
        <f t="shared" si="58"/>
        <v>6411000</v>
      </c>
      <c r="CD85" s="223">
        <f t="shared" si="41"/>
        <v>11.299703891708967</v>
      </c>
      <c r="CE85" s="262"/>
      <c r="CF85" s="262"/>
      <c r="CK85" s="187"/>
      <c r="CL85" s="188"/>
    </row>
    <row r="86" spans="1:117" ht="17.25" customHeight="1">
      <c r="A86" s="23">
        <f t="shared" si="38"/>
        <v>83</v>
      </c>
      <c r="B86" s="23" t="s">
        <v>439</v>
      </c>
      <c r="C86" s="190">
        <v>2019004</v>
      </c>
      <c r="D86" s="194" t="s">
        <v>173</v>
      </c>
      <c r="E86" s="227" t="s">
        <v>174</v>
      </c>
      <c r="F86" s="227" t="s">
        <v>1346</v>
      </c>
      <c r="G86" s="23" t="s">
        <v>1192</v>
      </c>
      <c r="H86" s="227" t="s">
        <v>1347</v>
      </c>
      <c r="I86" s="227" t="s">
        <v>741</v>
      </c>
      <c r="J86" s="194" t="s">
        <v>178</v>
      </c>
      <c r="K86" s="79" t="s">
        <v>233</v>
      </c>
      <c r="L86" s="227" t="s">
        <v>1348</v>
      </c>
      <c r="M86" s="227"/>
      <c r="N86" s="228" t="s">
        <v>1349</v>
      </c>
      <c r="O86" t="s">
        <v>1350</v>
      </c>
      <c r="P86" s="239" t="s">
        <v>1351</v>
      </c>
      <c r="Q86" s="214">
        <v>43479</v>
      </c>
      <c r="R86" s="214">
        <v>43479</v>
      </c>
      <c r="S86" s="214"/>
      <c r="T86" s="231" t="s">
        <v>1352</v>
      </c>
      <c r="U86" s="231" t="s">
        <v>1353</v>
      </c>
      <c r="V86" s="201" t="s">
        <v>278</v>
      </c>
      <c r="W86" s="231" t="s">
        <v>187</v>
      </c>
      <c r="X86" s="201" t="s">
        <v>188</v>
      </c>
      <c r="Z86" s="203">
        <f t="shared" ca="1" si="43"/>
        <v>2682</v>
      </c>
      <c r="AA86" s="203">
        <f t="shared" ca="1" si="39"/>
        <v>2682</v>
      </c>
      <c r="AB86" s="232"/>
      <c r="AC86" s="232"/>
      <c r="AD86" s="78" t="s">
        <v>189</v>
      </c>
      <c r="AE86" s="78" t="s">
        <v>190</v>
      </c>
      <c r="AF86" s="78" t="s">
        <v>191</v>
      </c>
      <c r="AG86" s="78" t="s">
        <v>191</v>
      </c>
      <c r="AH86" s="23" t="s">
        <v>161</v>
      </c>
      <c r="AI86" s="23" t="s">
        <v>192</v>
      </c>
      <c r="AJ86" s="23" t="s">
        <v>569</v>
      </c>
      <c r="AK86" s="233" t="s">
        <v>193</v>
      </c>
      <c r="AL86" s="78" t="s">
        <v>570</v>
      </c>
      <c r="AM86" s="206" t="s">
        <v>1354</v>
      </c>
      <c r="AN86" s="207" t="s">
        <v>1355</v>
      </c>
      <c r="AO86" s="78" t="s">
        <v>197</v>
      </c>
      <c r="AP86" s="201" t="s">
        <v>198</v>
      </c>
      <c r="AQ86" s="201" t="s">
        <v>1356</v>
      </c>
      <c r="AS86" s="209" t="s">
        <v>200</v>
      </c>
      <c r="AT86" s="23" t="s">
        <v>201</v>
      </c>
      <c r="AU86" s="23" t="s">
        <v>435</v>
      </c>
      <c r="AV86" s="210" t="s">
        <v>454</v>
      </c>
      <c r="AW86" s="211">
        <v>4260000</v>
      </c>
      <c r="AX86" s="175">
        <v>4260000</v>
      </c>
      <c r="AY86" s="212">
        <v>12</v>
      </c>
      <c r="AZ86" s="213">
        <f t="shared" si="40"/>
        <v>51120000</v>
      </c>
      <c r="BC86" s="214">
        <v>45839</v>
      </c>
      <c r="BD86" s="215">
        <v>32904000</v>
      </c>
      <c r="BE86" s="215">
        <v>33864000</v>
      </c>
      <c r="BF86" s="215">
        <f t="shared" si="44"/>
        <v>33864000</v>
      </c>
      <c r="BG86" s="215">
        <f t="shared" si="45"/>
        <v>2822000</v>
      </c>
      <c r="BH86" s="215">
        <v>2347700</v>
      </c>
      <c r="BI86" s="216">
        <f t="shared" si="59"/>
        <v>12189.95</v>
      </c>
      <c r="BJ86" s="216">
        <f>IF(AT86="통상",209,VLOOKUP(AD86,'[2]스케줄 분석_20260109'!$B$3:$F$20,5,FALSE))</f>
        <v>209</v>
      </c>
      <c r="BK86" s="216">
        <f>IF(AT86="통상",15,VLOOKUP(AD86,'[2]스케줄 분석_20260109'!$B$3:$P$20,10,FALSE))</f>
        <v>15</v>
      </c>
      <c r="BL86" s="216">
        <f>IF(AT86="통상",0,VLOOKUP(AD86,'[2]스케줄 분석_20260109'!$B$3:$P$20,11,FALSE))</f>
        <v>0</v>
      </c>
      <c r="BM86" s="215">
        <f t="shared" si="46"/>
        <v>274300</v>
      </c>
      <c r="BN86" s="175">
        <f t="shared" si="47"/>
        <v>0</v>
      </c>
      <c r="BO86" s="213">
        <v>200000</v>
      </c>
      <c r="BP86" s="175">
        <f>IF(OR(AT86="스케줄",AT86="스케줄_파라"),ROUNDUP(VLOOKUP(AD86,'[2]스케줄 분석_20260109'!$B$3:$Y$20,23,FALSE)*(VLOOKUP(AD86,'[2]스케줄 분석_20260109'!$B$3:$Y$20,21,FALSE)/VLOOKUP(AD86,'[2]스케줄 분석_20260109'!$B$3:$Y$20,20,FALSE))*VLOOKUP(AD86,'[2]스케줄 분석_20260109'!$B$3:$Y$20,22,FALSE)*VLOOKUP(AD86,'[2]스케줄 분석_20260109'!$B$3:$Y$20,2,FALSE)*1.5*BI86,0),0)</f>
        <v>0</v>
      </c>
      <c r="BQ86" s="217" t="str">
        <f t="shared" si="48"/>
        <v>적합</v>
      </c>
      <c r="BR86" s="213"/>
      <c r="BS86" s="218">
        <f t="shared" si="49"/>
        <v>487598</v>
      </c>
      <c r="BT86" s="219">
        <f t="shared" si="50"/>
        <v>2862633.1666666665</v>
      </c>
      <c r="BU86" s="175">
        <f t="shared" si="51"/>
        <v>1494540</v>
      </c>
      <c r="BV86" s="175">
        <f t="shared" si="52"/>
        <v>1281541.3056000001</v>
      </c>
      <c r="BW86" s="175">
        <f t="shared" si="53"/>
        <v>487692</v>
      </c>
      <c r="BX86" s="175">
        <f t="shared" si="54"/>
        <v>207662.4</v>
      </c>
      <c r="BY86" s="213">
        <f t="shared" si="42"/>
        <v>3527500</v>
      </c>
      <c r="BZ86" s="220">
        <f t="shared" si="55"/>
        <v>37214231.166666664</v>
      </c>
      <c r="CA86" s="213">
        <f t="shared" si="56"/>
        <v>3471435.7056</v>
      </c>
      <c r="CB86" s="221">
        <f t="shared" si="57"/>
        <v>42330000</v>
      </c>
      <c r="CC86" s="222">
        <f t="shared" si="58"/>
        <v>8790000</v>
      </c>
      <c r="CD86" s="223">
        <f t="shared" si="41"/>
        <v>17.194835680751176</v>
      </c>
      <c r="CE86" s="258">
        <v>44625</v>
      </c>
      <c r="CF86" s="258"/>
      <c r="CJ86" s="111"/>
      <c r="CK86" s="187"/>
      <c r="CL86" s="188"/>
      <c r="CM86" s="111"/>
      <c r="CN86" s="111"/>
      <c r="CO86" s="111"/>
      <c r="CP86" s="111"/>
      <c r="CQ86" s="111"/>
      <c r="CR86" s="111"/>
      <c r="CS86" s="111"/>
      <c r="CT86" s="111"/>
      <c r="CU86" s="111"/>
      <c r="CV86" s="111"/>
      <c r="CW86" s="111"/>
      <c r="CX86" s="111"/>
      <c r="CY86" s="111"/>
      <c r="CZ86" s="111"/>
      <c r="DA86" s="111"/>
      <c r="DB86" s="111"/>
      <c r="DC86" s="111"/>
      <c r="DD86" s="111"/>
      <c r="DE86" s="111"/>
      <c r="DF86" s="111"/>
      <c r="DG86" s="111"/>
      <c r="DH86" s="111"/>
      <c r="DI86" s="111"/>
      <c r="DJ86" s="111"/>
      <c r="DK86" s="111"/>
    </row>
    <row r="87" spans="1:117" ht="17.25" customHeight="1">
      <c r="A87" s="23">
        <f t="shared" si="38"/>
        <v>84</v>
      </c>
      <c r="B87" s="23" t="s">
        <v>439</v>
      </c>
      <c r="C87" s="190">
        <v>2019008</v>
      </c>
      <c r="D87" s="194" t="s">
        <v>474</v>
      </c>
      <c r="E87" s="227" t="s">
        <v>1357</v>
      </c>
      <c r="F87" s="227" t="s">
        <v>1358</v>
      </c>
      <c r="G87" s="23" t="s">
        <v>230</v>
      </c>
      <c r="H87" s="227" t="s">
        <v>992</v>
      </c>
      <c r="I87" s="227" t="s">
        <v>1204</v>
      </c>
      <c r="J87" s="194" t="s">
        <v>207</v>
      </c>
      <c r="K87" s="79" t="s">
        <v>233</v>
      </c>
      <c r="L87" s="227" t="s">
        <v>1359</v>
      </c>
      <c r="M87" s="227" t="s">
        <v>1360</v>
      </c>
      <c r="N87" s="228" t="s">
        <v>1361</v>
      </c>
      <c r="O87" t="s">
        <v>1362</v>
      </c>
      <c r="P87" s="229" t="s">
        <v>1363</v>
      </c>
      <c r="Q87" s="214">
        <v>42203</v>
      </c>
      <c r="R87" s="214">
        <v>43514</v>
      </c>
      <c r="S87" s="214"/>
      <c r="T87" s="231" t="s">
        <v>1364</v>
      </c>
      <c r="U87" s="231" t="s">
        <v>1365</v>
      </c>
      <c r="V87" s="201" t="s">
        <v>394</v>
      </c>
      <c r="W87" s="231" t="s">
        <v>187</v>
      </c>
      <c r="X87" s="201" t="s">
        <v>1366</v>
      </c>
      <c r="Z87" s="203">
        <f t="shared" ca="1" si="43"/>
        <v>3958</v>
      </c>
      <c r="AA87" s="203">
        <f t="shared" ca="1" si="39"/>
        <v>2647</v>
      </c>
      <c r="AB87" s="232"/>
      <c r="AC87" s="232"/>
      <c r="AD87" s="78" t="s">
        <v>1367</v>
      </c>
      <c r="AE87" s="78" t="s">
        <v>190</v>
      </c>
      <c r="AF87" s="78" t="s">
        <v>160</v>
      </c>
      <c r="AG87" s="78" t="s">
        <v>160</v>
      </c>
      <c r="AH87" s="23" t="s">
        <v>161</v>
      </c>
      <c r="AI87" s="23" t="s">
        <v>632</v>
      </c>
      <c r="AJ87" s="23" t="s">
        <v>633</v>
      </c>
      <c r="AK87" s="233" t="s">
        <v>553</v>
      </c>
      <c r="AL87" s="78" t="s">
        <v>1368</v>
      </c>
      <c r="AM87" s="263" t="s">
        <v>1369</v>
      </c>
      <c r="AN87" s="207" t="s">
        <v>1370</v>
      </c>
      <c r="AO87" s="78" t="s">
        <v>166</v>
      </c>
      <c r="AP87" s="78" t="s">
        <v>1371</v>
      </c>
      <c r="AQ87" s="201" t="s">
        <v>1372</v>
      </c>
      <c r="AS87" s="209" t="s">
        <v>488</v>
      </c>
      <c r="AT87" s="23" t="s">
        <v>201</v>
      </c>
      <c r="AU87" s="23" t="s">
        <v>435</v>
      </c>
      <c r="AV87" s="210" t="s">
        <v>454</v>
      </c>
      <c r="AW87" s="211">
        <v>4623000</v>
      </c>
      <c r="AX87" s="175">
        <v>4623000</v>
      </c>
      <c r="AY87" s="212">
        <v>12</v>
      </c>
      <c r="AZ87" s="213">
        <f t="shared" si="40"/>
        <v>55476000</v>
      </c>
      <c r="BC87" s="214">
        <v>45839</v>
      </c>
      <c r="BD87" s="215">
        <v>36048000</v>
      </c>
      <c r="BE87" s="215">
        <v>36912000</v>
      </c>
      <c r="BF87" s="215">
        <f t="shared" si="44"/>
        <v>36912000</v>
      </c>
      <c r="BG87" s="215">
        <f t="shared" si="45"/>
        <v>3076000</v>
      </c>
      <c r="BH87" s="215">
        <v>2577000</v>
      </c>
      <c r="BI87" s="216">
        <f t="shared" si="59"/>
        <v>13287.08</v>
      </c>
      <c r="BJ87" s="216">
        <f>IF(AT87="통상",209,VLOOKUP(AD87,'[2]스케줄 분석_20260109'!$B$3:$F$20,5,FALSE))</f>
        <v>209</v>
      </c>
      <c r="BK87" s="216">
        <f>IF(AT87="통상",15,VLOOKUP(AD87,'[2]스케줄 분석_20260109'!$B$3:$P$20,10,FALSE))</f>
        <v>15</v>
      </c>
      <c r="BL87" s="216">
        <f>IF(AT87="통상",0,VLOOKUP(AD87,'[2]스케줄 분석_20260109'!$B$3:$P$20,11,FALSE))</f>
        <v>0</v>
      </c>
      <c r="BM87" s="215">
        <f t="shared" si="46"/>
        <v>299000</v>
      </c>
      <c r="BN87" s="175">
        <f t="shared" si="47"/>
        <v>0</v>
      </c>
      <c r="BO87" s="213">
        <v>200000</v>
      </c>
      <c r="BP87" s="175">
        <f>IF(OR(AT87="스케줄",AT87="스케줄_파라"),ROUNDUP(VLOOKUP(AD87,'[2]스케줄 분석_20260109'!$B$3:$Y$20,23,FALSE)*(VLOOKUP(AD87,'[2]스케줄 분석_20260109'!$B$3:$Y$20,21,FALSE)/VLOOKUP(AD87,'[2]스케줄 분석_20260109'!$B$3:$Y$20,20,FALSE))*VLOOKUP(AD87,'[2]스케줄 분석_20260109'!$B$3:$Y$20,22,FALSE)*VLOOKUP(AD87,'[2]스케줄 분석_20260109'!$B$3:$Y$20,2,FALSE)*1.5*BI87,0),0)</f>
        <v>0</v>
      </c>
      <c r="BQ87" s="217" t="str">
        <f t="shared" si="48"/>
        <v>적합</v>
      </c>
      <c r="BR87" s="213"/>
      <c r="BS87" s="218">
        <f t="shared" si="49"/>
        <v>531483.19999999995</v>
      </c>
      <c r="BT87" s="219">
        <f t="shared" si="50"/>
        <v>3120290.2666666666</v>
      </c>
      <c r="BU87" s="175">
        <f t="shared" si="51"/>
        <v>1639320</v>
      </c>
      <c r="BV87" s="175">
        <f t="shared" si="52"/>
        <v>1405687.5648000001</v>
      </c>
      <c r="BW87" s="175">
        <f t="shared" si="53"/>
        <v>534936</v>
      </c>
      <c r="BX87" s="175">
        <f t="shared" si="54"/>
        <v>227779.20000000001</v>
      </c>
      <c r="BY87" s="213">
        <f t="shared" si="42"/>
        <v>3845000</v>
      </c>
      <c r="BZ87" s="220">
        <f t="shared" si="55"/>
        <v>40563773.466666669</v>
      </c>
      <c r="CA87" s="213">
        <f t="shared" si="56"/>
        <v>3807722.7648</v>
      </c>
      <c r="CB87" s="221">
        <f t="shared" si="57"/>
        <v>46140000</v>
      </c>
      <c r="CC87" s="222">
        <f t="shared" si="58"/>
        <v>9336000</v>
      </c>
      <c r="CD87" s="223">
        <f t="shared" si="41"/>
        <v>16.82889898334415</v>
      </c>
      <c r="CE87" s="258">
        <v>44317</v>
      </c>
      <c r="CF87" s="258"/>
      <c r="CJ87" s="111"/>
      <c r="CK87" s="187"/>
      <c r="CL87" s="188"/>
      <c r="CM87" s="111"/>
      <c r="CN87" s="111"/>
      <c r="CO87" s="111"/>
      <c r="CP87" s="111"/>
      <c r="CQ87" s="111"/>
      <c r="CR87" s="111"/>
      <c r="CS87" s="111"/>
      <c r="CT87" s="111"/>
      <c r="CU87" s="111"/>
      <c r="CV87" s="111"/>
      <c r="CW87" s="111"/>
      <c r="CX87" s="111"/>
      <c r="CY87" s="111"/>
      <c r="CZ87" s="111"/>
      <c r="DA87" s="111"/>
      <c r="DB87" s="111"/>
      <c r="DC87" s="111"/>
      <c r="DD87" s="111"/>
      <c r="DE87" s="111"/>
      <c r="DF87" s="111"/>
      <c r="DG87" s="111"/>
      <c r="DH87" s="111"/>
      <c r="DI87" s="111"/>
      <c r="DJ87" s="111"/>
      <c r="DK87" s="111"/>
    </row>
    <row r="88" spans="1:117" ht="17.25" customHeight="1">
      <c r="A88" s="23">
        <f t="shared" si="38"/>
        <v>85</v>
      </c>
      <c r="B88" s="23" t="s">
        <v>439</v>
      </c>
      <c r="C88" s="190">
        <v>2019013</v>
      </c>
      <c r="D88" s="194" t="s">
        <v>1373</v>
      </c>
      <c r="E88" s="227" t="s">
        <v>353</v>
      </c>
      <c r="F88" s="227" t="s">
        <v>353</v>
      </c>
      <c r="G88" s="23" t="s">
        <v>1192</v>
      </c>
      <c r="H88" s="227" t="s">
        <v>992</v>
      </c>
      <c r="I88" s="227" t="s">
        <v>741</v>
      </c>
      <c r="J88" s="194" t="s">
        <v>178</v>
      </c>
      <c r="K88" s="79" t="s">
        <v>627</v>
      </c>
      <c r="L88" s="227" t="s">
        <v>1169</v>
      </c>
      <c r="M88" s="227"/>
      <c r="N88" s="228" t="s">
        <v>1374</v>
      </c>
      <c r="O88" s="197" t="s">
        <v>1375</v>
      </c>
      <c r="P88" s="229" t="s">
        <v>1376</v>
      </c>
      <c r="Q88" s="214">
        <v>43556</v>
      </c>
      <c r="R88" s="255">
        <v>43549</v>
      </c>
      <c r="S88" s="214"/>
      <c r="T88" s="231" t="s">
        <v>1377</v>
      </c>
      <c r="U88" s="231" t="s">
        <v>1378</v>
      </c>
      <c r="V88" s="201" t="s">
        <v>278</v>
      </c>
      <c r="Z88" s="203">
        <f t="shared" ca="1" si="43"/>
        <v>2605</v>
      </c>
      <c r="AA88" s="203">
        <f t="shared" ca="1" si="39"/>
        <v>2612</v>
      </c>
      <c r="AB88" s="232"/>
      <c r="AC88" s="232"/>
      <c r="AD88" s="78" t="s">
        <v>381</v>
      </c>
      <c r="AE88" s="78" t="s">
        <v>217</v>
      </c>
      <c r="AF88" s="78" t="s">
        <v>191</v>
      </c>
      <c r="AG88" s="78" t="s">
        <v>191</v>
      </c>
      <c r="AH88" s="23" t="s">
        <v>161</v>
      </c>
      <c r="AI88" s="23" t="s">
        <v>365</v>
      </c>
      <c r="AJ88" s="23" t="s">
        <v>353</v>
      </c>
      <c r="AK88" s="23" t="s">
        <v>1000</v>
      </c>
      <c r="AL88" s="78" t="s">
        <v>1379</v>
      </c>
      <c r="AM88" s="206">
        <v>12637</v>
      </c>
      <c r="AN88" s="207" t="s">
        <v>1380</v>
      </c>
      <c r="AO88" s="78" t="s">
        <v>401</v>
      </c>
      <c r="AP88" s="78" t="s">
        <v>1381</v>
      </c>
      <c r="AQ88" s="201" t="s">
        <v>921</v>
      </c>
      <c r="AS88" s="209" t="s">
        <v>1382</v>
      </c>
      <c r="AT88" s="23" t="s">
        <v>201</v>
      </c>
      <c r="AU88" s="23" t="s">
        <v>435</v>
      </c>
      <c r="AV88" s="210" t="s">
        <v>454</v>
      </c>
      <c r="AW88" s="211">
        <v>5667000</v>
      </c>
      <c r="AX88" s="175">
        <v>5667000</v>
      </c>
      <c r="AY88" s="212">
        <v>12</v>
      </c>
      <c r="AZ88" s="213">
        <f t="shared" si="40"/>
        <v>68004000</v>
      </c>
      <c r="BA88" s="251"/>
      <c r="BB88" s="251"/>
      <c r="BC88" s="214">
        <v>45839</v>
      </c>
      <c r="BD88" s="215">
        <v>38004000</v>
      </c>
      <c r="BE88" s="215">
        <v>39204000</v>
      </c>
      <c r="BF88" s="215">
        <f t="shared" si="44"/>
        <v>39204000</v>
      </c>
      <c r="BG88" s="215">
        <f t="shared" si="45"/>
        <v>3267000</v>
      </c>
      <c r="BH88" s="215">
        <v>2749400</v>
      </c>
      <c r="BI88" s="216">
        <f t="shared" si="59"/>
        <v>14111.96</v>
      </c>
      <c r="BJ88" s="216">
        <f>IF(AT88="통상",209,VLOOKUP(AD88,'[2]스케줄 분석_20260109'!$B$3:$F$20,5,FALSE))</f>
        <v>209</v>
      </c>
      <c r="BK88" s="216">
        <f>IF(AT88="통상",15,VLOOKUP(AD88,'[2]스케줄 분석_20260109'!$B$3:$P$20,10,FALSE))</f>
        <v>15</v>
      </c>
      <c r="BL88" s="216">
        <f>IF(AT88="통상",0,VLOOKUP(AD88,'[2]스케줄 분석_20260109'!$B$3:$P$20,11,FALSE))</f>
        <v>0</v>
      </c>
      <c r="BM88" s="215">
        <f t="shared" si="46"/>
        <v>317600</v>
      </c>
      <c r="BN88" s="175">
        <f t="shared" si="47"/>
        <v>0</v>
      </c>
      <c r="BO88" s="213">
        <v>200000</v>
      </c>
      <c r="BP88" s="175">
        <f>IF(OR(AT88="스케줄",AT88="스케줄_파라"),ROUNDUP(VLOOKUP(AD88,'[2]스케줄 분석_20260109'!$B$3:$Y$20,23,FALSE)*(VLOOKUP(AD88,'[2]스케줄 분석_20260109'!$B$3:$Y$20,21,FALSE)/VLOOKUP(AD88,'[2]스케줄 분석_20260109'!$B$3:$Y$20,20,FALSE))*VLOOKUP(AD88,'[2]스케줄 분석_20260109'!$B$3:$Y$20,22,FALSE)*VLOOKUP(AD88,'[2]스케줄 분석_20260109'!$B$3:$Y$20,2,FALSE)*1.5*BI88,0),0)</f>
        <v>0</v>
      </c>
      <c r="BQ88" s="217" t="str">
        <f t="shared" si="48"/>
        <v>적합</v>
      </c>
      <c r="BR88" s="213"/>
      <c r="BS88" s="218">
        <f t="shared" si="49"/>
        <v>564478.39999999991</v>
      </c>
      <c r="BT88" s="219">
        <f t="shared" si="50"/>
        <v>3314039.8666666667</v>
      </c>
      <c r="BU88" s="175">
        <f t="shared" si="51"/>
        <v>1748190</v>
      </c>
      <c r="BV88" s="175">
        <f t="shared" si="52"/>
        <v>1499041.6416</v>
      </c>
      <c r="BW88" s="175">
        <f t="shared" si="53"/>
        <v>570462</v>
      </c>
      <c r="BX88" s="175">
        <f t="shared" si="54"/>
        <v>242906.4</v>
      </c>
      <c r="BY88" s="213">
        <f t="shared" si="42"/>
        <v>4083750</v>
      </c>
      <c r="BZ88" s="220">
        <f t="shared" si="55"/>
        <v>43082518.266666666</v>
      </c>
      <c r="CA88" s="213">
        <f t="shared" si="56"/>
        <v>4060600.0415999996</v>
      </c>
      <c r="CB88" s="221">
        <f t="shared" si="57"/>
        <v>49005000</v>
      </c>
      <c r="CC88" s="222">
        <f t="shared" si="58"/>
        <v>18999000</v>
      </c>
      <c r="CD88" s="223">
        <f t="shared" si="41"/>
        <v>27.93806246691371</v>
      </c>
      <c r="CE88" s="258">
        <v>44317</v>
      </c>
      <c r="CF88" s="258"/>
      <c r="CG88" s="246"/>
      <c r="CH88" s="246"/>
      <c r="CI88" s="111"/>
      <c r="CK88" s="187"/>
      <c r="CL88" s="188"/>
    </row>
    <row r="89" spans="1:117" ht="17.25" customHeight="1">
      <c r="A89" s="23">
        <f t="shared" si="38"/>
        <v>86</v>
      </c>
      <c r="B89" s="23" t="s">
        <v>439</v>
      </c>
      <c r="C89" s="190">
        <v>2019014</v>
      </c>
      <c r="D89" s="194" t="s">
        <v>1373</v>
      </c>
      <c r="E89" s="227" t="s">
        <v>353</v>
      </c>
      <c r="F89" s="227" t="s">
        <v>1383</v>
      </c>
      <c r="G89" s="23" t="s">
        <v>1192</v>
      </c>
      <c r="H89" s="227" t="s">
        <v>992</v>
      </c>
      <c r="I89" s="227" t="s">
        <v>741</v>
      </c>
      <c r="J89" s="194" t="s">
        <v>178</v>
      </c>
      <c r="K89" s="79" t="s">
        <v>641</v>
      </c>
      <c r="L89" s="227" t="s">
        <v>1384</v>
      </c>
      <c r="M89" s="227"/>
      <c r="N89" s="228" t="s">
        <v>1385</v>
      </c>
      <c r="O89" t="s">
        <v>1386</v>
      </c>
      <c r="P89" s="229" t="s">
        <v>1387</v>
      </c>
      <c r="Q89" s="214">
        <v>43556</v>
      </c>
      <c r="R89" s="255">
        <v>43556</v>
      </c>
      <c r="S89" s="214"/>
      <c r="T89" s="231" t="s">
        <v>1377</v>
      </c>
      <c r="U89" s="231" t="s">
        <v>1378</v>
      </c>
      <c r="V89" s="201" t="s">
        <v>278</v>
      </c>
      <c r="Z89" s="203">
        <f t="shared" ca="1" si="43"/>
        <v>2605</v>
      </c>
      <c r="AA89" s="203">
        <f t="shared" ca="1" si="39"/>
        <v>2605</v>
      </c>
      <c r="AB89" s="232"/>
      <c r="AC89" s="232"/>
      <c r="AD89" s="78" t="s">
        <v>381</v>
      </c>
      <c r="AE89" s="78" t="s">
        <v>217</v>
      </c>
      <c r="AF89" s="78" t="s">
        <v>191</v>
      </c>
      <c r="AG89" s="78" t="s">
        <v>191</v>
      </c>
      <c r="AH89" s="23" t="s">
        <v>161</v>
      </c>
      <c r="AI89" s="23" t="s">
        <v>365</v>
      </c>
      <c r="AJ89" s="23" t="s">
        <v>353</v>
      </c>
      <c r="AK89" s="23" t="s">
        <v>1000</v>
      </c>
      <c r="AL89" s="78" t="s">
        <v>1379</v>
      </c>
      <c r="AM89" s="206">
        <v>12633</v>
      </c>
      <c r="AN89" s="207" t="s">
        <v>1388</v>
      </c>
      <c r="AO89" s="78" t="s">
        <v>401</v>
      </c>
      <c r="AP89" s="78" t="s">
        <v>1381</v>
      </c>
      <c r="AQ89" s="201" t="s">
        <v>921</v>
      </c>
      <c r="AS89" s="209" t="s">
        <v>1382</v>
      </c>
      <c r="AT89" s="23" t="s">
        <v>201</v>
      </c>
      <c r="AU89" s="23" t="s">
        <v>435</v>
      </c>
      <c r="AV89" s="210" t="s">
        <v>454</v>
      </c>
      <c r="AW89" s="211">
        <v>5778000</v>
      </c>
      <c r="AX89" s="175">
        <v>5778000</v>
      </c>
      <c r="AY89" s="212">
        <v>12</v>
      </c>
      <c r="AZ89" s="213">
        <f t="shared" si="40"/>
        <v>69336000</v>
      </c>
      <c r="BA89" s="251"/>
      <c r="BB89" s="251"/>
      <c r="BC89" s="214">
        <v>45839</v>
      </c>
      <c r="BD89" s="215">
        <v>35568000</v>
      </c>
      <c r="BE89" s="215">
        <v>37368000</v>
      </c>
      <c r="BF89" s="215">
        <f t="shared" si="44"/>
        <v>37368000</v>
      </c>
      <c r="BG89" s="215">
        <f t="shared" si="45"/>
        <v>3114000</v>
      </c>
      <c r="BH89" s="215">
        <v>2611300</v>
      </c>
      <c r="BI89" s="216">
        <f t="shared" si="59"/>
        <v>13451.2</v>
      </c>
      <c r="BJ89" s="216">
        <f>IF(AT89="통상",209,VLOOKUP(AD89,'[2]스케줄 분석_20260109'!$B$3:$F$20,5,FALSE))</f>
        <v>209</v>
      </c>
      <c r="BK89" s="216">
        <f>IF(AT89="통상",15,VLOOKUP(AD89,'[2]스케줄 분석_20260109'!$B$3:$P$20,10,FALSE))</f>
        <v>15</v>
      </c>
      <c r="BL89" s="216">
        <f>IF(AT89="통상",0,VLOOKUP(AD89,'[2]스케줄 분석_20260109'!$B$3:$P$20,11,FALSE))</f>
        <v>0</v>
      </c>
      <c r="BM89" s="215">
        <f t="shared" si="46"/>
        <v>302700</v>
      </c>
      <c r="BN89" s="175">
        <f t="shared" si="47"/>
        <v>0</v>
      </c>
      <c r="BO89" s="213">
        <v>200000</v>
      </c>
      <c r="BP89" s="175">
        <f>IF(OR(AT89="스케줄",AT89="스케줄_파라"),ROUNDUP(VLOOKUP(AD89,'[2]스케줄 분석_20260109'!$B$3:$Y$20,23,FALSE)*(VLOOKUP(AD89,'[2]스케줄 분석_20260109'!$B$3:$Y$20,21,FALSE)/VLOOKUP(AD89,'[2]스케줄 분석_20260109'!$B$3:$Y$20,20,FALSE))*VLOOKUP(AD89,'[2]스케줄 분석_20260109'!$B$3:$Y$20,22,FALSE)*VLOOKUP(AD89,'[2]스케줄 분석_20260109'!$B$3:$Y$20,2,FALSE)*1.5*BI89,0),0)</f>
        <v>0</v>
      </c>
      <c r="BQ89" s="217" t="str">
        <f t="shared" si="48"/>
        <v>적합</v>
      </c>
      <c r="BR89" s="213"/>
      <c r="BS89" s="218">
        <f t="shared" si="49"/>
        <v>538048</v>
      </c>
      <c r="BT89" s="219">
        <f t="shared" si="50"/>
        <v>3158837.3333333335</v>
      </c>
      <c r="BU89" s="175">
        <f t="shared" si="51"/>
        <v>1660980</v>
      </c>
      <c r="BV89" s="175">
        <f t="shared" si="52"/>
        <v>1424260.6272</v>
      </c>
      <c r="BW89" s="175">
        <f t="shared" si="53"/>
        <v>542004</v>
      </c>
      <c r="BX89" s="175">
        <f t="shared" si="54"/>
        <v>230788.8</v>
      </c>
      <c r="BY89" s="213">
        <f t="shared" si="42"/>
        <v>3892500</v>
      </c>
      <c r="BZ89" s="220">
        <f t="shared" si="55"/>
        <v>41064885.333333336</v>
      </c>
      <c r="CA89" s="213">
        <f t="shared" si="56"/>
        <v>3858033.4271999998</v>
      </c>
      <c r="CB89" s="221">
        <f t="shared" si="57"/>
        <v>46710000</v>
      </c>
      <c r="CC89" s="222">
        <f t="shared" si="58"/>
        <v>22626000</v>
      </c>
      <c r="CD89" s="223">
        <f t="shared" si="41"/>
        <v>32.63239875389408</v>
      </c>
      <c r="CE89" s="258">
        <v>44682</v>
      </c>
      <c r="CF89" s="258"/>
      <c r="CG89" s="246"/>
      <c r="CH89" s="246"/>
      <c r="CI89" s="111"/>
      <c r="CK89" s="187"/>
      <c r="CL89" s="188"/>
    </row>
    <row r="90" spans="1:117" ht="17.25" customHeight="1">
      <c r="A90" s="23">
        <f t="shared" si="38"/>
        <v>87</v>
      </c>
      <c r="B90" s="23" t="s">
        <v>439</v>
      </c>
      <c r="C90" s="190">
        <v>2019015</v>
      </c>
      <c r="D90" s="194" t="s">
        <v>474</v>
      </c>
      <c r="E90" s="227" t="s">
        <v>656</v>
      </c>
      <c r="F90" s="227" t="s">
        <v>1389</v>
      </c>
      <c r="G90" s="23" t="s">
        <v>1010</v>
      </c>
      <c r="H90" s="227" t="s">
        <v>992</v>
      </c>
      <c r="I90" s="227" t="s">
        <v>741</v>
      </c>
      <c r="J90" s="194" t="s">
        <v>178</v>
      </c>
      <c r="K90" s="79" t="s">
        <v>233</v>
      </c>
      <c r="L90" s="227" t="s">
        <v>1390</v>
      </c>
      <c r="M90" s="227"/>
      <c r="N90" s="228" t="s">
        <v>1391</v>
      </c>
      <c r="O90" t="s">
        <v>1392</v>
      </c>
      <c r="P90" s="229" t="s">
        <v>1393</v>
      </c>
      <c r="Q90" s="214">
        <v>41395</v>
      </c>
      <c r="R90" s="214">
        <v>43556</v>
      </c>
      <c r="S90" s="214"/>
      <c r="T90" s="231" t="s">
        <v>1394</v>
      </c>
      <c r="U90" s="231" t="s">
        <v>1395</v>
      </c>
      <c r="V90" s="201" t="s">
        <v>215</v>
      </c>
      <c r="W90" s="200"/>
      <c r="X90" s="200"/>
      <c r="Y90" s="200"/>
      <c r="Z90" s="203">
        <f t="shared" ca="1" si="43"/>
        <v>4766</v>
      </c>
      <c r="AA90" s="203">
        <f t="shared" ca="1" si="39"/>
        <v>2605</v>
      </c>
      <c r="AB90" s="232"/>
      <c r="AC90" s="232"/>
      <c r="AD90" s="78" t="s">
        <v>675</v>
      </c>
      <c r="AE90" s="78" t="s">
        <v>217</v>
      </c>
      <c r="AF90" s="78" t="s">
        <v>160</v>
      </c>
      <c r="AG90" s="78" t="s">
        <v>160</v>
      </c>
      <c r="AH90" s="23" t="s">
        <v>161</v>
      </c>
      <c r="AI90" s="23" t="s">
        <v>162</v>
      </c>
      <c r="AJ90" s="23" t="s">
        <v>483</v>
      </c>
      <c r="AK90" s="23">
        <v>13486</v>
      </c>
      <c r="AL90" s="78" t="s">
        <v>163</v>
      </c>
      <c r="AM90" s="206" t="s">
        <v>1396</v>
      </c>
      <c r="AN90" s="207" t="s">
        <v>1397</v>
      </c>
      <c r="AO90" s="78" t="s">
        <v>166</v>
      </c>
      <c r="AP90" s="78" t="s">
        <v>1398</v>
      </c>
      <c r="AQ90" s="201" t="s">
        <v>987</v>
      </c>
      <c r="AS90" s="209" t="s">
        <v>488</v>
      </c>
      <c r="AT90" s="23" t="s">
        <v>201</v>
      </c>
      <c r="AU90" s="23" t="s">
        <v>435</v>
      </c>
      <c r="AV90" s="210" t="s">
        <v>454</v>
      </c>
      <c r="AW90" s="211">
        <v>5141000</v>
      </c>
      <c r="AX90" s="252">
        <v>5466000</v>
      </c>
      <c r="AY90" s="236">
        <v>12</v>
      </c>
      <c r="AZ90" s="213">
        <f t="shared" si="40"/>
        <v>65592000</v>
      </c>
      <c r="BA90" s="213"/>
      <c r="BB90" s="213"/>
      <c r="BC90" s="230">
        <v>46023</v>
      </c>
      <c r="BD90" s="215">
        <v>42480000</v>
      </c>
      <c r="BE90" s="215">
        <v>43548000</v>
      </c>
      <c r="BF90" s="261">
        <f t="shared" si="44"/>
        <v>46549200</v>
      </c>
      <c r="BG90" s="215">
        <f t="shared" si="45"/>
        <v>3879100</v>
      </c>
      <c r="BH90" s="215">
        <v>3302000</v>
      </c>
      <c r="BI90" s="216">
        <f t="shared" si="59"/>
        <v>16755.98</v>
      </c>
      <c r="BJ90" s="216">
        <f>IF(AT90="통상",209,VLOOKUP(AD90,'[2]스케줄 분석_20260109'!$B$3:$F$20,5,FALSE))</f>
        <v>209</v>
      </c>
      <c r="BK90" s="216">
        <f>IF(AT90="통상",15,VLOOKUP(AD90,'[2]스케줄 분석_20260109'!$B$3:$P$20,10,FALSE))</f>
        <v>15</v>
      </c>
      <c r="BL90" s="216">
        <f>IF(AT90="통상",0,VLOOKUP(AD90,'[2]스케줄 분석_20260109'!$B$3:$P$20,11,FALSE))</f>
        <v>0</v>
      </c>
      <c r="BM90" s="215">
        <f t="shared" si="46"/>
        <v>377100</v>
      </c>
      <c r="BN90" s="175">
        <f t="shared" si="47"/>
        <v>0</v>
      </c>
      <c r="BO90" s="213">
        <v>200000</v>
      </c>
      <c r="BP90" s="175">
        <f>IF(OR(AT90="스케줄",AT90="스케줄_파라"),ROUNDUP(VLOOKUP(AD90,'[2]스케줄 분석_20260109'!$B$3:$Y$20,23,FALSE)*(VLOOKUP(AD90,'[2]스케줄 분석_20260109'!$B$3:$Y$20,21,FALSE)/VLOOKUP(AD90,'[2]스케줄 분석_20260109'!$B$3:$Y$20,20,FALSE))*VLOOKUP(AD90,'[2]스케줄 분석_20260109'!$B$3:$Y$20,22,FALSE)*VLOOKUP(AD90,'[2]스케줄 분석_20260109'!$B$3:$Y$20,2,FALSE)*1.5*BI90,0),0)</f>
        <v>0</v>
      </c>
      <c r="BQ90" s="217" t="str">
        <f t="shared" si="48"/>
        <v>적합</v>
      </c>
      <c r="BR90" s="213"/>
      <c r="BS90" s="218">
        <f t="shared" si="49"/>
        <v>670239.19999999995</v>
      </c>
      <c r="BT90" s="219">
        <f t="shared" si="50"/>
        <v>3934953.2666666666</v>
      </c>
      <c r="BU90" s="175">
        <f t="shared" si="51"/>
        <v>2097087</v>
      </c>
      <c r="BV90" s="175">
        <f t="shared" si="52"/>
        <v>1798214.57568</v>
      </c>
      <c r="BW90" s="175">
        <f t="shared" si="53"/>
        <v>684312.6</v>
      </c>
      <c r="BX90" s="175">
        <f t="shared" si="54"/>
        <v>291384.71999999997</v>
      </c>
      <c r="BY90" s="213">
        <f t="shared" si="42"/>
        <v>4848875</v>
      </c>
      <c r="BZ90" s="220">
        <f t="shared" si="55"/>
        <v>51154392.466666669</v>
      </c>
      <c r="CA90" s="213">
        <f t="shared" si="56"/>
        <v>4870998.8956799991</v>
      </c>
      <c r="CB90" s="221">
        <f t="shared" si="57"/>
        <v>58186500</v>
      </c>
      <c r="CC90" s="222">
        <f t="shared" si="58"/>
        <v>7405500</v>
      </c>
      <c r="CD90" s="223">
        <f t="shared" si="41"/>
        <v>11.290248810830589</v>
      </c>
      <c r="CE90" s="258">
        <v>44317</v>
      </c>
      <c r="CF90" s="258"/>
      <c r="CK90" s="187"/>
      <c r="CL90" s="188"/>
    </row>
    <row r="91" spans="1:117" ht="17.25" customHeight="1">
      <c r="A91" s="23">
        <f t="shared" si="38"/>
        <v>88</v>
      </c>
      <c r="B91" s="23" t="s">
        <v>439</v>
      </c>
      <c r="C91" s="190">
        <v>2021021</v>
      </c>
      <c r="D91" s="191" t="s">
        <v>409</v>
      </c>
      <c r="E91" s="227" t="s">
        <v>410</v>
      </c>
      <c r="F91" s="227" t="s">
        <v>1399</v>
      </c>
      <c r="G91" s="23" t="s">
        <v>1400</v>
      </c>
      <c r="H91" s="227" t="s">
        <v>413</v>
      </c>
      <c r="I91" s="227" t="s">
        <v>414</v>
      </c>
      <c r="J91" s="194" t="s">
        <v>178</v>
      </c>
      <c r="K91" s="79" t="s">
        <v>1401</v>
      </c>
      <c r="L91" s="227" t="s">
        <v>1402</v>
      </c>
      <c r="M91" s="192" t="s">
        <v>417</v>
      </c>
      <c r="N91" s="228" t="s">
        <v>1403</v>
      </c>
      <c r="O91" t="s">
        <v>1404</v>
      </c>
      <c r="P91" s="229" t="s">
        <v>1405</v>
      </c>
      <c r="Q91" s="214">
        <v>44291</v>
      </c>
      <c r="R91" s="255">
        <v>44291</v>
      </c>
      <c r="S91" s="214"/>
      <c r="T91" s="231" t="s">
        <v>1406</v>
      </c>
      <c r="U91" s="231" t="s">
        <v>1407</v>
      </c>
      <c r="V91" s="201" t="s">
        <v>1210</v>
      </c>
      <c r="W91" s="201" t="s">
        <v>1408</v>
      </c>
      <c r="Z91" s="203">
        <f t="shared" ca="1" si="43"/>
        <v>1870</v>
      </c>
      <c r="AA91" s="203">
        <f t="shared" ca="1" si="39"/>
        <v>1870</v>
      </c>
      <c r="AB91" s="232"/>
      <c r="AC91" s="232"/>
      <c r="AD91" s="78" t="s">
        <v>426</v>
      </c>
      <c r="AE91" s="78" t="s">
        <v>217</v>
      </c>
      <c r="AF91" s="78" t="s">
        <v>218</v>
      </c>
      <c r="AG91" s="78" t="s">
        <v>218</v>
      </c>
      <c r="AH91" s="23" t="s">
        <v>161</v>
      </c>
      <c r="AI91" s="23" t="s">
        <v>162</v>
      </c>
      <c r="AJ91" s="23" t="s">
        <v>410</v>
      </c>
      <c r="AK91" s="23">
        <v>13486</v>
      </c>
      <c r="AL91" s="78" t="s">
        <v>428</v>
      </c>
      <c r="AM91" s="206" t="s">
        <v>1409</v>
      </c>
      <c r="AN91" s="207" t="s">
        <v>1410</v>
      </c>
      <c r="AO91" s="78" t="s">
        <v>431</v>
      </c>
      <c r="AP91" s="264" t="s">
        <v>432</v>
      </c>
      <c r="AQ91" s="201" t="s">
        <v>433</v>
      </c>
      <c r="AS91" s="209" t="s">
        <v>453</v>
      </c>
      <c r="AT91" s="23" t="s">
        <v>434</v>
      </c>
      <c r="AU91" s="23" t="s">
        <v>435</v>
      </c>
      <c r="AV91" s="210" t="s">
        <v>454</v>
      </c>
      <c r="AW91" s="211">
        <v>4243000</v>
      </c>
      <c r="AX91" s="175">
        <v>4243000</v>
      </c>
      <c r="AY91" s="236">
        <v>12</v>
      </c>
      <c r="AZ91" s="213">
        <f t="shared" si="40"/>
        <v>50916000</v>
      </c>
      <c r="BA91" s="265"/>
      <c r="BB91" s="265"/>
      <c r="BC91" s="214">
        <v>45839</v>
      </c>
      <c r="BD91" s="215">
        <v>33630360</v>
      </c>
      <c r="BE91" s="215">
        <v>35146800</v>
      </c>
      <c r="BF91" s="215">
        <f t="shared" si="44"/>
        <v>35146800</v>
      </c>
      <c r="BG91" s="215">
        <f t="shared" si="45"/>
        <v>2928900</v>
      </c>
      <c r="BH91" s="215">
        <v>2166500</v>
      </c>
      <c r="BI91" s="216">
        <f t="shared" si="59"/>
        <v>12861.41</v>
      </c>
      <c r="BJ91" s="216">
        <f>IF(AT91="통상",209,VLOOKUP(AD91,'[2]스케줄 분석_20260109'!$B$3:$F$20,5,FALSE))</f>
        <v>184</v>
      </c>
      <c r="BK91" s="216">
        <f>IF(AT91="통상",15,VLOOKUP(AD91,'[2]스케줄 분석_20260109'!$B$3:$P$20,10,FALSE))</f>
        <v>38.020000000000003</v>
      </c>
      <c r="BL91" s="216">
        <f>IF(AT91="통상",0,VLOOKUP(AD91,'[2]스케줄 분석_20260109'!$B$3:$P$20,11,FALSE))</f>
        <v>49.43</v>
      </c>
      <c r="BM91" s="215">
        <f t="shared" si="46"/>
        <v>244500</v>
      </c>
      <c r="BN91" s="175">
        <f t="shared" si="47"/>
        <v>317900</v>
      </c>
      <c r="BO91" s="213">
        <v>200000</v>
      </c>
      <c r="BP91" s="175">
        <f>IF(OR(AT91="스케줄",AT91="스케줄_파라"),ROUNDUP(VLOOKUP(AD91,'[2]스케줄 분석_20260109'!$B$3:$Y$20,23,FALSE)*(VLOOKUP(AD91,'[2]스케줄 분석_20260109'!$B$3:$Y$20,21,FALSE)/VLOOKUP(AD91,'[2]스케줄 분석_20260109'!$B$3:$Y$20,20,FALSE))*VLOOKUP(AD91,'[2]스케줄 분석_20260109'!$B$3:$Y$20,22,FALSE)*VLOOKUP(AD91,'[2]스케줄 분석_20260109'!$B$3:$Y$20,2,FALSE)*1.5*BI91,0),0)</f>
        <v>2329523</v>
      </c>
      <c r="BQ91" s="217" t="str">
        <f t="shared" si="48"/>
        <v>적합</v>
      </c>
      <c r="BR91" s="175"/>
      <c r="BS91" s="218">
        <f t="shared" si="49"/>
        <v>1286141</v>
      </c>
      <c r="BT91" s="219">
        <f t="shared" si="50"/>
        <v>3036078.4166666665</v>
      </c>
      <c r="BU91" s="175">
        <f t="shared" si="51"/>
        <v>1555473</v>
      </c>
      <c r="BV91" s="175">
        <f t="shared" si="52"/>
        <v>1333790.2627199998</v>
      </c>
      <c r="BW91" s="175">
        <f t="shared" si="53"/>
        <v>507575.4</v>
      </c>
      <c r="BX91" s="175">
        <f t="shared" si="54"/>
        <v>216128.88</v>
      </c>
      <c r="BY91" s="213">
        <f t="shared" si="42"/>
        <v>3661125</v>
      </c>
      <c r="BZ91" s="220">
        <f t="shared" si="55"/>
        <v>39469019.416666664</v>
      </c>
      <c r="CA91" s="175">
        <f t="shared" si="56"/>
        <v>3612967.5427199998</v>
      </c>
      <c r="CB91" s="221">
        <f t="shared" si="57"/>
        <v>43933500</v>
      </c>
      <c r="CC91" s="222">
        <f t="shared" si="58"/>
        <v>4163777.17</v>
      </c>
      <c r="CD91" s="223">
        <f t="shared" si="41"/>
        <v>8.1777381766046027</v>
      </c>
      <c r="CE91" s="266"/>
      <c r="CF91" s="266"/>
      <c r="CG91" s="246"/>
      <c r="CH91" s="246"/>
      <c r="CI91" s="111"/>
      <c r="CK91" s="187"/>
      <c r="CL91" s="188"/>
    </row>
    <row r="92" spans="1:117" s="121" customFormat="1" ht="17.25" customHeight="1">
      <c r="A92" s="23">
        <f t="shared" si="38"/>
        <v>89</v>
      </c>
      <c r="B92" s="23" t="s">
        <v>439</v>
      </c>
      <c r="C92" s="190">
        <v>2019043</v>
      </c>
      <c r="D92" s="194" t="s">
        <v>1411</v>
      </c>
      <c r="E92" s="227" t="s">
        <v>1412</v>
      </c>
      <c r="F92" s="227" t="s">
        <v>1412</v>
      </c>
      <c r="G92" s="23" t="s">
        <v>176</v>
      </c>
      <c r="H92" s="227" t="s">
        <v>272</v>
      </c>
      <c r="I92" s="227" t="s">
        <v>206</v>
      </c>
      <c r="J92" s="194" t="s">
        <v>178</v>
      </c>
      <c r="K92" s="79" t="s">
        <v>641</v>
      </c>
      <c r="L92" s="227" t="s">
        <v>154</v>
      </c>
      <c r="M92" s="227"/>
      <c r="N92" s="228" t="s">
        <v>1413</v>
      </c>
      <c r="O92" t="s">
        <v>1414</v>
      </c>
      <c r="P92" s="229" t="s">
        <v>1415</v>
      </c>
      <c r="Q92" s="214">
        <v>40756</v>
      </c>
      <c r="R92" s="214">
        <v>43724</v>
      </c>
      <c r="S92" s="214">
        <v>43724</v>
      </c>
      <c r="T92" s="231" t="s">
        <v>1416</v>
      </c>
      <c r="U92" s="231" t="s">
        <v>1417</v>
      </c>
      <c r="V92" s="201" t="s">
        <v>394</v>
      </c>
      <c r="W92" s="231" t="s">
        <v>498</v>
      </c>
      <c r="X92" s="200" t="s">
        <v>609</v>
      </c>
      <c r="Y92" s="200"/>
      <c r="Z92" s="203">
        <f t="shared" ca="1" si="43"/>
        <v>5405</v>
      </c>
      <c r="AA92" s="203">
        <f t="shared" ca="1" si="39"/>
        <v>2437</v>
      </c>
      <c r="AB92" s="232"/>
      <c r="AC92" s="232"/>
      <c r="AD92" s="78" t="s">
        <v>1418</v>
      </c>
      <c r="AE92" s="78" t="s">
        <v>217</v>
      </c>
      <c r="AF92" s="78" t="s">
        <v>218</v>
      </c>
      <c r="AG92" s="78" t="s">
        <v>218</v>
      </c>
      <c r="AH92" s="23" t="s">
        <v>161</v>
      </c>
      <c r="AI92" s="23" t="s">
        <v>1214</v>
      </c>
      <c r="AJ92" s="23" t="s">
        <v>633</v>
      </c>
      <c r="AK92" s="23">
        <v>13595</v>
      </c>
      <c r="AL92" s="78" t="s">
        <v>1419</v>
      </c>
      <c r="AM92" s="206" t="s">
        <v>1420</v>
      </c>
      <c r="AN92" s="207" t="s">
        <v>1421</v>
      </c>
      <c r="AO92" s="78" t="s">
        <v>197</v>
      </c>
      <c r="AP92" s="78" t="s">
        <v>1422</v>
      </c>
      <c r="AQ92" s="201" t="s">
        <v>921</v>
      </c>
      <c r="AR92" s="201"/>
      <c r="AS92" s="209" t="s">
        <v>1423</v>
      </c>
      <c r="AT92" s="23" t="s">
        <v>201</v>
      </c>
      <c r="AU92" s="23" t="s">
        <v>435</v>
      </c>
      <c r="AV92" s="210" t="s">
        <v>454</v>
      </c>
      <c r="AW92" s="211">
        <v>5245000</v>
      </c>
      <c r="AX92" s="175">
        <v>5245000</v>
      </c>
      <c r="AY92" s="236">
        <v>12</v>
      </c>
      <c r="AZ92" s="213">
        <f t="shared" si="40"/>
        <v>62940000</v>
      </c>
      <c r="BA92" s="213"/>
      <c r="BB92" s="213"/>
      <c r="BC92" s="230">
        <v>46023</v>
      </c>
      <c r="BD92" s="235">
        <v>44700000</v>
      </c>
      <c r="BE92" s="215">
        <v>45780000</v>
      </c>
      <c r="BF92" s="261">
        <f t="shared" si="44"/>
        <v>46780800</v>
      </c>
      <c r="BG92" s="215">
        <f t="shared" si="45"/>
        <v>3898400</v>
      </c>
      <c r="BH92" s="215">
        <v>3319500</v>
      </c>
      <c r="BI92" s="216">
        <f t="shared" si="59"/>
        <v>16839.71</v>
      </c>
      <c r="BJ92" s="216">
        <f>IF(AT92="통상",209,VLOOKUP(AD92,'[2]스케줄 분석_20260109'!$B$3:$F$20,5,FALSE))</f>
        <v>209</v>
      </c>
      <c r="BK92" s="216">
        <f>IF(AT92="통상",15,VLOOKUP(AD92,'[2]스케줄 분석_20260109'!$B$3:$P$20,10,FALSE))</f>
        <v>15</v>
      </c>
      <c r="BL92" s="216">
        <f>IF(AT92="통상",0,VLOOKUP(AD92,'[2]스케줄 분석_20260109'!$B$3:$P$20,11,FALSE))</f>
        <v>0</v>
      </c>
      <c r="BM92" s="215">
        <f t="shared" si="46"/>
        <v>378900</v>
      </c>
      <c r="BN92" s="175">
        <f t="shared" si="47"/>
        <v>0</v>
      </c>
      <c r="BO92" s="213">
        <v>200000</v>
      </c>
      <c r="BP92" s="175">
        <f>IF(OR(AT92="스케줄",AT92="스케줄_파라"),ROUNDUP(VLOOKUP(AD92,'[2]스케줄 분석_20260109'!$B$3:$Y$20,23,FALSE)*(VLOOKUP(AD92,'[2]스케줄 분석_20260109'!$B$3:$Y$20,21,FALSE)/VLOOKUP(AD92,'[2]스케줄 분석_20260109'!$B$3:$Y$20,20,FALSE))*VLOOKUP(AD92,'[2]스케줄 분석_20260109'!$B$3:$Y$20,22,FALSE)*VLOOKUP(AD92,'[2]스케줄 분석_20260109'!$B$3:$Y$20,2,FALSE)*1.5*BI92,0),0)</f>
        <v>0</v>
      </c>
      <c r="BQ92" s="217" t="str">
        <f t="shared" si="48"/>
        <v>적합</v>
      </c>
      <c r="BR92" s="213"/>
      <c r="BS92" s="218">
        <f t="shared" si="49"/>
        <v>673588.39999999991</v>
      </c>
      <c r="BT92" s="219">
        <f t="shared" si="50"/>
        <v>3954532.3666666667</v>
      </c>
      <c r="BU92" s="175">
        <f t="shared" si="51"/>
        <v>2108088</v>
      </c>
      <c r="BV92" s="175">
        <f t="shared" si="52"/>
        <v>1807647.7363199997</v>
      </c>
      <c r="BW92" s="175">
        <f t="shared" si="53"/>
        <v>687902.4</v>
      </c>
      <c r="BX92" s="175">
        <f t="shared" si="54"/>
        <v>292913.27999999997</v>
      </c>
      <c r="BY92" s="213">
        <f t="shared" si="42"/>
        <v>4873000</v>
      </c>
      <c r="BZ92" s="220">
        <f t="shared" si="55"/>
        <v>51408920.766666666</v>
      </c>
      <c r="CA92" s="213">
        <f t="shared" si="56"/>
        <v>4896551.4163199998</v>
      </c>
      <c r="CB92" s="221">
        <f t="shared" si="57"/>
        <v>58476000</v>
      </c>
      <c r="CC92" s="222">
        <f t="shared" si="58"/>
        <v>4464000</v>
      </c>
      <c r="CD92" s="223">
        <f t="shared" si="41"/>
        <v>7.0924690181124879</v>
      </c>
      <c r="CE92" s="262"/>
      <c r="CF92" s="262"/>
      <c r="CG92" s="23"/>
      <c r="CH92" s="23"/>
      <c r="CI92" s="78"/>
      <c r="CJ92" s="120"/>
      <c r="CK92" s="187"/>
      <c r="CL92" s="188"/>
      <c r="CM92" s="78"/>
      <c r="CN92" s="78"/>
      <c r="CO92" s="78"/>
      <c r="CP92" s="78"/>
      <c r="CQ92" s="78"/>
      <c r="CR92" s="78"/>
      <c r="CS92" s="78"/>
      <c r="CT92" s="78"/>
      <c r="CU92" s="78"/>
      <c r="CV92" s="78"/>
      <c r="CW92" s="78"/>
      <c r="CX92" s="78"/>
      <c r="CY92" s="78"/>
      <c r="CZ92" s="78"/>
      <c r="DA92" s="78"/>
      <c r="DB92" s="78"/>
      <c r="DC92" s="78"/>
      <c r="DD92" s="78"/>
      <c r="DE92" s="78"/>
      <c r="DF92" s="78"/>
      <c r="DG92" s="78"/>
      <c r="DH92" s="78"/>
      <c r="DI92" s="78"/>
      <c r="DJ92" s="78"/>
      <c r="DK92" s="78"/>
      <c r="DL92" s="78"/>
      <c r="DM92" s="78"/>
    </row>
    <row r="93" spans="1:117" ht="17.25" customHeight="1">
      <c r="A93" s="23">
        <f t="shared" si="38"/>
        <v>90</v>
      </c>
      <c r="B93" s="23" t="s">
        <v>439</v>
      </c>
      <c r="C93" s="190">
        <v>2019047</v>
      </c>
      <c r="D93" s="194" t="s">
        <v>975</v>
      </c>
      <c r="E93" s="227" t="s">
        <v>976</v>
      </c>
      <c r="F93" s="227" t="s">
        <v>1424</v>
      </c>
      <c r="G93" s="23" t="s">
        <v>230</v>
      </c>
      <c r="H93" s="227" t="s">
        <v>272</v>
      </c>
      <c r="I93" s="227" t="s">
        <v>151</v>
      </c>
      <c r="J93" s="194" t="s">
        <v>178</v>
      </c>
      <c r="K93" s="79" t="s">
        <v>179</v>
      </c>
      <c r="L93" s="227" t="s">
        <v>1425</v>
      </c>
      <c r="M93" s="227" t="s">
        <v>1426</v>
      </c>
      <c r="N93" s="228" t="s">
        <v>1427</v>
      </c>
      <c r="O93" t="s">
        <v>1428</v>
      </c>
      <c r="P93" s="229" t="s">
        <v>1429</v>
      </c>
      <c r="Q93" s="214">
        <v>41214</v>
      </c>
      <c r="R93" s="214">
        <v>43734</v>
      </c>
      <c r="S93" s="214"/>
      <c r="T93" s="231" t="s">
        <v>1430</v>
      </c>
      <c r="U93" s="231" t="s">
        <v>1431</v>
      </c>
      <c r="V93" s="201" t="s">
        <v>394</v>
      </c>
      <c r="W93" s="231" t="s">
        <v>609</v>
      </c>
      <c r="X93" s="200"/>
      <c r="Y93" s="200"/>
      <c r="Z93" s="203">
        <f t="shared" ca="1" si="43"/>
        <v>4947</v>
      </c>
      <c r="AA93" s="203">
        <f t="shared" ca="1" si="39"/>
        <v>2427</v>
      </c>
      <c r="AB93" s="230"/>
      <c r="AC93" s="230"/>
      <c r="AD93" s="78" t="s">
        <v>610</v>
      </c>
      <c r="AE93" s="78" t="s">
        <v>217</v>
      </c>
      <c r="AF93" s="78" t="s">
        <v>160</v>
      </c>
      <c r="AG93" s="78" t="s">
        <v>160</v>
      </c>
      <c r="AH93" s="23" t="s">
        <v>161</v>
      </c>
      <c r="AI93" s="23" t="s">
        <v>162</v>
      </c>
      <c r="AJ93" s="23" t="s">
        <v>475</v>
      </c>
      <c r="AK93" s="23">
        <v>13486</v>
      </c>
      <c r="AL93" s="78" t="s">
        <v>163</v>
      </c>
      <c r="AM93" s="206" t="s">
        <v>1432</v>
      </c>
      <c r="AN93" s="207" t="s">
        <v>1433</v>
      </c>
      <c r="AO93" s="78" t="s">
        <v>166</v>
      </c>
      <c r="AP93" s="78" t="s">
        <v>986</v>
      </c>
      <c r="AQ93" s="201" t="s">
        <v>987</v>
      </c>
      <c r="AS93" s="209" t="s">
        <v>988</v>
      </c>
      <c r="AT93" s="23" t="s">
        <v>201</v>
      </c>
      <c r="AU93" s="23" t="s">
        <v>435</v>
      </c>
      <c r="AV93" s="210" t="s">
        <v>454</v>
      </c>
      <c r="AW93" s="211">
        <v>5464000</v>
      </c>
      <c r="AX93" s="175">
        <v>5464000</v>
      </c>
      <c r="AY93" s="212">
        <v>12</v>
      </c>
      <c r="AZ93" s="213">
        <f t="shared" si="40"/>
        <v>65568000</v>
      </c>
      <c r="BA93" s="213"/>
      <c r="BB93" s="213"/>
      <c r="BC93" s="214">
        <v>45839</v>
      </c>
      <c r="BD93" s="215">
        <v>43008000</v>
      </c>
      <c r="BE93" s="215">
        <v>44040000</v>
      </c>
      <c r="BF93" s="215">
        <f t="shared" si="44"/>
        <v>44040000</v>
      </c>
      <c r="BG93" s="215">
        <f t="shared" si="45"/>
        <v>3670000</v>
      </c>
      <c r="BH93" s="215">
        <v>3113300</v>
      </c>
      <c r="BI93" s="216">
        <f t="shared" si="59"/>
        <v>15853.11</v>
      </c>
      <c r="BJ93" s="216">
        <f>IF(AT93="통상",209,VLOOKUP(AD93,'[2]스케줄 분석_20260109'!$B$3:$F$20,5,FALSE))</f>
        <v>209</v>
      </c>
      <c r="BK93" s="216">
        <f>IF(AT93="통상",15,VLOOKUP(AD93,'[2]스케줄 분석_20260109'!$B$3:$P$20,10,FALSE))</f>
        <v>15</v>
      </c>
      <c r="BL93" s="216">
        <f>IF(AT93="통상",0,VLOOKUP(AD93,'[2]스케줄 분석_20260109'!$B$3:$P$20,11,FALSE))</f>
        <v>0</v>
      </c>
      <c r="BM93" s="215">
        <f t="shared" si="46"/>
        <v>356700</v>
      </c>
      <c r="BN93" s="175">
        <f t="shared" si="47"/>
        <v>0</v>
      </c>
      <c r="BO93" s="213">
        <v>200000</v>
      </c>
      <c r="BP93" s="175">
        <f>IF(OR(AT93="스케줄",AT93="스케줄_파라"),ROUNDUP(VLOOKUP(AD93,'[2]스케줄 분석_20260109'!$B$3:$Y$20,23,FALSE)*(VLOOKUP(AD93,'[2]스케줄 분석_20260109'!$B$3:$Y$20,21,FALSE)/VLOOKUP(AD93,'[2]스케줄 분석_20260109'!$B$3:$Y$20,20,FALSE))*VLOOKUP(AD93,'[2]스케줄 분석_20260109'!$B$3:$Y$20,22,FALSE)*VLOOKUP(AD93,'[2]스케줄 분석_20260109'!$B$3:$Y$20,2,FALSE)*1.5*BI93,0),0)</f>
        <v>0</v>
      </c>
      <c r="BQ93" s="217" t="str">
        <f t="shared" si="48"/>
        <v>적합</v>
      </c>
      <c r="BR93" s="213"/>
      <c r="BS93" s="218">
        <f t="shared" si="49"/>
        <v>634124.4</v>
      </c>
      <c r="BT93" s="219">
        <f t="shared" si="50"/>
        <v>3722843.7</v>
      </c>
      <c r="BU93" s="175">
        <f t="shared" si="51"/>
        <v>1977900</v>
      </c>
      <c r="BV93" s="175">
        <f t="shared" si="52"/>
        <v>1696013.8559999999</v>
      </c>
      <c r="BW93" s="175">
        <f t="shared" si="53"/>
        <v>645420</v>
      </c>
      <c r="BX93" s="175">
        <f t="shared" si="54"/>
        <v>274824</v>
      </c>
      <c r="BY93" s="213">
        <f t="shared" si="42"/>
        <v>4587500</v>
      </c>
      <c r="BZ93" s="220">
        <f t="shared" si="55"/>
        <v>48396968.100000001</v>
      </c>
      <c r="CA93" s="213">
        <f t="shared" si="56"/>
        <v>4594157.8559999997</v>
      </c>
      <c r="CB93" s="221">
        <f t="shared" si="57"/>
        <v>55050000</v>
      </c>
      <c r="CC93" s="222">
        <f t="shared" si="58"/>
        <v>10518000</v>
      </c>
      <c r="CD93" s="223">
        <f t="shared" si="41"/>
        <v>16.041361639824306</v>
      </c>
      <c r="CE93" s="262"/>
      <c r="CF93" s="262"/>
      <c r="CK93" s="187"/>
      <c r="CL93" s="188"/>
    </row>
    <row r="94" spans="1:117" ht="17.25" customHeight="1">
      <c r="A94" s="23">
        <f t="shared" si="38"/>
        <v>91</v>
      </c>
      <c r="B94" s="23" t="s">
        <v>1434</v>
      </c>
      <c r="C94" s="190">
        <v>2020001</v>
      </c>
      <c r="D94" s="201" t="s">
        <v>1435</v>
      </c>
      <c r="E94" s="23" t="s">
        <v>1436</v>
      </c>
      <c r="F94" s="23" t="s">
        <v>1436</v>
      </c>
      <c r="G94" s="23" t="s">
        <v>176</v>
      </c>
      <c r="H94" s="23" t="s">
        <v>1167</v>
      </c>
      <c r="I94" s="23" t="s">
        <v>741</v>
      </c>
      <c r="J94" s="194" t="s">
        <v>178</v>
      </c>
      <c r="K94" s="79" t="s">
        <v>444</v>
      </c>
      <c r="L94" s="23" t="s">
        <v>1437</v>
      </c>
      <c r="N94" s="229" t="s">
        <v>1438</v>
      </c>
      <c r="O94" t="s">
        <v>1439</v>
      </c>
      <c r="P94" s="229" t="s">
        <v>1440</v>
      </c>
      <c r="Q94" s="214">
        <v>33878</v>
      </c>
      <c r="R94" s="214">
        <v>43831</v>
      </c>
      <c r="T94" s="231" t="s">
        <v>1441</v>
      </c>
      <c r="V94" s="201" t="s">
        <v>215</v>
      </c>
      <c r="Z94" s="203">
        <f t="shared" ca="1" si="43"/>
        <v>12283</v>
      </c>
      <c r="AA94" s="203">
        <f t="shared" ca="1" si="39"/>
        <v>2330</v>
      </c>
      <c r="AB94" s="267"/>
      <c r="AC94" s="267"/>
      <c r="AD94" t="s">
        <v>1442</v>
      </c>
      <c r="AE94" s="78" t="s">
        <v>190</v>
      </c>
      <c r="AF94" s="78" t="s">
        <v>263</v>
      </c>
      <c r="AG94" s="78" t="s">
        <v>263</v>
      </c>
      <c r="AH94" s="23" t="s">
        <v>1443</v>
      </c>
      <c r="AI94" s="23" t="s">
        <v>1444</v>
      </c>
      <c r="AJ94" s="23" t="s">
        <v>1445</v>
      </c>
      <c r="AK94" s="268" t="s">
        <v>1446</v>
      </c>
      <c r="AL94" s="78" t="s">
        <v>1447</v>
      </c>
      <c r="AM94" s="269" t="s">
        <v>1448</v>
      </c>
      <c r="AN94" s="78" t="s">
        <v>1449</v>
      </c>
      <c r="AO94" s="210" t="s">
        <v>1450</v>
      </c>
      <c r="AQ94" s="201" t="s">
        <v>1451</v>
      </c>
      <c r="AS94" s="209" t="s">
        <v>1452</v>
      </c>
      <c r="AT94" s="23" t="s">
        <v>201</v>
      </c>
      <c r="AU94" s="23" t="s">
        <v>435</v>
      </c>
      <c r="AV94" s="210" t="s">
        <v>454</v>
      </c>
      <c r="AW94" s="251">
        <v>4330000</v>
      </c>
      <c r="AX94" s="270">
        <f>4330000+420000</f>
        <v>4750000</v>
      </c>
      <c r="AY94" s="212">
        <v>12</v>
      </c>
      <c r="AZ94" s="213">
        <f t="shared" si="40"/>
        <v>57000000</v>
      </c>
      <c r="BC94" s="230">
        <v>46023</v>
      </c>
      <c r="BD94" s="235">
        <v>37079999.999999993</v>
      </c>
      <c r="BE94" s="215">
        <v>37079999.999999993</v>
      </c>
      <c r="BF94" s="261">
        <f t="shared" si="44"/>
        <v>37636799.999999993</v>
      </c>
      <c r="BG94" s="215">
        <f t="shared" si="45"/>
        <v>3136399.9999999995</v>
      </c>
      <c r="BH94" s="215">
        <v>2631499.9999999995</v>
      </c>
      <c r="BI94" s="216">
        <f t="shared" si="59"/>
        <v>13547.85</v>
      </c>
      <c r="BJ94" s="216">
        <f>IF(AT94="통상",209,VLOOKUP(AD94,'[2]스케줄 분석_20260109'!$B$3:$F$20,5,FALSE))</f>
        <v>209</v>
      </c>
      <c r="BK94" s="216">
        <f>IF(AT94="통상",15,VLOOKUP(AD94,'[2]스케줄 분석_20260109'!$B$3:$P$20,10,FALSE))</f>
        <v>15</v>
      </c>
      <c r="BL94" s="216">
        <f>IF(AT94="통상",0,VLOOKUP(AD94,'[2]스케줄 분석_20260109'!$B$3:$P$20,11,FALSE))</f>
        <v>0</v>
      </c>
      <c r="BM94" s="215">
        <f t="shared" si="46"/>
        <v>304900</v>
      </c>
      <c r="BN94" s="175">
        <f t="shared" si="47"/>
        <v>0</v>
      </c>
      <c r="BO94" s="213">
        <v>200000</v>
      </c>
      <c r="BP94" s="175">
        <f>IF(OR(AT94="스케줄",AT94="스케줄_파라"),ROUNDUP(VLOOKUP(AD94,'[2]스케줄 분석_20260109'!$B$3:$Y$20,23,FALSE)*(VLOOKUP(AD94,'[2]스케줄 분석_20260109'!$B$3:$Y$20,21,FALSE)/VLOOKUP(AD94,'[2]스케줄 분석_20260109'!$B$3:$Y$20,20,FALSE))*VLOOKUP(AD94,'[2]스케줄 분석_20260109'!$B$3:$Y$20,22,FALSE)*VLOOKUP(AD94,'[2]스케줄 분석_20260109'!$B$3:$Y$20,2,FALSE)*1.5*BI94,0),0)</f>
        <v>0</v>
      </c>
      <c r="BQ94" s="217" t="str">
        <f t="shared" si="48"/>
        <v>적합</v>
      </c>
      <c r="BR94" s="271"/>
      <c r="BS94" s="218">
        <f t="shared" si="49"/>
        <v>541914</v>
      </c>
      <c r="BT94" s="219">
        <f t="shared" si="50"/>
        <v>3181559.4999999995</v>
      </c>
      <c r="BU94" s="175">
        <f t="shared" si="51"/>
        <v>1673747.9999999998</v>
      </c>
      <c r="BV94" s="175">
        <f t="shared" si="52"/>
        <v>1435208.9587199995</v>
      </c>
      <c r="BW94" s="175">
        <f t="shared" si="53"/>
        <v>546170.39999999991</v>
      </c>
      <c r="BX94" s="175">
        <f t="shared" si="54"/>
        <v>232562.87999999995</v>
      </c>
      <c r="BY94" s="213">
        <f t="shared" si="42"/>
        <v>3920499.9999999995</v>
      </c>
      <c r="BZ94" s="220">
        <f t="shared" si="55"/>
        <v>41360273.499999993</v>
      </c>
      <c r="CA94" s="213">
        <f t="shared" si="56"/>
        <v>3887690.2387199993</v>
      </c>
      <c r="CB94" s="221">
        <f t="shared" si="57"/>
        <v>47045999.999999993</v>
      </c>
      <c r="CC94" s="222">
        <f t="shared" si="58"/>
        <v>9954000.0000000075</v>
      </c>
      <c r="CD94" s="223">
        <f t="shared" si="41"/>
        <v>17.463157894736856</v>
      </c>
      <c r="CE94" s="262"/>
      <c r="CF94" s="262"/>
      <c r="CJ94" s="111"/>
      <c r="CK94" s="187"/>
      <c r="CL94" s="188"/>
      <c r="CM94" s="111"/>
      <c r="CN94" s="111"/>
      <c r="CO94" s="111"/>
      <c r="CP94" s="111"/>
      <c r="CQ94" s="111"/>
      <c r="CR94" s="111"/>
      <c r="CS94" s="111"/>
      <c r="CT94" s="111"/>
      <c r="CU94" s="111"/>
      <c r="CV94" s="111"/>
      <c r="CW94" s="111"/>
      <c r="CX94" s="111"/>
      <c r="CY94" s="111"/>
      <c r="CZ94" s="111"/>
      <c r="DA94" s="111"/>
      <c r="DB94" s="111"/>
      <c r="DC94" s="111"/>
      <c r="DD94" s="111"/>
      <c r="DE94" s="111"/>
      <c r="DF94" s="111"/>
      <c r="DG94" s="111"/>
      <c r="DH94" s="111"/>
      <c r="DI94" s="111"/>
      <c r="DJ94" s="111"/>
      <c r="DK94" s="111"/>
    </row>
    <row r="95" spans="1:117" s="121" customFormat="1" ht="17.25" customHeight="1">
      <c r="A95" s="23">
        <f t="shared" si="38"/>
        <v>92</v>
      </c>
      <c r="B95" s="23" t="s">
        <v>439</v>
      </c>
      <c r="C95" s="190">
        <v>2020002</v>
      </c>
      <c r="D95" s="201" t="s">
        <v>1435</v>
      </c>
      <c r="E95" s="23" t="s">
        <v>1436</v>
      </c>
      <c r="F95" s="23" t="s">
        <v>1453</v>
      </c>
      <c r="G95" s="23" t="s">
        <v>1010</v>
      </c>
      <c r="H95" s="23" t="s">
        <v>413</v>
      </c>
      <c r="I95" s="23" t="s">
        <v>1454</v>
      </c>
      <c r="J95" s="194" t="s">
        <v>178</v>
      </c>
      <c r="K95" s="79" t="s">
        <v>1401</v>
      </c>
      <c r="L95" s="23" t="s">
        <v>1437</v>
      </c>
      <c r="M95" s="23"/>
      <c r="N95" s="229" t="s">
        <v>1455</v>
      </c>
      <c r="O95" t="s">
        <v>1456</v>
      </c>
      <c r="P95" s="229" t="s">
        <v>1457</v>
      </c>
      <c r="Q95" s="214">
        <v>35674</v>
      </c>
      <c r="R95" s="214">
        <v>43831</v>
      </c>
      <c r="S95" s="23"/>
      <c r="T95" s="231" t="s">
        <v>1458</v>
      </c>
      <c r="U95" s="201"/>
      <c r="V95" s="201" t="s">
        <v>215</v>
      </c>
      <c r="W95" s="201"/>
      <c r="X95" s="201"/>
      <c r="Y95" s="201"/>
      <c r="Z95" s="203">
        <f t="shared" ca="1" si="43"/>
        <v>10487</v>
      </c>
      <c r="AA95" s="203">
        <f t="shared" ca="1" si="39"/>
        <v>2330</v>
      </c>
      <c r="AB95" s="267"/>
      <c r="AC95" s="267"/>
      <c r="AD95" s="78" t="s">
        <v>1459</v>
      </c>
      <c r="AE95" s="78" t="s">
        <v>190</v>
      </c>
      <c r="AF95" s="78" t="s">
        <v>263</v>
      </c>
      <c r="AG95" s="78" t="s">
        <v>263</v>
      </c>
      <c r="AH95" s="23" t="s">
        <v>1443</v>
      </c>
      <c r="AI95" s="23" t="s">
        <v>1444</v>
      </c>
      <c r="AJ95" s="23" t="s">
        <v>1445</v>
      </c>
      <c r="AK95" s="268" t="s">
        <v>1446</v>
      </c>
      <c r="AL95" s="78" t="s">
        <v>1460</v>
      </c>
      <c r="AM95" s="269" t="s">
        <v>1461</v>
      </c>
      <c r="AN95" s="78" t="s">
        <v>1462</v>
      </c>
      <c r="AO95" s="210" t="s">
        <v>1450</v>
      </c>
      <c r="AP95" s="78" t="s">
        <v>1463</v>
      </c>
      <c r="AQ95" s="201" t="s">
        <v>433</v>
      </c>
      <c r="AR95" s="201"/>
      <c r="AS95" s="209" t="s">
        <v>1452</v>
      </c>
      <c r="AT95" s="23" t="s">
        <v>434</v>
      </c>
      <c r="AU95" s="23" t="s">
        <v>435</v>
      </c>
      <c r="AV95" s="210" t="s">
        <v>454</v>
      </c>
      <c r="AW95" s="251">
        <v>3500000</v>
      </c>
      <c r="AX95" s="270">
        <v>4250000</v>
      </c>
      <c r="AY95" s="212">
        <v>12</v>
      </c>
      <c r="AZ95" s="213">
        <f t="shared" si="40"/>
        <v>51000000</v>
      </c>
      <c r="BA95" s="78"/>
      <c r="BB95" s="78"/>
      <c r="BC95" s="230">
        <v>46023</v>
      </c>
      <c r="BD95" s="215">
        <v>31681200</v>
      </c>
      <c r="BE95" s="215">
        <v>31681200</v>
      </c>
      <c r="BF95" s="261">
        <f t="shared" si="44"/>
        <v>32157600</v>
      </c>
      <c r="BG95" s="215">
        <f t="shared" si="45"/>
        <v>2679800</v>
      </c>
      <c r="BH95" s="215">
        <v>1846700</v>
      </c>
      <c r="BI95" s="216">
        <f t="shared" si="59"/>
        <v>12139.38</v>
      </c>
      <c r="BJ95" s="216">
        <f>IF(AT95="통상",209,VLOOKUP(AD95,'[2]스케줄 분석_20260109'!$B$3:$F$20,5,FALSE))</f>
        <v>168.60000000000002</v>
      </c>
      <c r="BK95" s="216">
        <f>IF(AT95="통상",15,VLOOKUP(AD95,'[2]스케줄 분석_20260109'!$B$3:$P$20,10,FALSE))</f>
        <v>43.45</v>
      </c>
      <c r="BL95" s="216">
        <f>IF(AT95="통상",0,VLOOKUP(AD95,'[2]스케줄 분석_20260109'!$B$3:$P$20,11,FALSE))</f>
        <v>60.83</v>
      </c>
      <c r="BM95" s="215">
        <f t="shared" si="46"/>
        <v>263800</v>
      </c>
      <c r="BN95" s="175">
        <f t="shared" si="47"/>
        <v>369300</v>
      </c>
      <c r="BO95" s="213">
        <v>200000</v>
      </c>
      <c r="BP95" s="175">
        <f>IF(OR(AT95="스케줄",AT95="스케줄_파라"),ROUNDUP(VLOOKUP(AD95,'[2]스케줄 분석_20260109'!$B$3:$Y$20,23,FALSE)*(VLOOKUP(AD95,'[2]스케줄 분석_20260109'!$B$3:$Y$20,21,FALSE)/VLOOKUP(AD95,'[2]스케줄 분석_20260109'!$B$3:$Y$20,20,FALSE))*VLOOKUP(AD95,'[2]스케줄 분석_20260109'!$B$3:$Y$20,22,FALSE)*VLOOKUP(AD95,'[2]스케줄 분석_20260109'!$B$3:$Y$20,2,FALSE)*1.5*BI95,0),0)</f>
        <v>2373249</v>
      </c>
      <c r="BQ95" s="217" t="str">
        <f t="shared" si="48"/>
        <v>적합</v>
      </c>
      <c r="BR95" s="271"/>
      <c r="BS95" s="218">
        <f t="shared" si="49"/>
        <v>1213938</v>
      </c>
      <c r="BT95" s="219">
        <f t="shared" si="50"/>
        <v>2780961.5</v>
      </c>
      <c r="BU95" s="175">
        <f t="shared" si="51"/>
        <v>1413486</v>
      </c>
      <c r="BV95" s="175">
        <f t="shared" si="52"/>
        <v>1212038.9510399997</v>
      </c>
      <c r="BW95" s="175">
        <f t="shared" si="53"/>
        <v>461242.8</v>
      </c>
      <c r="BX95" s="175">
        <f t="shared" si="54"/>
        <v>196400.16</v>
      </c>
      <c r="BY95" s="213">
        <f t="shared" si="42"/>
        <v>3349750</v>
      </c>
      <c r="BZ95" s="220">
        <f t="shared" si="55"/>
        <v>36152499.5</v>
      </c>
      <c r="CA95" s="213">
        <f t="shared" si="56"/>
        <v>3283167.9110399997</v>
      </c>
      <c r="CB95" s="221">
        <f t="shared" si="57"/>
        <v>40197000</v>
      </c>
      <c r="CC95" s="222">
        <f t="shared" si="58"/>
        <v>7931368.71</v>
      </c>
      <c r="CD95" s="223">
        <f t="shared" si="41"/>
        <v>15.551703352941177</v>
      </c>
      <c r="CE95" s="262"/>
      <c r="CF95" s="262"/>
      <c r="CG95" s="23"/>
      <c r="CH95" s="23"/>
      <c r="CI95" s="78"/>
      <c r="CJ95" s="78"/>
      <c r="CK95" s="187"/>
      <c r="CL95" s="188"/>
      <c r="CM95" s="78"/>
      <c r="CN95" s="78"/>
      <c r="CO95" s="78"/>
      <c r="CP95" s="78"/>
      <c r="CQ95" s="78"/>
      <c r="CR95" s="78"/>
      <c r="CS95" s="78"/>
      <c r="CT95" s="78"/>
      <c r="CU95" s="78"/>
      <c r="CV95" s="78"/>
      <c r="CW95" s="78"/>
      <c r="CX95" s="78"/>
      <c r="CY95" s="78"/>
      <c r="CZ95" s="78"/>
      <c r="DA95" s="78"/>
      <c r="DB95" s="78"/>
      <c r="DC95" s="78"/>
      <c r="DD95" s="78"/>
      <c r="DE95" s="78"/>
      <c r="DF95" s="78"/>
      <c r="DG95" s="78"/>
      <c r="DH95" s="78"/>
      <c r="DI95" s="78"/>
      <c r="DJ95" s="78"/>
      <c r="DK95" s="78"/>
      <c r="DL95" s="78"/>
      <c r="DM95" s="78"/>
    </row>
    <row r="96" spans="1:117" ht="17.25" customHeight="1">
      <c r="A96" s="23">
        <f>ROW()-3</f>
        <v>93</v>
      </c>
      <c r="B96" s="23" t="s">
        <v>439</v>
      </c>
      <c r="C96" s="190">
        <v>2020003</v>
      </c>
      <c r="D96" s="194" t="s">
        <v>1007</v>
      </c>
      <c r="E96" s="227" t="s">
        <v>1008</v>
      </c>
      <c r="F96" s="227" t="s">
        <v>1464</v>
      </c>
      <c r="G96" s="23" t="s">
        <v>1010</v>
      </c>
      <c r="H96" s="227" t="s">
        <v>1167</v>
      </c>
      <c r="I96" s="227" t="s">
        <v>741</v>
      </c>
      <c r="J96" s="194" t="s">
        <v>178</v>
      </c>
      <c r="K96" s="79" t="s">
        <v>1401</v>
      </c>
      <c r="L96" s="227" t="s">
        <v>1465</v>
      </c>
      <c r="M96" s="227" t="s">
        <v>1013</v>
      </c>
      <c r="N96" s="228" t="s">
        <v>1466</v>
      </c>
      <c r="O96" t="s">
        <v>1467</v>
      </c>
      <c r="P96" s="229" t="s">
        <v>1468</v>
      </c>
      <c r="Q96" s="214">
        <v>42293</v>
      </c>
      <c r="R96" s="214">
        <v>43831</v>
      </c>
      <c r="S96" s="214"/>
      <c r="T96" s="231" t="s">
        <v>1469</v>
      </c>
      <c r="U96" s="231" t="s">
        <v>1086</v>
      </c>
      <c r="V96" s="201" t="s">
        <v>278</v>
      </c>
      <c r="Z96" s="203">
        <f t="shared" ca="1" si="43"/>
        <v>3868</v>
      </c>
      <c r="AA96" s="203">
        <f t="shared" ca="1" si="39"/>
        <v>2330</v>
      </c>
      <c r="AB96" s="232"/>
      <c r="AC96" s="232"/>
      <c r="AD96" s="78" t="s">
        <v>1470</v>
      </c>
      <c r="AE96" s="78" t="s">
        <v>833</v>
      </c>
      <c r="AF96" s="78" t="s">
        <v>191</v>
      </c>
      <c r="AG96" s="78" t="s">
        <v>191</v>
      </c>
      <c r="AH96" s="23" t="s">
        <v>161</v>
      </c>
      <c r="AI96" s="23" t="s">
        <v>1021</v>
      </c>
      <c r="AJ96" s="23" t="s">
        <v>1008</v>
      </c>
      <c r="AK96" s="23" t="s">
        <v>1022</v>
      </c>
      <c r="AL96" s="78" t="s">
        <v>1175</v>
      </c>
      <c r="AM96" s="206" t="s">
        <v>1471</v>
      </c>
      <c r="AN96" s="207" t="s">
        <v>1472</v>
      </c>
      <c r="AO96" s="78" t="s">
        <v>401</v>
      </c>
      <c r="AP96" s="78" t="s">
        <v>1025</v>
      </c>
      <c r="AQ96" s="201" t="s">
        <v>433</v>
      </c>
      <c r="AS96" s="209" t="s">
        <v>1006</v>
      </c>
      <c r="AT96" s="23" t="s">
        <v>434</v>
      </c>
      <c r="AU96" s="23" t="s">
        <v>435</v>
      </c>
      <c r="AV96" s="210" t="s">
        <v>454</v>
      </c>
      <c r="AW96" s="211">
        <v>4179000</v>
      </c>
      <c r="AX96" s="175">
        <v>4179000</v>
      </c>
      <c r="AY96" s="212">
        <v>12</v>
      </c>
      <c r="AZ96" s="213">
        <f t="shared" si="40"/>
        <v>50148000</v>
      </c>
      <c r="BC96" s="214">
        <v>45839</v>
      </c>
      <c r="BD96" s="215">
        <v>30193680</v>
      </c>
      <c r="BE96" s="215">
        <v>31285200</v>
      </c>
      <c r="BF96" s="215">
        <f t="shared" si="44"/>
        <v>31285200</v>
      </c>
      <c r="BG96" s="215">
        <f t="shared" si="45"/>
        <v>2607100</v>
      </c>
      <c r="BH96" s="215">
        <v>2084400</v>
      </c>
      <c r="BI96" s="216">
        <f t="shared" si="59"/>
        <v>11643.81</v>
      </c>
      <c r="BJ96" s="216">
        <f>IF(AT96="통상",209,VLOOKUP(AD96,'[2]스케줄 분석_20260109'!$B$3:$F$20,5,FALSE))</f>
        <v>196.19</v>
      </c>
      <c r="BK96" s="216">
        <f>IF(AT96="통상",15,VLOOKUP(AD96,'[2]스케줄 분석_20260109'!$B$3:$P$20,10,FALSE))</f>
        <v>2.17</v>
      </c>
      <c r="BL96" s="216">
        <f>IF(AT96="통상",0,VLOOKUP(AD96,'[2]스케줄 분석_20260109'!$B$3:$P$20,11,FALSE))</f>
        <v>53.23</v>
      </c>
      <c r="BM96" s="215">
        <f t="shared" si="46"/>
        <v>12700</v>
      </c>
      <c r="BN96" s="175">
        <f t="shared" si="47"/>
        <v>310000</v>
      </c>
      <c r="BO96" s="213">
        <v>200000</v>
      </c>
      <c r="BP96" s="175">
        <f>IF(OR(AT96="스케줄",AT96="스케줄_파라"),ROUNDUP(VLOOKUP(AD96,'[2]스케줄 분석_20260109'!$B$3:$Y$20,23,FALSE)*(VLOOKUP(AD96,'[2]스케줄 분석_20260109'!$B$3:$Y$20,21,FALSE)/VLOOKUP(AD96,'[2]스케줄 분석_20260109'!$B$3:$Y$20,20,FALSE))*VLOOKUP(AD96,'[2]스케줄 분석_20260109'!$B$3:$Y$20,22,FALSE)*VLOOKUP(AD96,'[2]스케줄 분석_20260109'!$B$3:$Y$20,2,FALSE)*1.5*BI96,0),0)</f>
        <v>2108986</v>
      </c>
      <c r="BQ96" s="217" t="str">
        <f t="shared" si="48"/>
        <v>적합</v>
      </c>
      <c r="BR96" s="213"/>
      <c r="BS96" s="218">
        <f t="shared" si="49"/>
        <v>1164381</v>
      </c>
      <c r="BT96" s="219">
        <f t="shared" si="50"/>
        <v>2704131.75</v>
      </c>
      <c r="BU96" s="175">
        <f t="shared" si="51"/>
        <v>1372047</v>
      </c>
      <c r="BV96" s="175">
        <f t="shared" si="52"/>
        <v>1176505.7500799999</v>
      </c>
      <c r="BW96" s="175">
        <f t="shared" si="53"/>
        <v>447720.6</v>
      </c>
      <c r="BX96" s="175">
        <f t="shared" si="54"/>
        <v>190642.32</v>
      </c>
      <c r="BY96" s="213">
        <f t="shared" si="42"/>
        <v>3258875</v>
      </c>
      <c r="BZ96" s="220">
        <f t="shared" si="55"/>
        <v>35153712.75</v>
      </c>
      <c r="CA96" s="213">
        <f t="shared" si="56"/>
        <v>3186915.6700799996</v>
      </c>
      <c r="CB96" s="221">
        <f t="shared" si="57"/>
        <v>39106500</v>
      </c>
      <c r="CC96" s="222">
        <f t="shared" si="58"/>
        <v>8489626.9399999995</v>
      </c>
      <c r="CD96" s="223">
        <f t="shared" si="41"/>
        <v>16.929143614899893</v>
      </c>
      <c r="CE96" s="262"/>
      <c r="CF96" s="262"/>
      <c r="CK96" s="187"/>
      <c r="CL96" s="188"/>
    </row>
    <row r="97" spans="1:117" ht="17.25" customHeight="1">
      <c r="A97" s="23">
        <f t="shared" si="38"/>
        <v>94</v>
      </c>
      <c r="B97" s="23" t="s">
        <v>439</v>
      </c>
      <c r="C97" s="190">
        <v>2020004</v>
      </c>
      <c r="D97" s="201" t="s">
        <v>1435</v>
      </c>
      <c r="E97" s="23" t="s">
        <v>1436</v>
      </c>
      <c r="F97" s="23" t="s">
        <v>1473</v>
      </c>
      <c r="G97" s="23" t="s">
        <v>1010</v>
      </c>
      <c r="H97" s="23" t="s">
        <v>1474</v>
      </c>
      <c r="I97" s="23" t="s">
        <v>1475</v>
      </c>
      <c r="J97" s="194" t="s">
        <v>178</v>
      </c>
      <c r="K97" s="79" t="s">
        <v>1401</v>
      </c>
      <c r="L97" s="23" t="s">
        <v>1437</v>
      </c>
      <c r="N97" s="229" t="s">
        <v>1476</v>
      </c>
      <c r="O97" t="s">
        <v>1477</v>
      </c>
      <c r="P97" s="229" t="s">
        <v>1478</v>
      </c>
      <c r="Q97" s="214">
        <v>40330</v>
      </c>
      <c r="R97" s="214">
        <v>43831</v>
      </c>
      <c r="T97" s="231" t="s">
        <v>1479</v>
      </c>
      <c r="V97" s="201" t="s">
        <v>215</v>
      </c>
      <c r="Z97" s="203">
        <f t="shared" ca="1" si="43"/>
        <v>5831</v>
      </c>
      <c r="AA97" s="203">
        <f t="shared" ca="1" si="39"/>
        <v>2330</v>
      </c>
      <c r="AB97" s="267"/>
      <c r="AC97" s="267"/>
      <c r="AD97" s="78" t="s">
        <v>1459</v>
      </c>
      <c r="AE97" s="78" t="s">
        <v>190</v>
      </c>
      <c r="AF97" s="78" t="s">
        <v>263</v>
      </c>
      <c r="AG97" s="78" t="s">
        <v>263</v>
      </c>
      <c r="AH97" s="23" t="s">
        <v>1443</v>
      </c>
      <c r="AI97" s="23" t="s">
        <v>1444</v>
      </c>
      <c r="AJ97" s="23" t="s">
        <v>1445</v>
      </c>
      <c r="AK97" s="268" t="s">
        <v>1446</v>
      </c>
      <c r="AL97" s="78" t="s">
        <v>1460</v>
      </c>
      <c r="AM97" s="269" t="s">
        <v>1480</v>
      </c>
      <c r="AN97" s="78" t="s">
        <v>1481</v>
      </c>
      <c r="AO97" s="210" t="s">
        <v>1450</v>
      </c>
      <c r="AP97" s="78" t="s">
        <v>1463</v>
      </c>
      <c r="AQ97" s="201" t="s">
        <v>433</v>
      </c>
      <c r="AS97" s="209" t="s">
        <v>1452</v>
      </c>
      <c r="AT97" s="23" t="s">
        <v>434</v>
      </c>
      <c r="AU97" s="23" t="s">
        <v>435</v>
      </c>
      <c r="AV97" s="210" t="s">
        <v>454</v>
      </c>
      <c r="AW97" s="251">
        <v>3370000</v>
      </c>
      <c r="AX97" s="270">
        <v>3460000</v>
      </c>
      <c r="AY97" s="212">
        <v>12</v>
      </c>
      <c r="AZ97" s="213">
        <f t="shared" si="40"/>
        <v>41520000</v>
      </c>
      <c r="BC97" s="230">
        <v>46023</v>
      </c>
      <c r="BD97" s="215">
        <v>29040960</v>
      </c>
      <c r="BE97" s="215">
        <v>29100000</v>
      </c>
      <c r="BF97" s="261">
        <f t="shared" si="44"/>
        <v>29538000</v>
      </c>
      <c r="BG97" s="215">
        <f t="shared" si="45"/>
        <v>2461500</v>
      </c>
      <c r="BH97" s="215">
        <v>1680000</v>
      </c>
      <c r="BI97" s="216">
        <f t="shared" si="59"/>
        <v>11150.65</v>
      </c>
      <c r="BJ97" s="216">
        <f>IF(AT97="통상",209,VLOOKUP(AD97,'[2]스케줄 분석_20260109'!$B$3:$F$20,5,FALSE))</f>
        <v>168.60000000000002</v>
      </c>
      <c r="BK97" s="216">
        <f>IF(AT97="통상",15,VLOOKUP(AD97,'[2]스케줄 분석_20260109'!$B$3:$P$20,10,FALSE))</f>
        <v>43.45</v>
      </c>
      <c r="BL97" s="216">
        <f>IF(AT97="통상",0,VLOOKUP(AD97,'[2]스케줄 분석_20260109'!$B$3:$P$20,11,FALSE))</f>
        <v>60.83</v>
      </c>
      <c r="BM97" s="215">
        <f t="shared" si="46"/>
        <v>242300</v>
      </c>
      <c r="BN97" s="175">
        <f t="shared" si="47"/>
        <v>339200</v>
      </c>
      <c r="BO97" s="213">
        <v>200000</v>
      </c>
      <c r="BP97" s="175">
        <f>IF(OR(AT97="스케줄",AT97="스케줄_파라"),ROUNDUP(VLOOKUP(AD97,'[2]스케줄 분석_20260109'!$B$3:$Y$20,23,FALSE)*(VLOOKUP(AD97,'[2]스케줄 분석_20260109'!$B$3:$Y$20,21,FALSE)/VLOOKUP(AD97,'[2]스케줄 분석_20260109'!$B$3:$Y$20,20,FALSE))*VLOOKUP(AD97,'[2]스케줄 분석_20260109'!$B$3:$Y$20,22,FALSE)*VLOOKUP(AD97,'[2]스케줄 분석_20260109'!$B$3:$Y$20,2,FALSE)*1.5*BI97,0),0)</f>
        <v>2179953</v>
      </c>
      <c r="BQ97" s="217" t="str">
        <f t="shared" si="48"/>
        <v>적합</v>
      </c>
      <c r="BR97" s="271"/>
      <c r="BS97" s="218">
        <f t="shared" si="49"/>
        <v>1115065</v>
      </c>
      <c r="BT97" s="219">
        <f t="shared" si="50"/>
        <v>2554422.0833333335</v>
      </c>
      <c r="BU97" s="175">
        <f t="shared" si="51"/>
        <v>1289055</v>
      </c>
      <c r="BV97" s="175">
        <f t="shared" si="52"/>
        <v>1105341.5951999999</v>
      </c>
      <c r="BW97" s="175">
        <f t="shared" si="53"/>
        <v>420639</v>
      </c>
      <c r="BX97" s="175">
        <f t="shared" si="54"/>
        <v>179110.8</v>
      </c>
      <c r="BY97" s="213">
        <f t="shared" si="42"/>
        <v>3076875</v>
      </c>
      <c r="BZ97" s="220">
        <f t="shared" si="55"/>
        <v>33207487.083333332</v>
      </c>
      <c r="CA97" s="213">
        <f t="shared" si="56"/>
        <v>2994146.3951999997</v>
      </c>
      <c r="CB97" s="221">
        <f t="shared" si="57"/>
        <v>36922500</v>
      </c>
      <c r="CC97" s="222">
        <f t="shared" si="58"/>
        <v>1959756.87</v>
      </c>
      <c r="CD97" s="223">
        <f t="shared" si="41"/>
        <v>4.7200309971098271</v>
      </c>
      <c r="CE97" s="262"/>
      <c r="CF97" s="262"/>
      <c r="CK97" s="187"/>
      <c r="CL97" s="188"/>
    </row>
    <row r="98" spans="1:117" ht="17.25" customHeight="1">
      <c r="A98" s="23">
        <f t="shared" si="38"/>
        <v>95</v>
      </c>
      <c r="B98" s="23" t="s">
        <v>439</v>
      </c>
      <c r="C98" s="190">
        <v>2020005</v>
      </c>
      <c r="D98" s="201" t="s">
        <v>1435</v>
      </c>
      <c r="E98" s="23" t="s">
        <v>1436</v>
      </c>
      <c r="F98" s="23" t="s">
        <v>1482</v>
      </c>
      <c r="G98" s="23" t="s">
        <v>1010</v>
      </c>
      <c r="H98" s="23" t="s">
        <v>1483</v>
      </c>
      <c r="I98" s="23" t="s">
        <v>1484</v>
      </c>
      <c r="J98" s="194" t="s">
        <v>178</v>
      </c>
      <c r="K98" s="79" t="s">
        <v>1401</v>
      </c>
      <c r="L98" s="23" t="s">
        <v>1437</v>
      </c>
      <c r="N98" s="229" t="s">
        <v>1485</v>
      </c>
      <c r="O98" t="s">
        <v>1486</v>
      </c>
      <c r="P98" s="229" t="s">
        <v>1487</v>
      </c>
      <c r="Q98" s="214">
        <v>41821</v>
      </c>
      <c r="R98" s="214">
        <v>43831</v>
      </c>
      <c r="T98" s="231" t="s">
        <v>1488</v>
      </c>
      <c r="U98" s="231" t="s">
        <v>1489</v>
      </c>
      <c r="V98" s="201" t="s">
        <v>278</v>
      </c>
      <c r="Z98" s="203">
        <f t="shared" ca="1" si="43"/>
        <v>4340</v>
      </c>
      <c r="AA98" s="203">
        <f t="shared" ca="1" si="39"/>
        <v>2330</v>
      </c>
      <c r="AB98" s="267"/>
      <c r="AC98" s="267"/>
      <c r="AD98" s="78" t="s">
        <v>1459</v>
      </c>
      <c r="AE98" s="78" t="s">
        <v>190</v>
      </c>
      <c r="AF98" s="78" t="s">
        <v>263</v>
      </c>
      <c r="AG98" s="78" t="s">
        <v>263</v>
      </c>
      <c r="AH98" s="23" t="s">
        <v>1443</v>
      </c>
      <c r="AI98" s="23" t="s">
        <v>1444</v>
      </c>
      <c r="AJ98" s="23" t="s">
        <v>1445</v>
      </c>
      <c r="AK98" s="268" t="s">
        <v>1446</v>
      </c>
      <c r="AL98" s="78" t="s">
        <v>1460</v>
      </c>
      <c r="AM98" s="269" t="s">
        <v>1490</v>
      </c>
      <c r="AN98" s="78" t="s">
        <v>1491</v>
      </c>
      <c r="AO98" s="210" t="s">
        <v>1450</v>
      </c>
      <c r="AP98" s="78" t="s">
        <v>1463</v>
      </c>
      <c r="AQ98" s="201" t="s">
        <v>433</v>
      </c>
      <c r="AS98" s="209" t="s">
        <v>1452</v>
      </c>
      <c r="AT98" s="23" t="s">
        <v>434</v>
      </c>
      <c r="AU98" s="23" t="s">
        <v>435</v>
      </c>
      <c r="AV98" s="210" t="s">
        <v>454</v>
      </c>
      <c r="AW98" s="251">
        <v>3300000</v>
      </c>
      <c r="AX98" s="270">
        <v>3260000</v>
      </c>
      <c r="AY98" s="212">
        <v>12</v>
      </c>
      <c r="AZ98" s="213">
        <f t="shared" si="40"/>
        <v>39120000</v>
      </c>
      <c r="BC98" s="230">
        <v>46023</v>
      </c>
      <c r="BD98" s="215">
        <v>29040960</v>
      </c>
      <c r="BE98" s="215">
        <v>29100000</v>
      </c>
      <c r="BF98" s="261">
        <f t="shared" si="44"/>
        <v>29538000</v>
      </c>
      <c r="BG98" s="215">
        <f t="shared" si="45"/>
        <v>2461500</v>
      </c>
      <c r="BH98" s="215">
        <v>1680000</v>
      </c>
      <c r="BI98" s="216">
        <f t="shared" si="59"/>
        <v>11150.65</v>
      </c>
      <c r="BJ98" s="216">
        <f>IF(AT98="통상",209,VLOOKUP(AD98,'[2]스케줄 분석_20260109'!$B$3:$F$20,5,FALSE))</f>
        <v>168.60000000000002</v>
      </c>
      <c r="BK98" s="216">
        <f>IF(AT98="통상",15,VLOOKUP(AD98,'[2]스케줄 분석_20260109'!$B$3:$P$20,10,FALSE))</f>
        <v>43.45</v>
      </c>
      <c r="BL98" s="216">
        <f>IF(AT98="통상",0,VLOOKUP(AD98,'[2]스케줄 분석_20260109'!$B$3:$P$20,11,FALSE))</f>
        <v>60.83</v>
      </c>
      <c r="BM98" s="215">
        <f t="shared" si="46"/>
        <v>242300</v>
      </c>
      <c r="BN98" s="175">
        <f t="shared" si="47"/>
        <v>339200</v>
      </c>
      <c r="BO98" s="213">
        <v>200000</v>
      </c>
      <c r="BP98" s="175">
        <f>IF(OR(AT98="스케줄",AT98="스케줄_파라"),ROUNDUP(VLOOKUP(AD98,'[2]스케줄 분석_20260109'!$B$3:$Y$20,23,FALSE)*(VLOOKUP(AD98,'[2]스케줄 분석_20260109'!$B$3:$Y$20,21,FALSE)/VLOOKUP(AD98,'[2]스케줄 분석_20260109'!$B$3:$Y$20,20,FALSE))*VLOOKUP(AD98,'[2]스케줄 분석_20260109'!$B$3:$Y$20,22,FALSE)*VLOOKUP(AD98,'[2]스케줄 분석_20260109'!$B$3:$Y$20,2,FALSE)*1.5*BI98,0),0)</f>
        <v>2179953</v>
      </c>
      <c r="BQ98" s="217" t="str">
        <f t="shared" si="48"/>
        <v>적합</v>
      </c>
      <c r="BR98" s="271"/>
      <c r="BS98" s="218">
        <f t="shared" si="49"/>
        <v>1115065</v>
      </c>
      <c r="BT98" s="219">
        <f t="shared" si="50"/>
        <v>2554422.0833333335</v>
      </c>
      <c r="BU98" s="175">
        <f t="shared" si="51"/>
        <v>1289055</v>
      </c>
      <c r="BV98" s="175">
        <f t="shared" si="52"/>
        <v>1105341.5951999999</v>
      </c>
      <c r="BW98" s="175">
        <f t="shared" si="53"/>
        <v>420639</v>
      </c>
      <c r="BX98" s="175">
        <f t="shared" si="54"/>
        <v>179110.8</v>
      </c>
      <c r="BY98" s="213">
        <f t="shared" si="42"/>
        <v>3076875</v>
      </c>
      <c r="BZ98" s="220">
        <f t="shared" si="55"/>
        <v>33207487.083333332</v>
      </c>
      <c r="CA98" s="213">
        <f t="shared" si="56"/>
        <v>2994146.3951999997</v>
      </c>
      <c r="CB98" s="221">
        <f t="shared" si="57"/>
        <v>36922500</v>
      </c>
      <c r="CC98" s="222">
        <f t="shared" si="58"/>
        <v>-440243.12999999989</v>
      </c>
      <c r="CD98" s="223">
        <f t="shared" si="41"/>
        <v>-1.1253658742331285</v>
      </c>
      <c r="CE98" s="262"/>
      <c r="CF98" s="262"/>
      <c r="CK98" s="187"/>
      <c r="CL98" s="188"/>
    </row>
    <row r="99" spans="1:117" ht="17.25" customHeight="1">
      <c r="A99" s="23">
        <f t="shared" si="38"/>
        <v>96</v>
      </c>
      <c r="B99" s="23" t="s">
        <v>439</v>
      </c>
      <c r="C99" s="190">
        <v>2020006</v>
      </c>
      <c r="D99" s="201" t="s">
        <v>1435</v>
      </c>
      <c r="E99" s="23" t="s">
        <v>1436</v>
      </c>
      <c r="F99" s="23" t="s">
        <v>1492</v>
      </c>
      <c r="G99" s="23" t="s">
        <v>1192</v>
      </c>
      <c r="H99" s="23" t="s">
        <v>1483</v>
      </c>
      <c r="I99" s="23" t="s">
        <v>1484</v>
      </c>
      <c r="J99" s="194" t="s">
        <v>178</v>
      </c>
      <c r="K99" s="79" t="s">
        <v>1401</v>
      </c>
      <c r="L99" s="23" t="s">
        <v>1437</v>
      </c>
      <c r="N99" s="229" t="s">
        <v>1493</v>
      </c>
      <c r="O99" t="s">
        <v>1494</v>
      </c>
      <c r="P99" s="229" t="s">
        <v>1495</v>
      </c>
      <c r="Q99" s="214">
        <v>43009</v>
      </c>
      <c r="R99" s="214">
        <v>43831</v>
      </c>
      <c r="T99" s="231" t="s">
        <v>1496</v>
      </c>
      <c r="V99" s="201" t="s">
        <v>215</v>
      </c>
      <c r="Z99" s="203">
        <f t="shared" ca="1" si="43"/>
        <v>3152</v>
      </c>
      <c r="AA99" s="203">
        <f t="shared" ca="1" si="39"/>
        <v>2330</v>
      </c>
      <c r="AB99" s="267"/>
      <c r="AC99" s="267"/>
      <c r="AD99" s="78" t="s">
        <v>1459</v>
      </c>
      <c r="AE99" s="78" t="s">
        <v>190</v>
      </c>
      <c r="AF99" s="78" t="s">
        <v>263</v>
      </c>
      <c r="AG99" s="78" t="s">
        <v>263</v>
      </c>
      <c r="AH99" s="23" t="s">
        <v>1443</v>
      </c>
      <c r="AI99" s="23" t="s">
        <v>1444</v>
      </c>
      <c r="AJ99" s="23" t="s">
        <v>1445</v>
      </c>
      <c r="AK99" s="268" t="s">
        <v>1446</v>
      </c>
      <c r="AL99" s="78" t="s">
        <v>1460</v>
      </c>
      <c r="AM99" s="269" t="s">
        <v>1497</v>
      </c>
      <c r="AN99" s="78" t="s">
        <v>1498</v>
      </c>
      <c r="AO99" s="210" t="s">
        <v>1450</v>
      </c>
      <c r="AP99" s="78" t="s">
        <v>1463</v>
      </c>
      <c r="AQ99" s="201" t="s">
        <v>433</v>
      </c>
      <c r="AS99" s="209" t="s">
        <v>1452</v>
      </c>
      <c r="AT99" s="23" t="s">
        <v>434</v>
      </c>
      <c r="AU99" s="23" t="s">
        <v>435</v>
      </c>
      <c r="AV99" s="210" t="s">
        <v>454</v>
      </c>
      <c r="AW99" s="251">
        <v>3300000</v>
      </c>
      <c r="AX99" s="270">
        <v>3260000</v>
      </c>
      <c r="AY99" s="212">
        <v>12</v>
      </c>
      <c r="AZ99" s="213">
        <f t="shared" si="40"/>
        <v>39120000</v>
      </c>
      <c r="BC99" s="230">
        <v>46023</v>
      </c>
      <c r="BD99" s="215">
        <v>29040960</v>
      </c>
      <c r="BE99" s="215">
        <v>29100000</v>
      </c>
      <c r="BF99" s="261">
        <f t="shared" si="44"/>
        <v>29538000</v>
      </c>
      <c r="BG99" s="215">
        <f t="shared" si="45"/>
        <v>2461500</v>
      </c>
      <c r="BH99" s="215">
        <v>1680000</v>
      </c>
      <c r="BI99" s="216">
        <f t="shared" si="59"/>
        <v>11150.65</v>
      </c>
      <c r="BJ99" s="216">
        <f>IF(AT99="통상",209,VLOOKUP(AD99,'[2]스케줄 분석_20260109'!$B$3:$F$20,5,FALSE))</f>
        <v>168.60000000000002</v>
      </c>
      <c r="BK99" s="216">
        <f>IF(AT99="통상",15,VLOOKUP(AD99,'[2]스케줄 분석_20260109'!$B$3:$P$20,10,FALSE))</f>
        <v>43.45</v>
      </c>
      <c r="BL99" s="216">
        <f>IF(AT99="통상",0,VLOOKUP(AD99,'[2]스케줄 분석_20260109'!$B$3:$P$20,11,FALSE))</f>
        <v>60.83</v>
      </c>
      <c r="BM99" s="215">
        <f t="shared" si="46"/>
        <v>242300</v>
      </c>
      <c r="BN99" s="175">
        <f t="shared" si="47"/>
        <v>339200</v>
      </c>
      <c r="BO99" s="213">
        <v>200000</v>
      </c>
      <c r="BP99" s="175">
        <f>IF(OR(AT99="스케줄",AT99="스케줄_파라"),ROUNDUP(VLOOKUP(AD99,'[2]스케줄 분석_20260109'!$B$3:$Y$20,23,FALSE)*(VLOOKUP(AD99,'[2]스케줄 분석_20260109'!$B$3:$Y$20,21,FALSE)/VLOOKUP(AD99,'[2]스케줄 분석_20260109'!$B$3:$Y$20,20,FALSE))*VLOOKUP(AD99,'[2]스케줄 분석_20260109'!$B$3:$Y$20,22,FALSE)*VLOOKUP(AD99,'[2]스케줄 분석_20260109'!$B$3:$Y$20,2,FALSE)*1.5*BI99,0),0)</f>
        <v>2179953</v>
      </c>
      <c r="BQ99" s="217" t="str">
        <f t="shared" si="48"/>
        <v>적합</v>
      </c>
      <c r="BR99" s="271"/>
      <c r="BS99" s="218">
        <f t="shared" si="49"/>
        <v>1115065</v>
      </c>
      <c r="BT99" s="219">
        <f t="shared" si="50"/>
        <v>2554422.0833333335</v>
      </c>
      <c r="BU99" s="175">
        <f t="shared" si="51"/>
        <v>1289055</v>
      </c>
      <c r="BV99" s="175">
        <f t="shared" si="52"/>
        <v>1105341.5951999999</v>
      </c>
      <c r="BW99" s="175">
        <f t="shared" si="53"/>
        <v>420639</v>
      </c>
      <c r="BX99" s="175">
        <f t="shared" si="54"/>
        <v>179110.8</v>
      </c>
      <c r="BY99" s="213">
        <f t="shared" si="42"/>
        <v>3076875</v>
      </c>
      <c r="BZ99" s="220">
        <f t="shared" si="55"/>
        <v>33207487.083333332</v>
      </c>
      <c r="CA99" s="213">
        <f t="shared" si="56"/>
        <v>2994146.3951999997</v>
      </c>
      <c r="CB99" s="221">
        <f t="shared" si="57"/>
        <v>36922500</v>
      </c>
      <c r="CC99" s="222">
        <f t="shared" si="58"/>
        <v>-440243.12999999989</v>
      </c>
      <c r="CD99" s="223">
        <f t="shared" si="41"/>
        <v>-1.1253658742331285</v>
      </c>
      <c r="CE99" s="262"/>
      <c r="CF99" s="262"/>
      <c r="CK99" s="187"/>
      <c r="CL99" s="188"/>
    </row>
    <row r="100" spans="1:117" ht="17.25" customHeight="1">
      <c r="A100" s="23">
        <f t="shared" si="38"/>
        <v>97</v>
      </c>
      <c r="B100" s="23" t="s">
        <v>439</v>
      </c>
      <c r="C100" s="190">
        <v>2020007</v>
      </c>
      <c r="D100" s="201" t="s">
        <v>1435</v>
      </c>
      <c r="E100" s="23" t="s">
        <v>1436</v>
      </c>
      <c r="F100" s="23" t="s">
        <v>1499</v>
      </c>
      <c r="G100" s="23" t="s">
        <v>230</v>
      </c>
      <c r="H100" s="23" t="s">
        <v>413</v>
      </c>
      <c r="I100" s="23" t="s">
        <v>1454</v>
      </c>
      <c r="J100" s="194" t="s">
        <v>178</v>
      </c>
      <c r="K100" s="79" t="s">
        <v>1401</v>
      </c>
      <c r="L100" s="23" t="s">
        <v>1437</v>
      </c>
      <c r="N100" s="229" t="s">
        <v>1500</v>
      </c>
      <c r="O100" t="s">
        <v>1501</v>
      </c>
      <c r="P100" s="229" t="s">
        <v>1502</v>
      </c>
      <c r="Q100" s="214">
        <v>41091</v>
      </c>
      <c r="R100" s="214">
        <v>43831</v>
      </c>
      <c r="T100" s="231" t="s">
        <v>1503</v>
      </c>
      <c r="U100" s="231" t="s">
        <v>1504</v>
      </c>
      <c r="V100" s="201" t="s">
        <v>394</v>
      </c>
      <c r="Z100" s="203">
        <f t="shared" ca="1" si="43"/>
        <v>5070</v>
      </c>
      <c r="AA100" s="203">
        <f t="shared" ca="1" si="39"/>
        <v>2330</v>
      </c>
      <c r="AB100" s="267"/>
      <c r="AC100" s="267"/>
      <c r="AD100" s="78" t="s">
        <v>1459</v>
      </c>
      <c r="AE100" s="78" t="s">
        <v>190</v>
      </c>
      <c r="AF100" s="78" t="s">
        <v>263</v>
      </c>
      <c r="AG100" s="78" t="s">
        <v>263</v>
      </c>
      <c r="AH100" s="23" t="s">
        <v>1443</v>
      </c>
      <c r="AI100" s="23" t="s">
        <v>1444</v>
      </c>
      <c r="AJ100" s="23" t="s">
        <v>1445</v>
      </c>
      <c r="AK100" s="268" t="s">
        <v>1446</v>
      </c>
      <c r="AL100" s="78" t="s">
        <v>1460</v>
      </c>
      <c r="AM100" s="269" t="s">
        <v>1505</v>
      </c>
      <c r="AN100" s="78" t="s">
        <v>1506</v>
      </c>
      <c r="AO100" s="210" t="s">
        <v>1450</v>
      </c>
      <c r="AP100" s="78" t="s">
        <v>1463</v>
      </c>
      <c r="AQ100" s="201" t="s">
        <v>433</v>
      </c>
      <c r="AS100" s="209" t="s">
        <v>1452</v>
      </c>
      <c r="AT100" s="23" t="s">
        <v>434</v>
      </c>
      <c r="AU100" s="23" t="s">
        <v>435</v>
      </c>
      <c r="AV100" s="210" t="s">
        <v>454</v>
      </c>
      <c r="AW100" s="251">
        <v>3370000</v>
      </c>
      <c r="AX100" s="270">
        <v>3460000</v>
      </c>
      <c r="AY100" s="212">
        <v>12</v>
      </c>
      <c r="AZ100" s="213">
        <f t="shared" si="40"/>
        <v>41520000</v>
      </c>
      <c r="BC100" s="230">
        <v>46023</v>
      </c>
      <c r="BD100" s="215">
        <v>30000720</v>
      </c>
      <c r="BE100" s="215">
        <v>30060000</v>
      </c>
      <c r="BF100" s="261">
        <f t="shared" si="44"/>
        <v>30512400</v>
      </c>
      <c r="BG100" s="215">
        <f t="shared" si="45"/>
        <v>2542700</v>
      </c>
      <c r="BH100" s="215">
        <v>1742000</v>
      </c>
      <c r="BI100" s="216">
        <f t="shared" si="59"/>
        <v>11518.39</v>
      </c>
      <c r="BJ100" s="216">
        <f>IF(AT100="통상",209,VLOOKUP(AD100,'[2]스케줄 분석_20260109'!$B$3:$F$20,5,FALSE))</f>
        <v>168.60000000000002</v>
      </c>
      <c r="BK100" s="216">
        <f>IF(AT100="통상",15,VLOOKUP(AD100,'[2]스케줄 분석_20260109'!$B$3:$P$20,10,FALSE))</f>
        <v>43.45</v>
      </c>
      <c r="BL100" s="216">
        <f>IF(AT100="통상",0,VLOOKUP(AD100,'[2]스케줄 분석_20260109'!$B$3:$P$20,11,FALSE))</f>
        <v>60.83</v>
      </c>
      <c r="BM100" s="215">
        <f t="shared" si="46"/>
        <v>250300</v>
      </c>
      <c r="BN100" s="175">
        <f t="shared" si="47"/>
        <v>350400</v>
      </c>
      <c r="BO100" s="213">
        <v>200000</v>
      </c>
      <c r="BP100" s="175">
        <f>IF(OR(AT100="스케줄",AT100="스케줄_파라"),ROUNDUP(VLOOKUP(AD100,'[2]스케줄 분석_20260109'!$B$3:$Y$20,23,FALSE)*(VLOOKUP(AD100,'[2]스케줄 분석_20260109'!$B$3:$Y$20,21,FALSE)/VLOOKUP(AD100,'[2]스케줄 분석_20260109'!$B$3:$Y$20,20,FALSE))*VLOOKUP(AD100,'[2]스케줄 분석_20260109'!$B$3:$Y$20,22,FALSE)*VLOOKUP(AD100,'[2]스케줄 분석_20260109'!$B$3:$Y$20,2,FALSE)*1.5*BI100,0),0)</f>
        <v>2251846</v>
      </c>
      <c r="BQ100" s="217" t="str">
        <f t="shared" si="48"/>
        <v>적합</v>
      </c>
      <c r="BR100" s="271"/>
      <c r="BS100" s="218">
        <f t="shared" si="49"/>
        <v>1151839</v>
      </c>
      <c r="BT100" s="219">
        <f t="shared" si="50"/>
        <v>2638686.5833333335</v>
      </c>
      <c r="BU100" s="175">
        <f t="shared" si="51"/>
        <v>1335339</v>
      </c>
      <c r="BV100" s="175">
        <f t="shared" si="52"/>
        <v>1145029.2969599999</v>
      </c>
      <c r="BW100" s="175">
        <f t="shared" si="53"/>
        <v>435742.2</v>
      </c>
      <c r="BX100" s="175">
        <f t="shared" si="54"/>
        <v>185541.84</v>
      </c>
      <c r="BY100" s="213">
        <f t="shared" si="42"/>
        <v>3178375</v>
      </c>
      <c r="BZ100" s="220">
        <f t="shared" si="55"/>
        <v>34302925.583333336</v>
      </c>
      <c r="CA100" s="213">
        <f t="shared" si="56"/>
        <v>3101652.33696</v>
      </c>
      <c r="CB100" s="221">
        <f t="shared" si="57"/>
        <v>38140500</v>
      </c>
      <c r="CC100" s="222">
        <f t="shared" si="58"/>
        <v>654766.33999999985</v>
      </c>
      <c r="CD100" s="223">
        <f t="shared" si="41"/>
        <v>1.5769902215799609</v>
      </c>
      <c r="CE100" s="262"/>
      <c r="CF100" s="262"/>
      <c r="CJ100" s="120"/>
      <c r="CK100" s="187"/>
      <c r="CL100" s="188"/>
    </row>
    <row r="101" spans="1:117" ht="17.25" customHeight="1">
      <c r="A101" s="23">
        <f t="shared" si="38"/>
        <v>98</v>
      </c>
      <c r="B101" s="23" t="s">
        <v>439</v>
      </c>
      <c r="C101" s="190">
        <v>2020009</v>
      </c>
      <c r="D101" s="194" t="s">
        <v>474</v>
      </c>
      <c r="E101" s="227" t="s">
        <v>1507</v>
      </c>
      <c r="F101" s="227" t="s">
        <v>1508</v>
      </c>
      <c r="G101" s="23" t="s">
        <v>1192</v>
      </c>
      <c r="H101" s="227" t="s">
        <v>826</v>
      </c>
      <c r="I101" s="227" t="s">
        <v>741</v>
      </c>
      <c r="J101" s="194" t="s">
        <v>178</v>
      </c>
      <c r="K101" s="79" t="s">
        <v>1509</v>
      </c>
      <c r="L101" s="227" t="s">
        <v>1510</v>
      </c>
      <c r="M101" s="227"/>
      <c r="N101" s="229" t="s">
        <v>1511</v>
      </c>
      <c r="O101" s="197" t="s">
        <v>1512</v>
      </c>
      <c r="P101" s="229" t="s">
        <v>1513</v>
      </c>
      <c r="Q101" s="214">
        <v>43841</v>
      </c>
      <c r="R101" s="214">
        <v>43841</v>
      </c>
      <c r="S101" s="214"/>
      <c r="T101" s="231" t="s">
        <v>1514</v>
      </c>
      <c r="U101" s="231" t="s">
        <v>1515</v>
      </c>
      <c r="V101" s="201" t="s">
        <v>278</v>
      </c>
      <c r="W101" s="231" t="s">
        <v>425</v>
      </c>
      <c r="X101" s="200"/>
      <c r="Y101" s="200"/>
      <c r="Z101" s="203">
        <f t="shared" ca="1" si="43"/>
        <v>2320</v>
      </c>
      <c r="AA101" s="203">
        <f t="shared" ca="1" si="39"/>
        <v>2320</v>
      </c>
      <c r="AB101" s="232"/>
      <c r="AC101" s="232"/>
      <c r="AD101" s="78" t="s">
        <v>519</v>
      </c>
      <c r="AE101" s="78" t="s">
        <v>217</v>
      </c>
      <c r="AF101" s="78" t="s">
        <v>160</v>
      </c>
      <c r="AG101" s="78" t="s">
        <v>160</v>
      </c>
      <c r="AH101" s="23" t="s">
        <v>161</v>
      </c>
      <c r="AI101" s="23" t="s">
        <v>162</v>
      </c>
      <c r="AJ101" s="23" t="s">
        <v>149</v>
      </c>
      <c r="AK101" s="23">
        <v>13486</v>
      </c>
      <c r="AL101" s="272" t="s">
        <v>1516</v>
      </c>
      <c r="AM101" s="206">
        <v>13583</v>
      </c>
      <c r="AN101" s="207" t="s">
        <v>1517</v>
      </c>
      <c r="AO101" s="78" t="s">
        <v>166</v>
      </c>
      <c r="AP101" s="78" t="s">
        <v>1518</v>
      </c>
      <c r="AQ101" s="201" t="s">
        <v>1372</v>
      </c>
      <c r="AS101" s="209" t="s">
        <v>1519</v>
      </c>
      <c r="AT101" s="23" t="s">
        <v>201</v>
      </c>
      <c r="AU101" s="23" t="s">
        <v>435</v>
      </c>
      <c r="AV101" s="210" t="s">
        <v>454</v>
      </c>
      <c r="AW101" s="211">
        <v>4536000</v>
      </c>
      <c r="AX101" s="175">
        <v>4536000</v>
      </c>
      <c r="AY101" s="212">
        <v>12</v>
      </c>
      <c r="AZ101" s="213">
        <f t="shared" si="40"/>
        <v>54432000</v>
      </c>
      <c r="BA101" s="213"/>
      <c r="BB101" s="213"/>
      <c r="BC101" s="230">
        <v>46023</v>
      </c>
      <c r="BD101" s="235">
        <v>33444000</v>
      </c>
      <c r="BE101" s="215">
        <v>34524000</v>
      </c>
      <c r="BF101" s="261">
        <f t="shared" si="44"/>
        <v>35524800</v>
      </c>
      <c r="BG101" s="215">
        <f t="shared" si="45"/>
        <v>2960400</v>
      </c>
      <c r="BH101" s="215">
        <v>2472600</v>
      </c>
      <c r="BI101" s="216">
        <f t="shared" si="59"/>
        <v>12787.56</v>
      </c>
      <c r="BJ101" s="216">
        <f>IF(AT101="통상",209,VLOOKUP(AD101,'[2]스케줄 분석_20260109'!$B$3:$F$20,5,FALSE))</f>
        <v>209</v>
      </c>
      <c r="BK101" s="216">
        <f>IF(AT101="통상",15,VLOOKUP(AD101,'[2]스케줄 분석_20260109'!$B$3:$P$20,10,FALSE))</f>
        <v>15</v>
      </c>
      <c r="BL101" s="216">
        <f>IF(AT101="통상",0,VLOOKUP(AD101,'[2]스케줄 분석_20260109'!$B$3:$P$20,11,FALSE))</f>
        <v>0</v>
      </c>
      <c r="BM101" s="215">
        <f t="shared" si="46"/>
        <v>287800</v>
      </c>
      <c r="BN101" s="175">
        <f t="shared" si="47"/>
        <v>0</v>
      </c>
      <c r="BO101" s="213">
        <v>200000</v>
      </c>
      <c r="BP101" s="175">
        <f>IF(OR(AT101="스케줄",AT101="스케줄_파라"),ROUNDUP(VLOOKUP(AD101,'[2]스케줄 분석_20260109'!$B$3:$Y$20,23,FALSE)*(VLOOKUP(AD101,'[2]스케줄 분석_20260109'!$B$3:$Y$20,21,FALSE)/VLOOKUP(AD101,'[2]스케줄 분석_20260109'!$B$3:$Y$20,20,FALSE))*VLOOKUP(AD101,'[2]스케줄 분석_20260109'!$B$3:$Y$20,22,FALSE)*VLOOKUP(AD101,'[2]스케줄 분석_20260109'!$B$3:$Y$20,2,FALSE)*1.5*BI101,0),0)</f>
        <v>0</v>
      </c>
      <c r="BQ101" s="217" t="str">
        <f t="shared" si="48"/>
        <v>적합</v>
      </c>
      <c r="BR101" s="213"/>
      <c r="BS101" s="218">
        <f t="shared" si="49"/>
        <v>511502.39999999997</v>
      </c>
      <c r="BT101" s="219">
        <f t="shared" si="50"/>
        <v>3003025.2</v>
      </c>
      <c r="BU101" s="175">
        <f t="shared" si="51"/>
        <v>1573428</v>
      </c>
      <c r="BV101" s="175">
        <f t="shared" si="52"/>
        <v>1349186.3539199997</v>
      </c>
      <c r="BW101" s="175">
        <f t="shared" si="53"/>
        <v>513434.4</v>
      </c>
      <c r="BX101" s="175">
        <f t="shared" si="54"/>
        <v>218623.68</v>
      </c>
      <c r="BY101" s="213">
        <f t="shared" si="42"/>
        <v>3700500</v>
      </c>
      <c r="BZ101" s="220">
        <f t="shared" si="55"/>
        <v>39039327.600000001</v>
      </c>
      <c r="CA101" s="213">
        <f t="shared" si="56"/>
        <v>3654672.4339199997</v>
      </c>
      <c r="CB101" s="221">
        <f t="shared" si="57"/>
        <v>44406000</v>
      </c>
      <c r="CC101" s="222">
        <f t="shared" si="58"/>
        <v>10026000</v>
      </c>
      <c r="CD101" s="223">
        <f t="shared" si="41"/>
        <v>18.419312169312168</v>
      </c>
      <c r="CE101" s="258">
        <v>44657</v>
      </c>
      <c r="CF101" s="258"/>
      <c r="CK101" s="187"/>
      <c r="CL101" s="188"/>
    </row>
    <row r="102" spans="1:117" s="210" customFormat="1" ht="17.25" customHeight="1">
      <c r="A102" s="23">
        <f t="shared" si="38"/>
        <v>99</v>
      </c>
      <c r="B102" s="23" t="s">
        <v>439</v>
      </c>
      <c r="C102" s="190">
        <v>2020013</v>
      </c>
      <c r="D102" s="194" t="s">
        <v>1007</v>
      </c>
      <c r="E102" s="227" t="s">
        <v>1008</v>
      </c>
      <c r="F102" s="227" t="s">
        <v>1520</v>
      </c>
      <c r="G102" s="23" t="s">
        <v>1521</v>
      </c>
      <c r="H102" s="227" t="s">
        <v>1167</v>
      </c>
      <c r="I102" s="227" t="s">
        <v>741</v>
      </c>
      <c r="J102" s="194" t="s">
        <v>178</v>
      </c>
      <c r="K102" s="79" t="s">
        <v>1401</v>
      </c>
      <c r="L102" s="227" t="s">
        <v>1522</v>
      </c>
      <c r="M102" s="227"/>
      <c r="N102" s="228" t="s">
        <v>1523</v>
      </c>
      <c r="O102" t="s">
        <v>1524</v>
      </c>
      <c r="P102" s="229" t="s">
        <v>1525</v>
      </c>
      <c r="Q102" s="214">
        <v>43861</v>
      </c>
      <c r="R102" s="214">
        <v>43861</v>
      </c>
      <c r="S102" s="214"/>
      <c r="T102" s="231" t="s">
        <v>745</v>
      </c>
      <c r="U102" s="231" t="s">
        <v>1526</v>
      </c>
      <c r="V102" s="201" t="s">
        <v>394</v>
      </c>
      <c r="W102" s="201"/>
      <c r="X102" s="201"/>
      <c r="Y102" s="201"/>
      <c r="Z102" s="203">
        <f t="shared" ca="1" si="43"/>
        <v>2300</v>
      </c>
      <c r="AA102" s="203">
        <f t="shared" ca="1" si="39"/>
        <v>2300</v>
      </c>
      <c r="AB102" s="232"/>
      <c r="AC102" s="232"/>
      <c r="AD102" s="78" t="s">
        <v>1470</v>
      </c>
      <c r="AE102" s="78" t="s">
        <v>833</v>
      </c>
      <c r="AF102" s="78" t="s">
        <v>191</v>
      </c>
      <c r="AG102" s="78" t="s">
        <v>191</v>
      </c>
      <c r="AH102" s="23" t="s">
        <v>161</v>
      </c>
      <c r="AI102" s="23" t="s">
        <v>1021</v>
      </c>
      <c r="AJ102" s="23" t="s">
        <v>1008</v>
      </c>
      <c r="AK102" s="23" t="s">
        <v>1022</v>
      </c>
      <c r="AL102" s="78" t="s">
        <v>1023</v>
      </c>
      <c r="AM102" s="269" t="s">
        <v>1527</v>
      </c>
      <c r="AN102" s="79" t="s">
        <v>1528</v>
      </c>
      <c r="AO102" s="78" t="s">
        <v>401</v>
      </c>
      <c r="AP102" s="78" t="s">
        <v>1025</v>
      </c>
      <c r="AQ102" s="201" t="s">
        <v>433</v>
      </c>
      <c r="AR102" s="201"/>
      <c r="AS102" s="209" t="s">
        <v>1006</v>
      </c>
      <c r="AT102" s="23" t="s">
        <v>434</v>
      </c>
      <c r="AU102" s="23" t="s">
        <v>435</v>
      </c>
      <c r="AV102" s="210" t="s">
        <v>454</v>
      </c>
      <c r="AW102" s="211">
        <v>4179000</v>
      </c>
      <c r="AX102" s="175">
        <v>4179000</v>
      </c>
      <c r="AY102" s="212">
        <v>12</v>
      </c>
      <c r="AZ102" s="213">
        <f t="shared" si="40"/>
        <v>50148000</v>
      </c>
      <c r="BA102" s="78"/>
      <c r="BB102" s="175"/>
      <c r="BC102" s="214">
        <v>45839</v>
      </c>
      <c r="BD102" s="215">
        <v>30601680</v>
      </c>
      <c r="BE102" s="215">
        <v>31381200</v>
      </c>
      <c r="BF102" s="215">
        <f t="shared" si="44"/>
        <v>31381200</v>
      </c>
      <c r="BG102" s="215">
        <f t="shared" si="45"/>
        <v>2615100</v>
      </c>
      <c r="BH102" s="215">
        <v>2091500</v>
      </c>
      <c r="BI102" s="216">
        <f t="shared" si="59"/>
        <v>11680</v>
      </c>
      <c r="BJ102" s="216">
        <f>IF(AT102="통상",209,VLOOKUP(AD102,'[2]스케줄 분석_20260109'!$B$3:$F$20,5,FALSE))</f>
        <v>196.19</v>
      </c>
      <c r="BK102" s="216">
        <f>IF(AT102="통상",15,VLOOKUP(AD102,'[2]스케줄 분석_20260109'!$B$3:$P$20,10,FALSE))</f>
        <v>2.17</v>
      </c>
      <c r="BL102" s="216">
        <f>IF(AT102="통상",0,VLOOKUP(AD102,'[2]스케줄 분석_20260109'!$B$3:$P$20,11,FALSE))</f>
        <v>53.23</v>
      </c>
      <c r="BM102" s="215">
        <f t="shared" si="46"/>
        <v>12700</v>
      </c>
      <c r="BN102" s="175">
        <f t="shared" si="47"/>
        <v>310900</v>
      </c>
      <c r="BO102" s="213">
        <v>200000</v>
      </c>
      <c r="BP102" s="175">
        <f>IF(OR(AT102="스케줄",AT102="스케줄_파라"),ROUNDUP(VLOOKUP(AD102,'[2]스케줄 분석_20260109'!$B$3:$Y$20,23,FALSE)*(VLOOKUP(AD102,'[2]스케줄 분석_20260109'!$B$3:$Y$20,21,FALSE)/VLOOKUP(AD102,'[2]스케줄 분석_20260109'!$B$3:$Y$20,20,FALSE))*VLOOKUP(AD102,'[2]스케줄 분석_20260109'!$B$3:$Y$20,22,FALSE)*VLOOKUP(AD102,'[2]스케줄 분석_20260109'!$B$3:$Y$20,2,FALSE)*1.5*BI102,0),0)</f>
        <v>2115540</v>
      </c>
      <c r="BQ102" s="217" t="str">
        <f t="shared" si="48"/>
        <v>적합</v>
      </c>
      <c r="BR102" s="175"/>
      <c r="BS102" s="218">
        <f t="shared" si="49"/>
        <v>1168000</v>
      </c>
      <c r="BT102" s="219">
        <f t="shared" si="50"/>
        <v>2712433.3333333335</v>
      </c>
      <c r="BU102" s="175">
        <f t="shared" si="51"/>
        <v>1376607</v>
      </c>
      <c r="BV102" s="175">
        <f t="shared" si="52"/>
        <v>1180415.8684799999</v>
      </c>
      <c r="BW102" s="175">
        <f t="shared" si="53"/>
        <v>449208.6</v>
      </c>
      <c r="BX102" s="175">
        <f t="shared" si="54"/>
        <v>191275.92</v>
      </c>
      <c r="BY102" s="213">
        <f t="shared" si="42"/>
        <v>3268875</v>
      </c>
      <c r="BZ102" s="220">
        <f t="shared" si="55"/>
        <v>35261633.333333336</v>
      </c>
      <c r="CA102" s="213">
        <f t="shared" si="56"/>
        <v>3197507.3884799997</v>
      </c>
      <c r="CB102" s="221">
        <f t="shared" si="57"/>
        <v>39226500</v>
      </c>
      <c r="CC102" s="222">
        <f t="shared" si="58"/>
        <v>8361696.5999999996</v>
      </c>
      <c r="CD102" s="223">
        <f t="shared" si="41"/>
        <v>16.674038047379756</v>
      </c>
      <c r="CE102" s="273">
        <v>44660</v>
      </c>
      <c r="CF102" s="273"/>
      <c r="CG102" s="274"/>
      <c r="CH102" s="23"/>
      <c r="CI102" s="78"/>
      <c r="CJ102" s="78"/>
      <c r="CK102" s="187"/>
      <c r="CL102" s="188"/>
      <c r="CM102" s="78"/>
      <c r="CN102" s="78"/>
      <c r="CO102" s="78"/>
      <c r="CP102" s="78"/>
      <c r="CQ102" s="78"/>
      <c r="CR102" s="78"/>
      <c r="CS102" s="78"/>
      <c r="CT102" s="78"/>
      <c r="CU102" s="78"/>
      <c r="CV102" s="78"/>
      <c r="CW102" s="78"/>
      <c r="CX102" s="78"/>
      <c r="CY102" s="78"/>
      <c r="CZ102" s="78"/>
      <c r="DA102" s="78"/>
      <c r="DB102" s="78"/>
      <c r="DC102" s="78"/>
      <c r="DD102" s="78"/>
      <c r="DE102" s="78"/>
      <c r="DF102" s="78"/>
      <c r="DG102" s="78"/>
      <c r="DH102" s="78"/>
      <c r="DI102" s="78"/>
      <c r="DJ102" s="78"/>
      <c r="DK102" s="78"/>
      <c r="DL102" s="78"/>
      <c r="DM102" s="78"/>
    </row>
    <row r="103" spans="1:117" s="77" customFormat="1" ht="17.25" customHeight="1">
      <c r="A103" s="23">
        <f t="shared" si="38"/>
        <v>100</v>
      </c>
      <c r="B103" s="23" t="s">
        <v>439</v>
      </c>
      <c r="C103" s="190">
        <v>2020028</v>
      </c>
      <c r="D103" s="194" t="s">
        <v>511</v>
      </c>
      <c r="E103" s="227" t="s">
        <v>327</v>
      </c>
      <c r="F103" s="227" t="s">
        <v>1529</v>
      </c>
      <c r="G103" s="23" t="s">
        <v>1400</v>
      </c>
      <c r="H103" s="227" t="s">
        <v>740</v>
      </c>
      <c r="I103" s="227" t="s">
        <v>1204</v>
      </c>
      <c r="J103" s="194" t="s">
        <v>1530</v>
      </c>
      <c r="K103" s="79" t="s">
        <v>310</v>
      </c>
      <c r="L103" s="227" t="s">
        <v>1531</v>
      </c>
      <c r="M103" s="227" t="s">
        <v>1532</v>
      </c>
      <c r="N103" s="228" t="s">
        <v>1533</v>
      </c>
      <c r="O103" t="s">
        <v>1534</v>
      </c>
      <c r="P103" s="229" t="s">
        <v>1535</v>
      </c>
      <c r="Q103" s="214">
        <v>43942</v>
      </c>
      <c r="R103" s="214">
        <v>43942</v>
      </c>
      <c r="S103" s="214"/>
      <c r="T103" s="231" t="s">
        <v>1536</v>
      </c>
      <c r="U103" s="231" t="s">
        <v>1537</v>
      </c>
      <c r="V103" s="201" t="s">
        <v>394</v>
      </c>
      <c r="W103" s="231"/>
      <c r="X103" s="201"/>
      <c r="Y103" s="201"/>
      <c r="Z103" s="203">
        <f t="shared" ca="1" si="43"/>
        <v>2219</v>
      </c>
      <c r="AA103" s="203">
        <f t="shared" ca="1" si="39"/>
        <v>2219</v>
      </c>
      <c r="AB103" s="232"/>
      <c r="AC103" s="232"/>
      <c r="AD103" s="78" t="s">
        <v>1059</v>
      </c>
      <c r="AE103" s="78" t="s">
        <v>190</v>
      </c>
      <c r="AF103" s="78" t="s">
        <v>218</v>
      </c>
      <c r="AG103" s="78" t="s">
        <v>218</v>
      </c>
      <c r="AH103" s="23" t="s">
        <v>161</v>
      </c>
      <c r="AI103" s="23" t="s">
        <v>1060</v>
      </c>
      <c r="AJ103" s="23" t="s">
        <v>542</v>
      </c>
      <c r="AK103" s="233" t="s">
        <v>1061</v>
      </c>
      <c r="AL103" s="78" t="s">
        <v>1062</v>
      </c>
      <c r="AM103" s="206" t="s">
        <v>1538</v>
      </c>
      <c r="AN103" s="207" t="s">
        <v>1539</v>
      </c>
      <c r="AO103" s="78" t="s">
        <v>524</v>
      </c>
      <c r="AP103" s="78" t="s">
        <v>1065</v>
      </c>
      <c r="AQ103" s="201" t="s">
        <v>895</v>
      </c>
      <c r="AR103" s="201" t="s">
        <v>654</v>
      </c>
      <c r="AS103" s="209" t="s">
        <v>526</v>
      </c>
      <c r="AT103" s="23" t="s">
        <v>201</v>
      </c>
      <c r="AU103" s="23" t="s">
        <v>435</v>
      </c>
      <c r="AV103" s="210" t="s">
        <v>454</v>
      </c>
      <c r="AW103" s="211">
        <v>4437000</v>
      </c>
      <c r="AX103" s="175">
        <v>4437000</v>
      </c>
      <c r="AY103" s="212">
        <v>12</v>
      </c>
      <c r="AZ103" s="213">
        <f t="shared" si="40"/>
        <v>53244000</v>
      </c>
      <c r="BA103" s="78"/>
      <c r="BB103" s="213"/>
      <c r="BC103" s="214">
        <v>45839</v>
      </c>
      <c r="BD103" s="215">
        <v>33984000</v>
      </c>
      <c r="BE103" s="215">
        <v>35184000</v>
      </c>
      <c r="BF103" s="215">
        <f t="shared" si="44"/>
        <v>35184000</v>
      </c>
      <c r="BG103" s="215">
        <f t="shared" si="45"/>
        <v>2932000</v>
      </c>
      <c r="BH103" s="215">
        <v>2447000</v>
      </c>
      <c r="BI103" s="216">
        <f t="shared" si="59"/>
        <v>12665.07</v>
      </c>
      <c r="BJ103" s="216">
        <f>IF(AT103="통상",209,VLOOKUP(AD103,'[2]스케줄 분석_20260109'!$B$3:$F$20,5,FALSE))</f>
        <v>209</v>
      </c>
      <c r="BK103" s="216">
        <f>IF(AT103="통상",15,VLOOKUP(AD103,'[2]스케줄 분석_20260109'!$B$3:$P$20,10,FALSE))</f>
        <v>15</v>
      </c>
      <c r="BL103" s="216">
        <f>IF(AT103="통상",0,VLOOKUP(AD103,'[2]스케줄 분석_20260109'!$B$3:$P$20,11,FALSE))</f>
        <v>0</v>
      </c>
      <c r="BM103" s="215">
        <f t="shared" si="46"/>
        <v>285000</v>
      </c>
      <c r="BN103" s="175">
        <f t="shared" si="47"/>
        <v>0</v>
      </c>
      <c r="BO103" s="213">
        <v>200000</v>
      </c>
      <c r="BP103" s="175">
        <f>IF(OR(AT103="스케줄",AT103="스케줄_파라"),ROUNDUP(VLOOKUP(AD103,'[2]스케줄 분석_20260109'!$B$3:$Y$20,23,FALSE)*(VLOOKUP(AD103,'[2]스케줄 분석_20260109'!$B$3:$Y$20,21,FALSE)/VLOOKUP(AD103,'[2]스케줄 분석_20260109'!$B$3:$Y$20,20,FALSE))*VLOOKUP(AD103,'[2]스케줄 분석_20260109'!$B$3:$Y$20,22,FALSE)*VLOOKUP(AD103,'[2]스케줄 분석_20260109'!$B$3:$Y$20,2,FALSE)*1.5*BI103,0),0)</f>
        <v>0</v>
      </c>
      <c r="BQ103" s="217" t="str">
        <f t="shared" si="48"/>
        <v>적합</v>
      </c>
      <c r="BR103" s="213"/>
      <c r="BS103" s="218">
        <f t="shared" si="49"/>
        <v>506602.8</v>
      </c>
      <c r="BT103" s="219">
        <f t="shared" si="50"/>
        <v>2974216.9</v>
      </c>
      <c r="BU103" s="175">
        <f t="shared" si="51"/>
        <v>1557240</v>
      </c>
      <c r="BV103" s="175">
        <f t="shared" si="52"/>
        <v>1335305.4336000001</v>
      </c>
      <c r="BW103" s="175">
        <f t="shared" si="53"/>
        <v>508152</v>
      </c>
      <c r="BX103" s="175">
        <f t="shared" si="54"/>
        <v>216374.39999999999</v>
      </c>
      <c r="BY103" s="213">
        <f t="shared" si="42"/>
        <v>3665000</v>
      </c>
      <c r="BZ103" s="220">
        <f t="shared" si="55"/>
        <v>38664819.699999996</v>
      </c>
      <c r="CA103" s="213">
        <f t="shared" si="56"/>
        <v>3617071.8336</v>
      </c>
      <c r="CB103" s="221">
        <f t="shared" si="57"/>
        <v>43980000</v>
      </c>
      <c r="CC103" s="222">
        <f t="shared" si="58"/>
        <v>9264000</v>
      </c>
      <c r="CD103" s="223">
        <f t="shared" si="41"/>
        <v>17.399143565472166</v>
      </c>
      <c r="CE103" s="275"/>
      <c r="CF103" s="275"/>
      <c r="CG103" s="23"/>
      <c r="CH103" s="23"/>
      <c r="CI103" s="78"/>
      <c r="CJ103" s="78"/>
      <c r="CK103" s="187"/>
      <c r="CL103" s="188"/>
      <c r="CM103" s="78"/>
      <c r="CN103" s="78"/>
      <c r="CO103" s="78"/>
      <c r="CP103" s="78"/>
      <c r="CQ103" s="78"/>
      <c r="CR103" s="78"/>
      <c r="CS103" s="78"/>
      <c r="CT103" s="78"/>
      <c r="CU103" s="78"/>
      <c r="CV103" s="78"/>
      <c r="CW103" s="78"/>
      <c r="CX103" s="78"/>
      <c r="CY103" s="78"/>
      <c r="CZ103" s="78"/>
      <c r="DA103" s="78"/>
      <c r="DB103" s="78"/>
      <c r="DC103" s="78"/>
      <c r="DD103" s="78"/>
      <c r="DE103" s="78"/>
      <c r="DF103" s="78"/>
      <c r="DG103" s="78"/>
      <c r="DH103" s="78"/>
      <c r="DI103" s="78"/>
      <c r="DJ103" s="78"/>
      <c r="DK103" s="78"/>
      <c r="DL103" s="78"/>
      <c r="DM103" s="78"/>
    </row>
    <row r="104" spans="1:117" s="77" customFormat="1" ht="17.25" customHeight="1">
      <c r="A104" s="23">
        <f t="shared" si="38"/>
        <v>101</v>
      </c>
      <c r="B104" s="23" t="s">
        <v>439</v>
      </c>
      <c r="C104" s="190">
        <v>2020030</v>
      </c>
      <c r="D104" s="194" t="s">
        <v>455</v>
      </c>
      <c r="E104" s="227" t="s">
        <v>456</v>
      </c>
      <c r="F104" s="227" t="s">
        <v>1540</v>
      </c>
      <c r="G104" s="23" t="s">
        <v>1400</v>
      </c>
      <c r="H104" s="227" t="s">
        <v>1541</v>
      </c>
      <c r="I104" s="227" t="s">
        <v>414</v>
      </c>
      <c r="J104" s="194" t="s">
        <v>207</v>
      </c>
      <c r="K104" s="79" t="s">
        <v>1401</v>
      </c>
      <c r="L104" s="227" t="s">
        <v>1542</v>
      </c>
      <c r="M104" s="227" t="s">
        <v>1543</v>
      </c>
      <c r="N104" s="228" t="s">
        <v>1544</v>
      </c>
      <c r="O104" t="s">
        <v>1545</v>
      </c>
      <c r="P104" s="229" t="s">
        <v>1546</v>
      </c>
      <c r="Q104" s="214">
        <v>43965</v>
      </c>
      <c r="R104" s="214">
        <v>43965</v>
      </c>
      <c r="S104" s="214"/>
      <c r="T104" s="231" t="s">
        <v>1547</v>
      </c>
      <c r="U104" s="231" t="s">
        <v>1548</v>
      </c>
      <c r="V104" s="201" t="s">
        <v>394</v>
      </c>
      <c r="W104" s="201"/>
      <c r="X104" s="201"/>
      <c r="Y104" s="201"/>
      <c r="Z104" s="203">
        <f t="shared" ca="1" si="43"/>
        <v>2196</v>
      </c>
      <c r="AA104" s="203">
        <f t="shared" ca="1" si="39"/>
        <v>2196</v>
      </c>
      <c r="AB104" s="232"/>
      <c r="AC104" s="232"/>
      <c r="AD104" s="78" t="s">
        <v>1549</v>
      </c>
      <c r="AE104" s="78" t="s">
        <v>190</v>
      </c>
      <c r="AF104" s="78" t="s">
        <v>263</v>
      </c>
      <c r="AG104" s="78" t="s">
        <v>263</v>
      </c>
      <c r="AH104" s="23" t="s">
        <v>161</v>
      </c>
      <c r="AI104" s="23" t="s">
        <v>465</v>
      </c>
      <c r="AJ104" s="23" t="s">
        <v>466</v>
      </c>
      <c r="AK104" s="233" t="s">
        <v>467</v>
      </c>
      <c r="AL104" s="78" t="s">
        <v>468</v>
      </c>
      <c r="AM104" s="206" t="s">
        <v>1550</v>
      </c>
      <c r="AN104" s="207" t="s">
        <v>1551</v>
      </c>
      <c r="AO104" s="78" t="s">
        <v>222</v>
      </c>
      <c r="AP104" s="201" t="s">
        <v>1552</v>
      </c>
      <c r="AQ104" s="201" t="s">
        <v>433</v>
      </c>
      <c r="AR104" s="201"/>
      <c r="AS104" s="209" t="s">
        <v>473</v>
      </c>
      <c r="AT104" s="23" t="s">
        <v>434</v>
      </c>
      <c r="AU104" s="23" t="s">
        <v>435</v>
      </c>
      <c r="AV104" s="210" t="s">
        <v>454</v>
      </c>
      <c r="AW104" s="211">
        <v>4078000</v>
      </c>
      <c r="AX104" s="175">
        <v>4078000</v>
      </c>
      <c r="AY104" s="212">
        <v>12</v>
      </c>
      <c r="AZ104" s="213">
        <f t="shared" si="40"/>
        <v>48936000</v>
      </c>
      <c r="BA104" s="78"/>
      <c r="BB104" s="78"/>
      <c r="BC104" s="214">
        <v>45839</v>
      </c>
      <c r="BD104" s="215">
        <v>31585080</v>
      </c>
      <c r="BE104" s="215">
        <v>32352000</v>
      </c>
      <c r="BF104" s="215">
        <f t="shared" si="44"/>
        <v>32352000</v>
      </c>
      <c r="BG104" s="215">
        <f t="shared" si="45"/>
        <v>2696000</v>
      </c>
      <c r="BH104" s="215">
        <v>1854500</v>
      </c>
      <c r="BI104" s="216">
        <f t="shared" si="59"/>
        <v>13024.6</v>
      </c>
      <c r="BJ104" s="216">
        <f>IF(AT104="통상",209,VLOOKUP(AD104,'[2]스케줄 분석_20260109'!$B$3:$F$20,5,FALSE))</f>
        <v>157.74</v>
      </c>
      <c r="BK104" s="216">
        <f>IF(AT104="통상",15,VLOOKUP(AD104,'[2]스케줄 분석_20260109'!$B$3:$P$20,10,FALSE))</f>
        <v>32.590000000000003</v>
      </c>
      <c r="BL104" s="216">
        <f>IF(AT104="통상",0,VLOOKUP(AD104,'[2]스케줄 분석_20260109'!$B$3:$P$20,11,FALSE))</f>
        <v>65.900000000000006</v>
      </c>
      <c r="BM104" s="215">
        <f t="shared" si="46"/>
        <v>212300</v>
      </c>
      <c r="BN104" s="175">
        <f t="shared" si="47"/>
        <v>429200</v>
      </c>
      <c r="BO104" s="213">
        <v>200000</v>
      </c>
      <c r="BP104" s="175">
        <f>IF(OR(AT104="스케줄",AT104="스케줄_파라"),ROUNDUP(VLOOKUP(AD104,'[2]스케줄 분석_20260109'!$B$3:$Y$20,23,FALSE)*(VLOOKUP(AD104,'[2]스케줄 분석_20260109'!$B$3:$Y$20,21,FALSE)/VLOOKUP(AD104,'[2]스케줄 분석_20260109'!$B$3:$Y$20,20,FALSE))*VLOOKUP(AD104,'[2]스케줄 분석_20260109'!$B$3:$Y$20,22,FALSE)*VLOOKUP(AD104,'[2]스케줄 분석_20260109'!$B$3:$Y$20,2,FALSE)*1.5*BI104,0),0)</f>
        <v>3145441</v>
      </c>
      <c r="BQ104" s="217" t="str">
        <f t="shared" si="48"/>
        <v>적합</v>
      </c>
      <c r="BR104" s="213"/>
      <c r="BS104" s="218">
        <f t="shared" si="49"/>
        <v>1302460</v>
      </c>
      <c r="BT104" s="219">
        <f t="shared" si="50"/>
        <v>2804538.3333333335</v>
      </c>
      <c r="BU104" s="175">
        <f t="shared" si="51"/>
        <v>1422720</v>
      </c>
      <c r="BV104" s="175">
        <f t="shared" si="52"/>
        <v>1219956.9408</v>
      </c>
      <c r="BW104" s="175">
        <f t="shared" si="53"/>
        <v>464256</v>
      </c>
      <c r="BX104" s="175">
        <f t="shared" si="54"/>
        <v>197683.20000000001</v>
      </c>
      <c r="BY104" s="213">
        <f t="shared" si="42"/>
        <v>3370000</v>
      </c>
      <c r="BZ104" s="220">
        <f t="shared" si="55"/>
        <v>36458998.333333336</v>
      </c>
      <c r="CA104" s="213">
        <f t="shared" si="56"/>
        <v>3304616.1408000002</v>
      </c>
      <c r="CB104" s="221">
        <f t="shared" si="57"/>
        <v>40440000</v>
      </c>
      <c r="CC104" s="222">
        <f t="shared" si="58"/>
        <v>4690016.3900000006</v>
      </c>
      <c r="CD104" s="223">
        <f t="shared" si="41"/>
        <v>9.5839798716691202</v>
      </c>
      <c r="CE104" s="258"/>
      <c r="CF104" s="258"/>
      <c r="CG104" s="23"/>
      <c r="CH104" s="23"/>
      <c r="CI104" s="78"/>
      <c r="CJ104" s="111"/>
      <c r="CK104" s="187"/>
      <c r="CL104" s="188"/>
      <c r="CM104" s="111"/>
      <c r="CN104" s="111"/>
      <c r="CO104" s="111"/>
      <c r="CP104" s="111"/>
      <c r="CQ104" s="111"/>
      <c r="CR104" s="111"/>
      <c r="CS104" s="111"/>
      <c r="CT104" s="111"/>
      <c r="CU104" s="111"/>
      <c r="CV104" s="111"/>
      <c r="CW104" s="111"/>
      <c r="CX104" s="111"/>
      <c r="CY104" s="111"/>
      <c r="CZ104" s="111"/>
      <c r="DA104" s="111"/>
      <c r="DB104" s="111"/>
      <c r="DC104" s="111"/>
      <c r="DD104" s="111"/>
      <c r="DE104" s="111"/>
      <c r="DF104" s="111"/>
      <c r="DG104" s="111"/>
      <c r="DH104" s="111"/>
      <c r="DI104" s="111"/>
      <c r="DJ104" s="111"/>
      <c r="DK104" s="111"/>
      <c r="DL104" s="210"/>
      <c r="DM104" s="210"/>
    </row>
    <row r="105" spans="1:117" s="77" customFormat="1" ht="17.25" customHeight="1">
      <c r="A105" s="23">
        <f t="shared" si="38"/>
        <v>102</v>
      </c>
      <c r="B105" s="23" t="s">
        <v>439</v>
      </c>
      <c r="C105" s="190">
        <v>2020033</v>
      </c>
      <c r="D105" s="194" t="s">
        <v>541</v>
      </c>
      <c r="E105" s="227" t="s">
        <v>1553</v>
      </c>
      <c r="F105" s="227" t="s">
        <v>1554</v>
      </c>
      <c r="G105" s="23" t="s">
        <v>1400</v>
      </c>
      <c r="H105" s="227" t="s">
        <v>826</v>
      </c>
      <c r="I105" s="227" t="s">
        <v>741</v>
      </c>
      <c r="J105" s="194" t="s">
        <v>178</v>
      </c>
      <c r="K105" s="79" t="s">
        <v>708</v>
      </c>
      <c r="L105" s="227" t="s">
        <v>1555</v>
      </c>
      <c r="M105" s="227"/>
      <c r="N105" s="228" t="s">
        <v>1556</v>
      </c>
      <c r="O105" t="s">
        <v>1557</v>
      </c>
      <c r="P105" s="229" t="s">
        <v>1558</v>
      </c>
      <c r="Q105" s="214">
        <v>43976</v>
      </c>
      <c r="R105" s="214">
        <v>43976</v>
      </c>
      <c r="S105" s="214"/>
      <c r="T105" s="231" t="s">
        <v>1547</v>
      </c>
      <c r="U105" s="231" t="s">
        <v>1559</v>
      </c>
      <c r="V105" s="201" t="s">
        <v>394</v>
      </c>
      <c r="W105" s="201"/>
      <c r="X105" s="201"/>
      <c r="Y105" s="201"/>
      <c r="Z105" s="203">
        <f t="shared" ca="1" si="43"/>
        <v>2185</v>
      </c>
      <c r="AA105" s="203">
        <f t="shared" ca="1" si="39"/>
        <v>2185</v>
      </c>
      <c r="AB105" s="232"/>
      <c r="AC105" s="232"/>
      <c r="AD105" s="78" t="s">
        <v>714</v>
      </c>
      <c r="AE105" s="78" t="s">
        <v>217</v>
      </c>
      <c r="AF105" s="78" t="s">
        <v>160</v>
      </c>
      <c r="AG105" s="78" t="s">
        <v>160</v>
      </c>
      <c r="AH105" s="23" t="s">
        <v>161</v>
      </c>
      <c r="AI105" s="23" t="s">
        <v>1560</v>
      </c>
      <c r="AJ105" s="23" t="s">
        <v>483</v>
      </c>
      <c r="AK105" s="23">
        <v>13486</v>
      </c>
      <c r="AL105" s="78" t="s">
        <v>163</v>
      </c>
      <c r="AM105" s="269" t="s">
        <v>1561</v>
      </c>
      <c r="AN105" s="79" t="s">
        <v>1562</v>
      </c>
      <c r="AO105" s="78" t="s">
        <v>166</v>
      </c>
      <c r="AP105" s="78" t="s">
        <v>1075</v>
      </c>
      <c r="AQ105" s="201" t="s">
        <v>1076</v>
      </c>
      <c r="AR105" s="201" t="s">
        <v>1563</v>
      </c>
      <c r="AS105" s="209" t="s">
        <v>488</v>
      </c>
      <c r="AT105" s="23" t="s">
        <v>201</v>
      </c>
      <c r="AU105" s="23" t="s">
        <v>435</v>
      </c>
      <c r="AV105" s="210" t="s">
        <v>454</v>
      </c>
      <c r="AW105" s="211">
        <v>4896000</v>
      </c>
      <c r="AX105" s="175">
        <v>4896000</v>
      </c>
      <c r="AY105" s="212">
        <v>12</v>
      </c>
      <c r="AZ105" s="213">
        <f t="shared" si="40"/>
        <v>58752000</v>
      </c>
      <c r="BA105" s="78"/>
      <c r="BB105" s="78"/>
      <c r="BC105" s="214">
        <v>45839</v>
      </c>
      <c r="BD105" s="235">
        <v>34008000</v>
      </c>
      <c r="BE105" s="215">
        <v>35088000</v>
      </c>
      <c r="BF105" s="215">
        <f t="shared" si="44"/>
        <v>35088000</v>
      </c>
      <c r="BG105" s="215">
        <f t="shared" si="45"/>
        <v>2924000</v>
      </c>
      <c r="BH105" s="215">
        <v>2439800</v>
      </c>
      <c r="BI105" s="216">
        <f t="shared" si="59"/>
        <v>12630.62</v>
      </c>
      <c r="BJ105" s="216">
        <f>IF(AT105="통상",209,VLOOKUP(AD105,'[2]스케줄 분석_20260109'!$B$3:$F$20,5,FALSE))</f>
        <v>209</v>
      </c>
      <c r="BK105" s="216">
        <f>IF(AT105="통상",15,VLOOKUP(AD105,'[2]스케줄 분석_20260109'!$B$3:$P$20,10,FALSE))</f>
        <v>15</v>
      </c>
      <c r="BL105" s="216">
        <f>IF(AT105="통상",0,VLOOKUP(AD105,'[2]스케줄 분석_20260109'!$B$3:$P$20,11,FALSE))</f>
        <v>0</v>
      </c>
      <c r="BM105" s="215">
        <f t="shared" si="46"/>
        <v>284200</v>
      </c>
      <c r="BN105" s="175">
        <f t="shared" si="47"/>
        <v>0</v>
      </c>
      <c r="BO105" s="213">
        <v>200000</v>
      </c>
      <c r="BP105" s="175">
        <f>IF(OR(AT105="스케줄",AT105="스케줄_파라"),ROUNDUP(VLOOKUP(AD105,'[2]스케줄 분석_20260109'!$B$3:$Y$20,23,FALSE)*(VLOOKUP(AD105,'[2]스케줄 분석_20260109'!$B$3:$Y$20,21,FALSE)/VLOOKUP(AD105,'[2]스케줄 분석_20260109'!$B$3:$Y$20,20,FALSE))*VLOOKUP(AD105,'[2]스케줄 분석_20260109'!$B$3:$Y$20,22,FALSE)*VLOOKUP(AD105,'[2]스케줄 분석_20260109'!$B$3:$Y$20,2,FALSE)*1.5*BI105,0),0)</f>
        <v>0</v>
      </c>
      <c r="BQ105" s="217" t="str">
        <f t="shared" si="48"/>
        <v>적합</v>
      </c>
      <c r="BR105" s="213"/>
      <c r="BS105" s="218">
        <f t="shared" si="49"/>
        <v>505224.80000000005</v>
      </c>
      <c r="BT105" s="219">
        <f t="shared" si="50"/>
        <v>2966102.0666666669</v>
      </c>
      <c r="BU105" s="175">
        <f t="shared" si="51"/>
        <v>1552680</v>
      </c>
      <c r="BV105" s="175">
        <f t="shared" si="52"/>
        <v>1331395.3152000001</v>
      </c>
      <c r="BW105" s="175">
        <f t="shared" si="53"/>
        <v>506664</v>
      </c>
      <c r="BX105" s="175">
        <f t="shared" si="54"/>
        <v>215740.79999999999</v>
      </c>
      <c r="BY105" s="213">
        <f t="shared" si="42"/>
        <v>3655000</v>
      </c>
      <c r="BZ105" s="220">
        <f t="shared" si="55"/>
        <v>38559326.866666667</v>
      </c>
      <c r="CA105" s="213">
        <f t="shared" si="56"/>
        <v>3606480.1151999999</v>
      </c>
      <c r="CB105" s="221">
        <f t="shared" si="57"/>
        <v>43860000</v>
      </c>
      <c r="CC105" s="222">
        <f t="shared" si="58"/>
        <v>14892000</v>
      </c>
      <c r="CD105" s="223">
        <f t="shared" si="41"/>
        <v>25.347222222222221</v>
      </c>
      <c r="CE105" s="273">
        <v>44737</v>
      </c>
      <c r="CF105" s="273"/>
      <c r="CG105" s="23"/>
      <c r="CH105" s="23"/>
      <c r="CI105" s="78"/>
      <c r="CJ105" s="78"/>
      <c r="CK105" s="187"/>
      <c r="CL105" s="188"/>
      <c r="CM105" s="78"/>
      <c r="CN105" s="78"/>
      <c r="CO105" s="78"/>
      <c r="CP105" s="78"/>
      <c r="CQ105" s="78"/>
      <c r="CR105" s="78"/>
      <c r="CS105" s="78"/>
      <c r="CT105" s="78"/>
      <c r="CU105" s="78"/>
      <c r="CV105" s="78"/>
      <c r="CW105" s="78"/>
      <c r="CX105" s="78"/>
      <c r="CY105" s="78"/>
      <c r="CZ105" s="78"/>
      <c r="DA105" s="78"/>
      <c r="DB105" s="78"/>
      <c r="DC105" s="78"/>
      <c r="DD105" s="78"/>
      <c r="DE105" s="78"/>
      <c r="DF105" s="78"/>
      <c r="DG105" s="78"/>
      <c r="DH105" s="78"/>
      <c r="DI105" s="78"/>
      <c r="DJ105" s="78"/>
      <c r="DK105" s="78"/>
      <c r="DL105" s="78"/>
      <c r="DM105" s="78"/>
    </row>
    <row r="106" spans="1:117" s="77" customFormat="1" ht="17.25" customHeight="1">
      <c r="A106" s="23">
        <f t="shared" si="38"/>
        <v>103</v>
      </c>
      <c r="B106" s="23" t="s">
        <v>248</v>
      </c>
      <c r="C106" s="190">
        <v>2020043</v>
      </c>
      <c r="D106" s="194" t="s">
        <v>655</v>
      </c>
      <c r="E106" s="227" t="s">
        <v>656</v>
      </c>
      <c r="F106" s="227" t="s">
        <v>1564</v>
      </c>
      <c r="G106" s="23" t="s">
        <v>1192</v>
      </c>
      <c r="H106" s="227" t="s">
        <v>992</v>
      </c>
      <c r="I106" s="227" t="s">
        <v>741</v>
      </c>
      <c r="J106" s="194" t="s">
        <v>207</v>
      </c>
      <c r="K106" s="79" t="s">
        <v>841</v>
      </c>
      <c r="L106" s="227" t="s">
        <v>1565</v>
      </c>
      <c r="M106" s="227"/>
      <c r="N106" s="276" t="s">
        <v>1566</v>
      </c>
      <c r="O106" t="s">
        <v>1567</v>
      </c>
      <c r="P106" s="229" t="s">
        <v>1568</v>
      </c>
      <c r="Q106" s="214">
        <v>44032</v>
      </c>
      <c r="R106" s="214">
        <v>44032</v>
      </c>
      <c r="S106" s="214"/>
      <c r="T106" s="231" t="s">
        <v>1569</v>
      </c>
      <c r="U106" s="201"/>
      <c r="V106" s="201" t="s">
        <v>215</v>
      </c>
      <c r="W106" s="231" t="s">
        <v>1570</v>
      </c>
      <c r="X106" s="200"/>
      <c r="Y106" s="200"/>
      <c r="Z106" s="203">
        <f t="shared" ca="1" si="43"/>
        <v>2129</v>
      </c>
      <c r="AA106" s="203">
        <f t="shared" ca="1" si="39"/>
        <v>2129</v>
      </c>
      <c r="AB106" s="232"/>
      <c r="AC106" s="232"/>
      <c r="AD106" s="78" t="s">
        <v>675</v>
      </c>
      <c r="AE106" s="78" t="s">
        <v>217</v>
      </c>
      <c r="AF106" s="78" t="s">
        <v>160</v>
      </c>
      <c r="AG106" s="78" t="s">
        <v>160</v>
      </c>
      <c r="AH106" s="23" t="s">
        <v>161</v>
      </c>
      <c r="AI106" s="23" t="s">
        <v>1560</v>
      </c>
      <c r="AJ106" s="23" t="s">
        <v>483</v>
      </c>
      <c r="AK106" s="23">
        <v>13486</v>
      </c>
      <c r="AL106" s="78" t="s">
        <v>163</v>
      </c>
      <c r="AM106" s="206" t="s">
        <v>1561</v>
      </c>
      <c r="AN106" s="207" t="s">
        <v>1571</v>
      </c>
      <c r="AO106" s="78" t="s">
        <v>166</v>
      </c>
      <c r="AP106" s="78" t="s">
        <v>1143</v>
      </c>
      <c r="AQ106" s="201" t="s">
        <v>1144</v>
      </c>
      <c r="AR106" s="201"/>
      <c r="AS106" s="209" t="s">
        <v>488</v>
      </c>
      <c r="AT106" s="23" t="s">
        <v>434</v>
      </c>
      <c r="AU106" s="23" t="s">
        <v>435</v>
      </c>
      <c r="AV106" s="210" t="s">
        <v>454</v>
      </c>
      <c r="AW106" s="211">
        <v>4466000</v>
      </c>
      <c r="AX106" s="175">
        <v>4466000</v>
      </c>
      <c r="AY106" s="212">
        <v>12</v>
      </c>
      <c r="AZ106" s="213">
        <f t="shared" si="40"/>
        <v>53592000</v>
      </c>
      <c r="BA106" s="251"/>
      <c r="BB106" s="251"/>
      <c r="BC106" s="214">
        <v>45839</v>
      </c>
      <c r="BD106" s="215">
        <v>34058520</v>
      </c>
      <c r="BE106" s="215">
        <v>35258400</v>
      </c>
      <c r="BF106" s="215">
        <f t="shared" si="44"/>
        <v>35258400</v>
      </c>
      <c r="BG106" s="215">
        <f t="shared" si="45"/>
        <v>2938200</v>
      </c>
      <c r="BH106" s="215">
        <v>2335000</v>
      </c>
      <c r="BI106" s="216">
        <f t="shared" si="59"/>
        <v>13254.21</v>
      </c>
      <c r="BJ106" s="216">
        <f>IF(AT106="통상",209,VLOOKUP(AD106,'[2]스케줄 분석_20260109'!$B$3:$F$20,5,FALSE))</f>
        <v>191.26</v>
      </c>
      <c r="BK106" s="216">
        <f>IF(AT106="통상",15,VLOOKUP(AD106,'[2]스케줄 분석_20260109'!$B$3:$P$20,10,FALSE))</f>
        <v>27.88</v>
      </c>
      <c r="BL106" s="216">
        <f>IF(AT106="통상",0,VLOOKUP(AD106,'[2]스케줄 분석_20260109'!$B$3:$P$20,11,FALSE))</f>
        <v>32.950000000000003</v>
      </c>
      <c r="BM106" s="215">
        <f t="shared" si="46"/>
        <v>184800</v>
      </c>
      <c r="BN106" s="175">
        <f t="shared" si="47"/>
        <v>218400</v>
      </c>
      <c r="BO106" s="213">
        <v>200000</v>
      </c>
      <c r="BP106" s="175">
        <f>IF(OR(AT106="스케줄",AT106="스케줄_파라"),ROUNDUP(VLOOKUP(AD106,'[2]스케줄 분석_20260109'!$B$3:$Y$20,23,FALSE)*(VLOOKUP(AD106,'[2]스케줄 분석_20260109'!$B$3:$Y$20,21,FALSE)/VLOOKUP(AD106,'[2]스케줄 분석_20260109'!$B$3:$Y$20,20,FALSE))*VLOOKUP(AD106,'[2]스케줄 분석_20260109'!$B$3:$Y$20,22,FALSE)*VLOOKUP(AD106,'[2]스케줄 분석_20260109'!$B$3:$Y$20,2,FALSE)*1.5*BI106,0),0)</f>
        <v>762510</v>
      </c>
      <c r="BQ106" s="217" t="str">
        <f t="shared" si="48"/>
        <v>적합</v>
      </c>
      <c r="BR106" s="253">
        <v>250000</v>
      </c>
      <c r="BS106" s="218">
        <f t="shared" si="49"/>
        <v>1325421</v>
      </c>
      <c r="BT106" s="219">
        <f t="shared" si="50"/>
        <v>3048651.75</v>
      </c>
      <c r="BU106" s="175">
        <f t="shared" si="51"/>
        <v>1560774</v>
      </c>
      <c r="BV106" s="175">
        <f t="shared" si="52"/>
        <v>1338335.7753599999</v>
      </c>
      <c r="BW106" s="175">
        <f t="shared" si="53"/>
        <v>509305.2</v>
      </c>
      <c r="BX106" s="175">
        <f t="shared" si="54"/>
        <v>216865.44</v>
      </c>
      <c r="BY106" s="213">
        <f t="shared" si="42"/>
        <v>3672750</v>
      </c>
      <c r="BZ106" s="220">
        <f t="shared" si="55"/>
        <v>39632472.75</v>
      </c>
      <c r="CA106" s="213">
        <f t="shared" si="56"/>
        <v>3625280.41536</v>
      </c>
      <c r="CB106" s="221">
        <f t="shared" si="57"/>
        <v>44073000</v>
      </c>
      <c r="CC106" s="222">
        <f t="shared" si="58"/>
        <v>8596362.9000000004</v>
      </c>
      <c r="CD106" s="223">
        <f t="shared" si="41"/>
        <v>16.040384572324228</v>
      </c>
      <c r="CE106" s="258">
        <v>44820</v>
      </c>
      <c r="CF106" s="258"/>
      <c r="CG106" s="23"/>
      <c r="CH106" s="23"/>
      <c r="CI106" s="78"/>
      <c r="CJ106" s="78"/>
      <c r="CK106" s="187"/>
      <c r="CL106" s="188"/>
      <c r="CM106" s="78"/>
      <c r="CN106" s="78"/>
      <c r="CO106" s="78"/>
      <c r="CP106" s="78"/>
      <c r="CQ106" s="78"/>
      <c r="CR106" s="78"/>
      <c r="CS106" s="78"/>
      <c r="CT106" s="78"/>
      <c r="CU106" s="78"/>
      <c r="CV106" s="78"/>
      <c r="CW106" s="78"/>
      <c r="CX106" s="78"/>
      <c r="CY106" s="78"/>
      <c r="CZ106" s="78"/>
      <c r="DA106" s="78"/>
      <c r="DB106" s="78"/>
      <c r="DC106" s="78"/>
      <c r="DD106" s="78"/>
      <c r="DE106" s="78"/>
      <c r="DF106" s="78"/>
      <c r="DG106" s="78"/>
      <c r="DH106" s="78"/>
      <c r="DI106" s="78"/>
      <c r="DJ106" s="78"/>
      <c r="DK106" s="78"/>
      <c r="DL106" s="78"/>
      <c r="DM106" s="78"/>
    </row>
    <row r="107" spans="1:117" s="77" customFormat="1" ht="17.25" customHeight="1">
      <c r="A107" s="23">
        <f t="shared" si="38"/>
        <v>104</v>
      </c>
      <c r="B107" s="23" t="s">
        <v>439</v>
      </c>
      <c r="C107" s="190">
        <v>2020070</v>
      </c>
      <c r="D107" s="194" t="s">
        <v>1007</v>
      </c>
      <c r="E107" s="227" t="s">
        <v>1008</v>
      </c>
      <c r="F107" s="227" t="s">
        <v>1572</v>
      </c>
      <c r="G107" s="23" t="s">
        <v>1010</v>
      </c>
      <c r="H107" s="227" t="s">
        <v>1167</v>
      </c>
      <c r="I107" s="227" t="s">
        <v>741</v>
      </c>
      <c r="J107" s="194" t="s">
        <v>178</v>
      </c>
      <c r="K107" s="79" t="s">
        <v>1401</v>
      </c>
      <c r="L107" s="227" t="s">
        <v>1573</v>
      </c>
      <c r="M107" s="227"/>
      <c r="N107" s="228" t="s">
        <v>1574</v>
      </c>
      <c r="O107" t="s">
        <v>1575</v>
      </c>
      <c r="P107" s="229" t="s">
        <v>1576</v>
      </c>
      <c r="Q107" s="214">
        <v>43318</v>
      </c>
      <c r="R107" s="214">
        <v>43318</v>
      </c>
      <c r="S107" s="214">
        <v>44105</v>
      </c>
      <c r="T107" s="231" t="s">
        <v>1577</v>
      </c>
      <c r="U107" s="231" t="s">
        <v>1578</v>
      </c>
      <c r="V107" s="201" t="s">
        <v>394</v>
      </c>
      <c r="W107" s="231" t="s">
        <v>684</v>
      </c>
      <c r="X107" s="201"/>
      <c r="Y107" s="201"/>
      <c r="Z107" s="203">
        <v>1998</v>
      </c>
      <c r="AA107" s="203">
        <v>1998</v>
      </c>
      <c r="AB107" s="232"/>
      <c r="AC107" s="232"/>
      <c r="AD107" s="78" t="s">
        <v>1470</v>
      </c>
      <c r="AE107" s="78" t="s">
        <v>833</v>
      </c>
      <c r="AF107" s="78" t="s">
        <v>191</v>
      </c>
      <c r="AG107" s="78" t="s">
        <v>191</v>
      </c>
      <c r="AH107" s="23" t="s">
        <v>161</v>
      </c>
      <c r="AI107" s="23" t="s">
        <v>1021</v>
      </c>
      <c r="AJ107" s="23" t="s">
        <v>1008</v>
      </c>
      <c r="AK107" s="23" t="s">
        <v>1022</v>
      </c>
      <c r="AL107" s="78" t="s">
        <v>1175</v>
      </c>
      <c r="AM107" s="227">
        <v>28668</v>
      </c>
      <c r="AN107" s="79" t="s">
        <v>1579</v>
      </c>
      <c r="AO107" s="78" t="s">
        <v>401</v>
      </c>
      <c r="AP107" s="78" t="s">
        <v>1025</v>
      </c>
      <c r="AQ107" s="201" t="s">
        <v>433</v>
      </c>
      <c r="AR107" s="201"/>
      <c r="AS107" s="209" t="s">
        <v>1006</v>
      </c>
      <c r="AT107" s="23" t="s">
        <v>434</v>
      </c>
      <c r="AU107" s="23" t="s">
        <v>435</v>
      </c>
      <c r="AV107" s="210" t="s">
        <v>454</v>
      </c>
      <c r="AW107" s="211">
        <v>4179000</v>
      </c>
      <c r="AX107" s="175">
        <v>4179000</v>
      </c>
      <c r="AY107" s="212">
        <v>12</v>
      </c>
      <c r="AZ107" s="213">
        <f t="shared" si="40"/>
        <v>50148000</v>
      </c>
      <c r="BA107" s="78"/>
      <c r="BB107" s="78"/>
      <c r="BC107" s="214">
        <v>45839</v>
      </c>
      <c r="BD107" s="215">
        <v>30720840</v>
      </c>
      <c r="BE107" s="215">
        <v>31918800</v>
      </c>
      <c r="BF107" s="215">
        <f t="shared" si="44"/>
        <v>31918800</v>
      </c>
      <c r="BG107" s="215">
        <f t="shared" si="45"/>
        <v>2659900</v>
      </c>
      <c r="BH107" s="215">
        <v>2130800</v>
      </c>
      <c r="BI107" s="216">
        <f t="shared" si="59"/>
        <v>11880.32</v>
      </c>
      <c r="BJ107" s="216">
        <f>IF(AT107="통상",209,VLOOKUP(AD107,'[2]스케줄 분석_20260109'!$B$3:$F$20,5,FALSE))</f>
        <v>196.19</v>
      </c>
      <c r="BK107" s="216">
        <f>IF(AT107="통상",15,VLOOKUP(AD107,'[2]스케줄 분석_20260109'!$B$3:$P$20,10,FALSE))</f>
        <v>2.17</v>
      </c>
      <c r="BL107" s="216">
        <f>IF(AT107="통상",0,VLOOKUP(AD107,'[2]스케줄 분석_20260109'!$B$3:$P$20,11,FALSE))</f>
        <v>53.23</v>
      </c>
      <c r="BM107" s="215">
        <f t="shared" si="46"/>
        <v>12900</v>
      </c>
      <c r="BN107" s="175">
        <f t="shared" si="47"/>
        <v>316200</v>
      </c>
      <c r="BO107" s="213">
        <v>200000</v>
      </c>
      <c r="BP107" s="175">
        <f>IF(OR(AT107="스케줄",AT107="스케줄_파라"),ROUNDUP(VLOOKUP(AD107,'[2]스케줄 분석_20260109'!$B$3:$Y$20,23,FALSE)*(VLOOKUP(AD107,'[2]스케줄 분석_20260109'!$B$3:$Y$20,21,FALSE)/VLOOKUP(AD107,'[2]스케줄 분석_20260109'!$B$3:$Y$20,20,FALSE))*VLOOKUP(AD107,'[2]스케줄 분석_20260109'!$B$3:$Y$20,22,FALSE)*VLOOKUP(AD107,'[2]스케줄 분석_20260109'!$B$3:$Y$20,2,FALSE)*1.5*BI107,0),0)</f>
        <v>2151823</v>
      </c>
      <c r="BQ107" s="217" t="str">
        <f t="shared" si="48"/>
        <v>적합</v>
      </c>
      <c r="BR107" s="213"/>
      <c r="BS107" s="218">
        <f t="shared" si="49"/>
        <v>1188032</v>
      </c>
      <c r="BT107" s="219">
        <f t="shared" si="50"/>
        <v>2758902.6666666665</v>
      </c>
      <c r="BU107" s="175">
        <f t="shared" si="51"/>
        <v>1402143</v>
      </c>
      <c r="BV107" s="175">
        <f t="shared" si="52"/>
        <v>1202312.5315199997</v>
      </c>
      <c r="BW107" s="175">
        <f t="shared" si="53"/>
        <v>457541.4</v>
      </c>
      <c r="BX107" s="175">
        <f t="shared" si="54"/>
        <v>194824.08</v>
      </c>
      <c r="BY107" s="213">
        <f t="shared" si="42"/>
        <v>3324875</v>
      </c>
      <c r="BZ107" s="220">
        <f t="shared" si="55"/>
        <v>35865734.666666664</v>
      </c>
      <c r="CA107" s="213">
        <f t="shared" si="56"/>
        <v>3256821.0115199997</v>
      </c>
      <c r="CB107" s="221">
        <f t="shared" si="57"/>
        <v>39898500</v>
      </c>
      <c r="CC107" s="222">
        <f t="shared" si="58"/>
        <v>7645794.1699999999</v>
      </c>
      <c r="CD107" s="223">
        <f t="shared" si="41"/>
        <v>15.246458821887213</v>
      </c>
      <c r="CE107" s="258">
        <v>44119</v>
      </c>
      <c r="CF107" s="258"/>
      <c r="CG107" s="23"/>
      <c r="CH107" s="23"/>
      <c r="CI107" s="78"/>
      <c r="CJ107" s="78"/>
      <c r="CK107" s="187"/>
      <c r="CL107" s="188"/>
      <c r="CM107" s="78"/>
      <c r="CN107" s="78"/>
      <c r="CO107" s="78"/>
      <c r="CP107" s="78"/>
      <c r="CQ107" s="78"/>
      <c r="CR107" s="78"/>
      <c r="CS107" s="78"/>
      <c r="CT107" s="78"/>
      <c r="CU107" s="78"/>
      <c r="CV107" s="78"/>
      <c r="CW107" s="78"/>
      <c r="CX107" s="78"/>
      <c r="CY107" s="78"/>
      <c r="CZ107" s="78"/>
      <c r="DA107" s="78"/>
      <c r="DB107" s="78"/>
      <c r="DC107" s="78"/>
      <c r="DD107" s="78"/>
      <c r="DE107" s="78"/>
      <c r="DF107" s="78"/>
      <c r="DG107" s="78"/>
      <c r="DH107" s="78"/>
      <c r="DI107" s="78"/>
      <c r="DJ107" s="78"/>
      <c r="DK107" s="78"/>
      <c r="DL107" s="78"/>
      <c r="DM107" s="78"/>
    </row>
    <row r="108" spans="1:117" s="77" customFormat="1" ht="17.25" customHeight="1">
      <c r="A108" s="23">
        <f t="shared" si="38"/>
        <v>105</v>
      </c>
      <c r="B108" s="23" t="s">
        <v>439</v>
      </c>
      <c r="C108" s="190">
        <v>2020073</v>
      </c>
      <c r="D108" s="194" t="s">
        <v>1007</v>
      </c>
      <c r="E108" s="227" t="s">
        <v>1008</v>
      </c>
      <c r="F108" s="227" t="s">
        <v>1580</v>
      </c>
      <c r="G108" s="23" t="s">
        <v>1192</v>
      </c>
      <c r="H108" s="227" t="s">
        <v>1167</v>
      </c>
      <c r="I108" s="227" t="s">
        <v>741</v>
      </c>
      <c r="J108" s="194" t="s">
        <v>178</v>
      </c>
      <c r="K108" s="79" t="s">
        <v>1401</v>
      </c>
      <c r="L108" s="227" t="s">
        <v>1080</v>
      </c>
      <c r="M108" s="227"/>
      <c r="N108" s="277" t="s">
        <v>1581</v>
      </c>
      <c r="O108" t="s">
        <v>1582</v>
      </c>
      <c r="P108" s="229" t="s">
        <v>1583</v>
      </c>
      <c r="Q108" s="214">
        <v>43339</v>
      </c>
      <c r="R108" s="214">
        <v>43339</v>
      </c>
      <c r="S108" s="214">
        <v>44105</v>
      </c>
      <c r="T108" s="231" t="s">
        <v>1584</v>
      </c>
      <c r="U108" s="231" t="s">
        <v>1585</v>
      </c>
      <c r="V108" s="201" t="s">
        <v>278</v>
      </c>
      <c r="W108" s="201"/>
      <c r="X108" s="201"/>
      <c r="Y108" s="201"/>
      <c r="Z108" s="203">
        <f t="shared" ref="Z108:Z144" ca="1" si="60">IF(Q108&lt;&gt;"",$A$1-Q108,"")</f>
        <v>2822</v>
      </c>
      <c r="AA108" s="203">
        <f t="shared" ref="AA108:AA171" ca="1" si="61">$A$1-R108</f>
        <v>2822</v>
      </c>
      <c r="AB108" s="232"/>
      <c r="AC108" s="232"/>
      <c r="AD108" s="78" t="s">
        <v>1470</v>
      </c>
      <c r="AE108" s="78" t="s">
        <v>833</v>
      </c>
      <c r="AF108" s="78" t="s">
        <v>191</v>
      </c>
      <c r="AG108" s="78" t="s">
        <v>191</v>
      </c>
      <c r="AH108" s="23" t="s">
        <v>161</v>
      </c>
      <c r="AI108" s="23" t="s">
        <v>1021</v>
      </c>
      <c r="AJ108" s="23" t="s">
        <v>1008</v>
      </c>
      <c r="AK108" s="23" t="s">
        <v>1022</v>
      </c>
      <c r="AL108" s="78" t="s">
        <v>1175</v>
      </c>
      <c r="AM108" s="278">
        <v>28556</v>
      </c>
      <c r="AN108" s="279" t="s">
        <v>1586</v>
      </c>
      <c r="AO108" s="78" t="s">
        <v>401</v>
      </c>
      <c r="AP108" s="78" t="s">
        <v>1025</v>
      </c>
      <c r="AQ108" s="201" t="s">
        <v>433</v>
      </c>
      <c r="AR108" s="201"/>
      <c r="AS108" s="209" t="s">
        <v>1006</v>
      </c>
      <c r="AT108" s="23" t="s">
        <v>434</v>
      </c>
      <c r="AU108" s="23" t="s">
        <v>435</v>
      </c>
      <c r="AV108" s="210" t="s">
        <v>454</v>
      </c>
      <c r="AW108" s="211">
        <v>4179000</v>
      </c>
      <c r="AX108" s="175">
        <v>4179000</v>
      </c>
      <c r="AY108" s="212">
        <v>12</v>
      </c>
      <c r="AZ108" s="213">
        <f t="shared" si="40"/>
        <v>50148000</v>
      </c>
      <c r="BA108" s="78"/>
      <c r="BB108" s="78"/>
      <c r="BC108" s="214">
        <v>45839</v>
      </c>
      <c r="BD108" s="215">
        <v>30121080</v>
      </c>
      <c r="BE108" s="215">
        <v>30901200</v>
      </c>
      <c r="BF108" s="215">
        <f t="shared" si="44"/>
        <v>30901200</v>
      </c>
      <c r="BG108" s="215">
        <f t="shared" si="45"/>
        <v>2575100</v>
      </c>
      <c r="BH108" s="215">
        <v>2056400</v>
      </c>
      <c r="BI108" s="216">
        <f t="shared" si="59"/>
        <v>11501.1</v>
      </c>
      <c r="BJ108" s="216">
        <f>IF(AT108="통상",209,VLOOKUP(AD108,'[2]스케줄 분석_20260109'!$B$3:$F$20,5,FALSE))</f>
        <v>196.19</v>
      </c>
      <c r="BK108" s="216">
        <f>IF(AT108="통상",15,VLOOKUP(AD108,'[2]스케줄 분석_20260109'!$B$3:$P$20,10,FALSE))</f>
        <v>2.17</v>
      </c>
      <c r="BL108" s="216">
        <f>IF(AT108="통상",0,VLOOKUP(AD108,'[2]스케줄 분석_20260109'!$B$3:$P$20,11,FALSE))</f>
        <v>53.23</v>
      </c>
      <c r="BM108" s="215">
        <f t="shared" si="46"/>
        <v>12500</v>
      </c>
      <c r="BN108" s="175">
        <f t="shared" si="47"/>
        <v>306200</v>
      </c>
      <c r="BO108" s="213">
        <v>200000</v>
      </c>
      <c r="BP108" s="175">
        <f>IF(OR(AT108="스케줄",AT108="스케줄_파라"),ROUNDUP(VLOOKUP(AD108,'[2]스케줄 분석_20260109'!$B$3:$Y$20,23,FALSE)*(VLOOKUP(AD108,'[2]스케줄 분석_20260109'!$B$3:$Y$20,21,FALSE)/VLOOKUP(AD108,'[2]스케줄 분석_20260109'!$B$3:$Y$20,20,FALSE))*VLOOKUP(AD108,'[2]스케줄 분석_20260109'!$B$3:$Y$20,22,FALSE)*VLOOKUP(AD108,'[2]스케줄 분석_20260109'!$B$3:$Y$20,2,FALSE)*1.5*BI108,0),0)</f>
        <v>2083137</v>
      </c>
      <c r="BQ108" s="217" t="str">
        <f t="shared" si="48"/>
        <v>적합</v>
      </c>
      <c r="BR108" s="213"/>
      <c r="BS108" s="218">
        <f t="shared" si="49"/>
        <v>1150110</v>
      </c>
      <c r="BT108" s="219">
        <f t="shared" si="50"/>
        <v>2670942.5</v>
      </c>
      <c r="BU108" s="175">
        <f t="shared" si="51"/>
        <v>1353807</v>
      </c>
      <c r="BV108" s="175">
        <f t="shared" si="52"/>
        <v>1160865.27648</v>
      </c>
      <c r="BW108" s="175">
        <f t="shared" si="53"/>
        <v>441768.6</v>
      </c>
      <c r="BX108" s="175">
        <f t="shared" si="54"/>
        <v>188107.92</v>
      </c>
      <c r="BY108" s="213">
        <f t="shared" si="42"/>
        <v>3218875</v>
      </c>
      <c r="BZ108" s="220">
        <f t="shared" si="55"/>
        <v>34722252.5</v>
      </c>
      <c r="CA108" s="213">
        <f t="shared" si="56"/>
        <v>3144548.79648</v>
      </c>
      <c r="CB108" s="221">
        <f t="shared" si="57"/>
        <v>38626500</v>
      </c>
      <c r="CC108" s="222">
        <f t="shared" si="58"/>
        <v>9000904.2300000004</v>
      </c>
      <c r="CD108" s="223">
        <f t="shared" si="41"/>
        <v>17.948680366116296</v>
      </c>
      <c r="CE108" s="258">
        <v>44119</v>
      </c>
      <c r="CF108" s="258"/>
      <c r="CG108" s="246"/>
      <c r="CH108" s="246"/>
      <c r="CI108" s="111"/>
      <c r="CJ108" s="78"/>
      <c r="CK108" s="187"/>
      <c r="CL108" s="188"/>
      <c r="CM108" s="78"/>
      <c r="CN108" s="78"/>
      <c r="CO108" s="78"/>
      <c r="CP108" s="78"/>
      <c r="CQ108" s="78"/>
      <c r="CR108" s="78"/>
      <c r="CS108" s="78"/>
      <c r="CT108" s="78"/>
      <c r="CU108" s="78"/>
      <c r="CV108" s="78"/>
      <c r="CW108" s="78"/>
      <c r="CX108" s="78"/>
      <c r="CY108" s="78"/>
      <c r="CZ108" s="78"/>
      <c r="DA108" s="78"/>
      <c r="DB108" s="78"/>
      <c r="DC108" s="78"/>
      <c r="DD108" s="78"/>
      <c r="DE108" s="78"/>
      <c r="DF108" s="78"/>
      <c r="DG108" s="78"/>
      <c r="DH108" s="78"/>
      <c r="DI108" s="78"/>
      <c r="DJ108" s="78"/>
      <c r="DK108" s="78"/>
      <c r="DL108" s="79"/>
      <c r="DM108" s="79"/>
    </row>
    <row r="109" spans="1:117" s="77" customFormat="1" ht="17.25" customHeight="1">
      <c r="A109" s="23">
        <f t="shared" si="38"/>
        <v>106</v>
      </c>
      <c r="B109" s="23" t="s">
        <v>439</v>
      </c>
      <c r="C109" s="190">
        <v>2020077</v>
      </c>
      <c r="D109" s="194" t="s">
        <v>1007</v>
      </c>
      <c r="E109" s="227" t="s">
        <v>1008</v>
      </c>
      <c r="F109" s="227" t="s">
        <v>1587</v>
      </c>
      <c r="G109" s="23" t="s">
        <v>1192</v>
      </c>
      <c r="H109" s="227" t="s">
        <v>1167</v>
      </c>
      <c r="I109" s="227" t="s">
        <v>741</v>
      </c>
      <c r="J109" s="194" t="s">
        <v>178</v>
      </c>
      <c r="K109" s="79" t="s">
        <v>1401</v>
      </c>
      <c r="L109" s="227" t="s">
        <v>1080</v>
      </c>
      <c r="M109" s="227"/>
      <c r="N109" s="228" t="s">
        <v>1588</v>
      </c>
      <c r="O109" t="s">
        <v>1589</v>
      </c>
      <c r="P109" s="229" t="s">
        <v>1590</v>
      </c>
      <c r="Q109" s="214">
        <v>43344</v>
      </c>
      <c r="R109" s="214">
        <v>43344</v>
      </c>
      <c r="S109" s="214">
        <v>44105</v>
      </c>
      <c r="T109" s="231" t="s">
        <v>1017</v>
      </c>
      <c r="U109" s="231" t="s">
        <v>1591</v>
      </c>
      <c r="V109" s="201" t="s">
        <v>278</v>
      </c>
      <c r="W109" s="231" t="s">
        <v>684</v>
      </c>
      <c r="X109" s="201"/>
      <c r="Y109" s="201"/>
      <c r="Z109" s="203">
        <f t="shared" ca="1" si="60"/>
        <v>2817</v>
      </c>
      <c r="AA109" s="203">
        <f t="shared" ca="1" si="61"/>
        <v>2817</v>
      </c>
      <c r="AB109" s="232"/>
      <c r="AC109" s="232"/>
      <c r="AD109" s="78" t="s">
        <v>1470</v>
      </c>
      <c r="AE109" s="78" t="s">
        <v>833</v>
      </c>
      <c r="AF109" s="78" t="s">
        <v>191</v>
      </c>
      <c r="AG109" s="78" t="s">
        <v>191</v>
      </c>
      <c r="AH109" s="23" t="s">
        <v>161</v>
      </c>
      <c r="AI109" s="23" t="s">
        <v>1021</v>
      </c>
      <c r="AJ109" s="23" t="s">
        <v>1008</v>
      </c>
      <c r="AK109" s="23" t="s">
        <v>1022</v>
      </c>
      <c r="AL109" s="78" t="s">
        <v>1023</v>
      </c>
      <c r="AM109" s="278">
        <v>28293</v>
      </c>
      <c r="AN109" s="279" t="s">
        <v>1592</v>
      </c>
      <c r="AO109" s="78" t="s">
        <v>401</v>
      </c>
      <c r="AP109" s="78" t="s">
        <v>1025</v>
      </c>
      <c r="AQ109" s="201" t="s">
        <v>433</v>
      </c>
      <c r="AR109" s="201"/>
      <c r="AS109" s="209" t="s">
        <v>1006</v>
      </c>
      <c r="AT109" s="23" t="s">
        <v>434</v>
      </c>
      <c r="AU109" s="23" t="s">
        <v>435</v>
      </c>
      <c r="AV109" s="210" t="s">
        <v>454</v>
      </c>
      <c r="AW109" s="211">
        <v>4179000</v>
      </c>
      <c r="AX109" s="175">
        <v>4179000</v>
      </c>
      <c r="AY109" s="212">
        <v>12</v>
      </c>
      <c r="AZ109" s="213">
        <f t="shared" si="40"/>
        <v>50148000</v>
      </c>
      <c r="BA109" s="78"/>
      <c r="BB109" s="78"/>
      <c r="BC109" s="214">
        <v>45839</v>
      </c>
      <c r="BD109" s="215">
        <v>30720840</v>
      </c>
      <c r="BE109" s="215">
        <v>31500000</v>
      </c>
      <c r="BF109" s="215">
        <f t="shared" si="44"/>
        <v>31500000</v>
      </c>
      <c r="BG109" s="215">
        <f t="shared" si="45"/>
        <v>2625000</v>
      </c>
      <c r="BH109" s="215">
        <v>2100100</v>
      </c>
      <c r="BI109" s="216">
        <f t="shared" si="59"/>
        <v>11723.84</v>
      </c>
      <c r="BJ109" s="216">
        <f>IF(AT109="통상",209,VLOOKUP(AD109,'[2]스케줄 분석_20260109'!$B$3:$F$20,5,FALSE))</f>
        <v>196.19</v>
      </c>
      <c r="BK109" s="216">
        <f>IF(AT109="통상",15,VLOOKUP(AD109,'[2]스케줄 분석_20260109'!$B$3:$P$20,10,FALSE))</f>
        <v>2.17</v>
      </c>
      <c r="BL109" s="216">
        <f>IF(AT109="통상",0,VLOOKUP(AD109,'[2]스케줄 분석_20260109'!$B$3:$P$20,11,FALSE))</f>
        <v>53.23</v>
      </c>
      <c r="BM109" s="215">
        <f t="shared" si="46"/>
        <v>12800</v>
      </c>
      <c r="BN109" s="175">
        <f t="shared" si="47"/>
        <v>312100</v>
      </c>
      <c r="BO109" s="213">
        <v>200000</v>
      </c>
      <c r="BP109" s="175">
        <f>IF(OR(AT109="스케줄",AT109="스케줄_파라"),ROUNDUP(VLOOKUP(AD109,'[2]스케줄 분석_20260109'!$B$3:$Y$20,23,FALSE)*(VLOOKUP(AD109,'[2]스케줄 분석_20260109'!$B$3:$Y$20,21,FALSE)/VLOOKUP(AD109,'[2]스케줄 분석_20260109'!$B$3:$Y$20,20,FALSE))*VLOOKUP(AD109,'[2]스케줄 분석_20260109'!$B$3:$Y$20,22,FALSE)*VLOOKUP(AD109,'[2]스케줄 분석_20260109'!$B$3:$Y$20,2,FALSE)*1.5*BI109,0),0)</f>
        <v>2123481</v>
      </c>
      <c r="BQ109" s="217" t="str">
        <f t="shared" si="48"/>
        <v>적합</v>
      </c>
      <c r="BR109" s="213"/>
      <c r="BS109" s="218">
        <f t="shared" si="49"/>
        <v>1172384</v>
      </c>
      <c r="BT109" s="219">
        <f t="shared" si="50"/>
        <v>2722698.6666666665</v>
      </c>
      <c r="BU109" s="175">
        <f t="shared" si="51"/>
        <v>1382250</v>
      </c>
      <c r="BV109" s="175">
        <f t="shared" si="52"/>
        <v>1185254.6399999999</v>
      </c>
      <c r="BW109" s="175">
        <f t="shared" si="53"/>
        <v>451050</v>
      </c>
      <c r="BX109" s="175">
        <f t="shared" si="54"/>
        <v>192060</v>
      </c>
      <c r="BY109" s="213">
        <f t="shared" si="42"/>
        <v>3281250</v>
      </c>
      <c r="BZ109" s="220">
        <f t="shared" si="55"/>
        <v>35395082.666666664</v>
      </c>
      <c r="CA109" s="213">
        <f t="shared" si="56"/>
        <v>3210614.6399999997</v>
      </c>
      <c r="CB109" s="221">
        <f t="shared" si="57"/>
        <v>39375000</v>
      </c>
      <c r="CC109" s="222">
        <f t="shared" si="58"/>
        <v>8203587.9900000002</v>
      </c>
      <c r="CD109" s="223">
        <f t="shared" si="41"/>
        <v>16.358754067958841</v>
      </c>
      <c r="CE109" s="258">
        <v>44122</v>
      </c>
      <c r="CF109" s="258"/>
      <c r="CG109" s="246"/>
      <c r="CH109" s="246"/>
      <c r="CI109" s="111"/>
      <c r="CJ109" s="120"/>
      <c r="CK109" s="187"/>
      <c r="CL109" s="188"/>
      <c r="CM109" s="78"/>
      <c r="CN109" s="78"/>
      <c r="CO109" s="78"/>
      <c r="CP109" s="78"/>
      <c r="CQ109" s="78"/>
      <c r="CR109" s="78"/>
      <c r="CS109" s="78"/>
      <c r="CT109" s="78"/>
      <c r="CU109" s="78"/>
      <c r="CV109" s="78"/>
      <c r="CW109" s="78"/>
      <c r="CX109" s="78"/>
      <c r="CY109" s="78"/>
      <c r="CZ109" s="78"/>
      <c r="DA109" s="78"/>
      <c r="DB109" s="78"/>
      <c r="DC109" s="78"/>
      <c r="DD109" s="78"/>
      <c r="DE109" s="78"/>
      <c r="DF109" s="78"/>
      <c r="DG109" s="78"/>
      <c r="DH109" s="78"/>
      <c r="DI109" s="78"/>
      <c r="DJ109" s="78"/>
      <c r="DK109" s="78"/>
      <c r="DL109" s="78"/>
      <c r="DM109" s="78"/>
    </row>
    <row r="110" spans="1:117" s="77" customFormat="1" ht="17.25" customHeight="1">
      <c r="A110" s="23">
        <f t="shared" si="38"/>
        <v>107</v>
      </c>
      <c r="B110" s="23" t="s">
        <v>439</v>
      </c>
      <c r="C110" s="190">
        <v>2020079</v>
      </c>
      <c r="D110" s="194" t="s">
        <v>1007</v>
      </c>
      <c r="E110" s="227" t="s">
        <v>1008</v>
      </c>
      <c r="F110" s="227" t="s">
        <v>1593</v>
      </c>
      <c r="G110" s="23" t="s">
        <v>1192</v>
      </c>
      <c r="H110" s="227" t="s">
        <v>1167</v>
      </c>
      <c r="I110" s="227" t="s">
        <v>741</v>
      </c>
      <c r="J110" s="194" t="s">
        <v>178</v>
      </c>
      <c r="K110" s="79" t="s">
        <v>1401</v>
      </c>
      <c r="L110" s="227" t="s">
        <v>1594</v>
      </c>
      <c r="M110" s="227" t="s">
        <v>1013</v>
      </c>
      <c r="N110" s="228" t="s">
        <v>1595</v>
      </c>
      <c r="O110" t="s">
        <v>1596</v>
      </c>
      <c r="P110" s="229" t="s">
        <v>1597</v>
      </c>
      <c r="Q110" s="214">
        <v>43388</v>
      </c>
      <c r="R110" s="214">
        <v>43388</v>
      </c>
      <c r="S110" s="214">
        <v>44105</v>
      </c>
      <c r="T110" s="231" t="s">
        <v>1584</v>
      </c>
      <c r="U110" s="231" t="s">
        <v>1585</v>
      </c>
      <c r="V110" s="201" t="s">
        <v>278</v>
      </c>
      <c r="W110" s="201"/>
      <c r="X110" s="201"/>
      <c r="Y110" s="201"/>
      <c r="Z110" s="203">
        <f t="shared" ca="1" si="60"/>
        <v>2773</v>
      </c>
      <c r="AA110" s="203">
        <f t="shared" ca="1" si="61"/>
        <v>2773</v>
      </c>
      <c r="AB110" s="232"/>
      <c r="AC110" s="232"/>
      <c r="AD110" s="78" t="s">
        <v>1470</v>
      </c>
      <c r="AE110" s="78" t="s">
        <v>833</v>
      </c>
      <c r="AF110" s="78" t="s">
        <v>191</v>
      </c>
      <c r="AG110" s="78" t="s">
        <v>191</v>
      </c>
      <c r="AH110" s="23" t="s">
        <v>161</v>
      </c>
      <c r="AI110" s="23" t="s">
        <v>1021</v>
      </c>
      <c r="AJ110" s="23" t="s">
        <v>1008</v>
      </c>
      <c r="AK110" s="23" t="s">
        <v>1022</v>
      </c>
      <c r="AL110" s="78" t="s">
        <v>1023</v>
      </c>
      <c r="AM110" s="227">
        <v>28740</v>
      </c>
      <c r="AN110" s="79" t="s">
        <v>1598</v>
      </c>
      <c r="AO110" s="78" t="s">
        <v>401</v>
      </c>
      <c r="AP110" s="78" t="s">
        <v>1025</v>
      </c>
      <c r="AQ110" s="201" t="s">
        <v>433</v>
      </c>
      <c r="AR110" s="201"/>
      <c r="AS110" s="209" t="s">
        <v>1006</v>
      </c>
      <c r="AT110" s="23" t="s">
        <v>434</v>
      </c>
      <c r="AU110" s="23" t="s">
        <v>435</v>
      </c>
      <c r="AV110" s="210" t="s">
        <v>454</v>
      </c>
      <c r="AW110" s="211">
        <v>4179000</v>
      </c>
      <c r="AX110" s="175">
        <v>4179000</v>
      </c>
      <c r="AY110" s="212">
        <v>12</v>
      </c>
      <c r="AZ110" s="213">
        <f t="shared" si="40"/>
        <v>50148000</v>
      </c>
      <c r="BA110" s="78"/>
      <c r="BB110" s="78"/>
      <c r="BC110" s="214">
        <v>45839</v>
      </c>
      <c r="BD110" s="215">
        <v>30121080</v>
      </c>
      <c r="BE110" s="215">
        <v>30898800</v>
      </c>
      <c r="BF110" s="215">
        <f t="shared" si="44"/>
        <v>30898800</v>
      </c>
      <c r="BG110" s="215">
        <f t="shared" si="45"/>
        <v>2574900</v>
      </c>
      <c r="BH110" s="215">
        <v>2056300</v>
      </c>
      <c r="BI110" s="216">
        <f t="shared" si="59"/>
        <v>11500.59</v>
      </c>
      <c r="BJ110" s="216">
        <f>IF(AT110="통상",209,VLOOKUP(AD110,'[2]스케줄 분석_20260109'!$B$3:$F$20,5,FALSE))</f>
        <v>196.19</v>
      </c>
      <c r="BK110" s="216">
        <f>IF(AT110="통상",15,VLOOKUP(AD110,'[2]스케줄 분석_20260109'!$B$3:$P$20,10,FALSE))</f>
        <v>2.17</v>
      </c>
      <c r="BL110" s="216">
        <f>IF(AT110="통상",0,VLOOKUP(AD110,'[2]스케줄 분석_20260109'!$B$3:$P$20,11,FALSE))</f>
        <v>53.23</v>
      </c>
      <c r="BM110" s="215">
        <f t="shared" si="46"/>
        <v>12500</v>
      </c>
      <c r="BN110" s="175">
        <f t="shared" si="47"/>
        <v>306100</v>
      </c>
      <c r="BO110" s="213">
        <v>200000</v>
      </c>
      <c r="BP110" s="175">
        <f>IF(OR(AT110="스케줄",AT110="스케줄_파라"),ROUNDUP(VLOOKUP(AD110,'[2]스케줄 분석_20260109'!$B$3:$Y$20,23,FALSE)*(VLOOKUP(AD110,'[2]스케줄 분석_20260109'!$B$3:$Y$20,21,FALSE)/VLOOKUP(AD110,'[2]스케줄 분석_20260109'!$B$3:$Y$20,20,FALSE))*VLOOKUP(AD110,'[2]스케줄 분석_20260109'!$B$3:$Y$20,22,FALSE)*VLOOKUP(AD110,'[2]스케줄 분석_20260109'!$B$3:$Y$20,2,FALSE)*1.5*BI110,0),0)</f>
        <v>2083045</v>
      </c>
      <c r="BQ110" s="217" t="str">
        <f t="shared" si="48"/>
        <v>적합</v>
      </c>
      <c r="BR110" s="213"/>
      <c r="BS110" s="218">
        <f t="shared" si="49"/>
        <v>1150059</v>
      </c>
      <c r="BT110" s="219">
        <f t="shared" si="50"/>
        <v>2670738.25</v>
      </c>
      <c r="BU110" s="175">
        <f t="shared" si="51"/>
        <v>1353693</v>
      </c>
      <c r="BV110" s="175">
        <f t="shared" si="52"/>
        <v>1160767.5235199998</v>
      </c>
      <c r="BW110" s="175">
        <f t="shared" si="53"/>
        <v>441731.4</v>
      </c>
      <c r="BX110" s="175">
        <f t="shared" si="54"/>
        <v>188092.08</v>
      </c>
      <c r="BY110" s="213">
        <f t="shared" si="42"/>
        <v>3218625</v>
      </c>
      <c r="BZ110" s="220">
        <f t="shared" si="55"/>
        <v>34719597.25</v>
      </c>
      <c r="CA110" s="213">
        <f t="shared" si="56"/>
        <v>3144284.0035199998</v>
      </c>
      <c r="CB110" s="221">
        <f t="shared" si="57"/>
        <v>38623500</v>
      </c>
      <c r="CC110" s="222">
        <f t="shared" si="58"/>
        <v>9004015.5500000007</v>
      </c>
      <c r="CD110" s="223">
        <f t="shared" si="41"/>
        <v>17.954884641461277</v>
      </c>
      <c r="CE110" s="258">
        <v>44543</v>
      </c>
      <c r="CF110" s="258"/>
      <c r="CG110" s="246"/>
      <c r="CH110" s="246"/>
      <c r="CI110" s="111"/>
      <c r="CJ110" s="111"/>
      <c r="CK110" s="187"/>
      <c r="CL110" s="188"/>
      <c r="CM110" s="111"/>
      <c r="CN110" s="111"/>
      <c r="CO110" s="111"/>
      <c r="CP110" s="111"/>
      <c r="CQ110" s="111"/>
      <c r="CR110" s="111"/>
      <c r="CS110" s="111"/>
      <c r="CT110" s="111"/>
      <c r="CU110" s="111"/>
      <c r="CV110" s="111"/>
      <c r="CW110" s="111"/>
      <c r="CX110" s="111"/>
      <c r="CY110" s="111"/>
      <c r="CZ110" s="111"/>
      <c r="DA110" s="111"/>
      <c r="DB110" s="111"/>
      <c r="DC110" s="111"/>
      <c r="DD110" s="111"/>
      <c r="DE110" s="111"/>
      <c r="DF110" s="111"/>
      <c r="DG110" s="111"/>
      <c r="DH110" s="111"/>
      <c r="DI110" s="111"/>
      <c r="DJ110" s="111"/>
      <c r="DK110" s="111"/>
      <c r="DL110" s="78"/>
      <c r="DM110" s="78"/>
    </row>
    <row r="111" spans="1:117" s="77" customFormat="1" ht="17.25" customHeight="1">
      <c r="A111" s="23">
        <f t="shared" si="38"/>
        <v>108</v>
      </c>
      <c r="B111" s="23" t="s">
        <v>248</v>
      </c>
      <c r="C111" s="190">
        <v>2020089</v>
      </c>
      <c r="D111" s="194" t="s">
        <v>1599</v>
      </c>
      <c r="E111" s="227" t="s">
        <v>1600</v>
      </c>
      <c r="F111" s="227" t="s">
        <v>1600</v>
      </c>
      <c r="G111" s="23" t="s">
        <v>1010</v>
      </c>
      <c r="H111" s="280" t="s">
        <v>992</v>
      </c>
      <c r="I111" s="227" t="s">
        <v>741</v>
      </c>
      <c r="J111" s="194" t="s">
        <v>207</v>
      </c>
      <c r="K111" s="194" t="s">
        <v>1601</v>
      </c>
      <c r="L111" s="227" t="s">
        <v>1437</v>
      </c>
      <c r="M111" s="227"/>
      <c r="N111" s="228" t="s">
        <v>1602</v>
      </c>
      <c r="O111" s="197" t="s">
        <v>1603</v>
      </c>
      <c r="P111" s="229" t="s">
        <v>1604</v>
      </c>
      <c r="Q111" s="214">
        <v>43313</v>
      </c>
      <c r="R111" s="214">
        <v>44116</v>
      </c>
      <c r="S111" s="214"/>
      <c r="T111" s="231" t="s">
        <v>1605</v>
      </c>
      <c r="U111" s="200"/>
      <c r="V111" s="201" t="s">
        <v>278</v>
      </c>
      <c r="W111" s="231" t="s">
        <v>684</v>
      </c>
      <c r="X111" s="200"/>
      <c r="Y111" s="200"/>
      <c r="Z111" s="203">
        <f t="shared" ca="1" si="60"/>
        <v>2848</v>
      </c>
      <c r="AA111" s="203">
        <f t="shared" ca="1" si="61"/>
        <v>2045</v>
      </c>
      <c r="AB111" s="232"/>
      <c r="AC111" s="232"/>
      <c r="AD111" s="78" t="s">
        <v>610</v>
      </c>
      <c r="AE111" s="78" t="s">
        <v>217</v>
      </c>
      <c r="AF111" s="78" t="s">
        <v>218</v>
      </c>
      <c r="AG111" s="78" t="s">
        <v>218</v>
      </c>
      <c r="AH111" s="23" t="s">
        <v>161</v>
      </c>
      <c r="AI111" s="23" t="s">
        <v>162</v>
      </c>
      <c r="AJ111" s="23" t="s">
        <v>1600</v>
      </c>
      <c r="AK111" s="23">
        <v>13558</v>
      </c>
      <c r="AL111" s="78" t="s">
        <v>1606</v>
      </c>
      <c r="AM111" s="206" t="s">
        <v>1607</v>
      </c>
      <c r="AN111" s="207" t="s">
        <v>1608</v>
      </c>
      <c r="AO111" s="78" t="s">
        <v>613</v>
      </c>
      <c r="AP111" s="201" t="s">
        <v>1609</v>
      </c>
      <c r="AQ111" s="201" t="s">
        <v>1610</v>
      </c>
      <c r="AR111" s="201" t="s">
        <v>1611</v>
      </c>
      <c r="AS111" s="209" t="s">
        <v>616</v>
      </c>
      <c r="AT111" s="23" t="s">
        <v>201</v>
      </c>
      <c r="AU111" s="23" t="s">
        <v>435</v>
      </c>
      <c r="AV111" s="210" t="s">
        <v>454</v>
      </c>
      <c r="AW111" s="211">
        <v>5731000</v>
      </c>
      <c r="AX111" s="175">
        <v>5731000</v>
      </c>
      <c r="AY111" s="212">
        <v>12</v>
      </c>
      <c r="AZ111" s="213">
        <f t="shared" si="40"/>
        <v>68772000</v>
      </c>
      <c r="BA111" s="78"/>
      <c r="BB111" s="78"/>
      <c r="BC111" s="214">
        <v>45839</v>
      </c>
      <c r="BD111" s="215">
        <v>42048000</v>
      </c>
      <c r="BE111" s="215">
        <v>43488000</v>
      </c>
      <c r="BF111" s="215">
        <f t="shared" si="44"/>
        <v>43488000</v>
      </c>
      <c r="BG111" s="215">
        <f t="shared" si="45"/>
        <v>3624000</v>
      </c>
      <c r="BH111" s="215">
        <v>3071700</v>
      </c>
      <c r="BI111" s="216">
        <f t="shared" si="59"/>
        <v>15654.07</v>
      </c>
      <c r="BJ111" s="216">
        <f>IF(AT111="통상",209,VLOOKUP(AD111,'[2]스케줄 분석_20260109'!$B$3:$F$20,5,FALSE))</f>
        <v>209</v>
      </c>
      <c r="BK111" s="216">
        <f>IF(AT111="통상",15,VLOOKUP(AD111,'[2]스케줄 분석_20260109'!$B$3:$P$20,10,FALSE))</f>
        <v>15</v>
      </c>
      <c r="BL111" s="216">
        <f>IF(AT111="통상",0,VLOOKUP(AD111,'[2]스케줄 분석_20260109'!$B$3:$P$20,11,FALSE))</f>
        <v>0</v>
      </c>
      <c r="BM111" s="215">
        <f t="shared" si="46"/>
        <v>352300</v>
      </c>
      <c r="BN111" s="175">
        <f t="shared" si="47"/>
        <v>0</v>
      </c>
      <c r="BO111" s="213">
        <v>200000</v>
      </c>
      <c r="BP111" s="175">
        <f>IF(OR(AT111="스케줄",AT111="스케줄_파라"),ROUNDUP(VLOOKUP(AD111,'[2]스케줄 분석_20260109'!$B$3:$Y$20,23,FALSE)*(VLOOKUP(AD111,'[2]스케줄 분석_20260109'!$B$3:$Y$20,21,FALSE)/VLOOKUP(AD111,'[2]스케줄 분석_20260109'!$B$3:$Y$20,20,FALSE))*VLOOKUP(AD111,'[2]스케줄 분석_20260109'!$B$3:$Y$20,22,FALSE)*VLOOKUP(AD111,'[2]스케줄 분석_20260109'!$B$3:$Y$20,2,FALSE)*1.5*BI111,0),0)</f>
        <v>0</v>
      </c>
      <c r="BQ111" s="217" t="str">
        <f t="shared" si="48"/>
        <v>적합</v>
      </c>
      <c r="BR111" s="213"/>
      <c r="BS111" s="218">
        <f t="shared" si="49"/>
        <v>626162.80000000005</v>
      </c>
      <c r="BT111" s="219">
        <f t="shared" si="50"/>
        <v>3676180.2333333334</v>
      </c>
      <c r="BU111" s="175">
        <f t="shared" si="51"/>
        <v>1951680</v>
      </c>
      <c r="BV111" s="175">
        <f t="shared" si="52"/>
        <v>1673530.6751999999</v>
      </c>
      <c r="BW111" s="175">
        <f t="shared" si="53"/>
        <v>636864</v>
      </c>
      <c r="BX111" s="175">
        <f t="shared" si="54"/>
        <v>271180.79999999999</v>
      </c>
      <c r="BY111" s="213">
        <f t="shared" si="42"/>
        <v>4530000</v>
      </c>
      <c r="BZ111" s="220">
        <f t="shared" si="55"/>
        <v>47790343.033333331</v>
      </c>
      <c r="CA111" s="213">
        <f t="shared" si="56"/>
        <v>4533255.4752000002</v>
      </c>
      <c r="CB111" s="221">
        <f t="shared" si="57"/>
        <v>54360000</v>
      </c>
      <c r="CC111" s="222">
        <f t="shared" si="58"/>
        <v>14412000</v>
      </c>
      <c r="CD111" s="223">
        <f t="shared" si="41"/>
        <v>20.956203105915197</v>
      </c>
      <c r="CE111" s="281"/>
      <c r="CF111" s="281"/>
      <c r="CG111" s="282"/>
      <c r="CH111" s="23"/>
      <c r="CI111" s="78"/>
      <c r="CJ111" s="78"/>
      <c r="CK111" s="187"/>
      <c r="CL111" s="188"/>
      <c r="CM111" s="78"/>
      <c r="CN111" s="78"/>
      <c r="CO111" s="78"/>
      <c r="CP111" s="78"/>
      <c r="CQ111" s="78"/>
      <c r="CR111" s="78"/>
      <c r="CS111" s="78"/>
      <c r="CT111" s="78"/>
      <c r="CU111" s="78"/>
      <c r="CV111" s="78"/>
      <c r="CW111" s="78"/>
      <c r="CX111" s="78"/>
      <c r="CY111" s="78"/>
      <c r="CZ111" s="78"/>
      <c r="DA111" s="78"/>
      <c r="DB111" s="78"/>
      <c r="DC111" s="78"/>
      <c r="DD111" s="78"/>
      <c r="DE111" s="78"/>
      <c r="DF111" s="78"/>
      <c r="DG111" s="78"/>
      <c r="DH111" s="78"/>
      <c r="DI111" s="78"/>
      <c r="DJ111" s="78"/>
      <c r="DK111" s="78"/>
      <c r="DL111" s="78"/>
      <c r="DM111" s="78"/>
    </row>
    <row r="112" spans="1:117" ht="17.25" customHeight="1">
      <c r="A112" s="23">
        <f t="shared" si="38"/>
        <v>109</v>
      </c>
      <c r="B112" s="23" t="s">
        <v>248</v>
      </c>
      <c r="C112" s="190">
        <v>2020090</v>
      </c>
      <c r="D112" s="194" t="s">
        <v>1599</v>
      </c>
      <c r="E112" s="227" t="s">
        <v>1600</v>
      </c>
      <c r="F112" s="227" t="s">
        <v>1612</v>
      </c>
      <c r="G112" s="23" t="s">
        <v>1521</v>
      </c>
      <c r="H112" s="227" t="s">
        <v>826</v>
      </c>
      <c r="I112" s="227" t="s">
        <v>741</v>
      </c>
      <c r="J112" s="194" t="s">
        <v>207</v>
      </c>
      <c r="K112" s="194" t="s">
        <v>1601</v>
      </c>
      <c r="L112" s="227" t="s">
        <v>1437</v>
      </c>
      <c r="M112" s="227"/>
      <c r="N112" s="228" t="s">
        <v>1613</v>
      </c>
      <c r="O112" t="s">
        <v>1614</v>
      </c>
      <c r="P112" s="229" t="s">
        <v>1615</v>
      </c>
      <c r="Q112" s="214">
        <v>43259</v>
      </c>
      <c r="R112" s="214">
        <v>44116</v>
      </c>
      <c r="S112" s="214"/>
      <c r="T112" s="231" t="s">
        <v>1616</v>
      </c>
      <c r="U112" s="200" t="s">
        <v>1617</v>
      </c>
      <c r="V112" s="201" t="s">
        <v>278</v>
      </c>
      <c r="W112" s="200"/>
      <c r="X112" s="200"/>
      <c r="Y112" s="200"/>
      <c r="Z112" s="203">
        <f t="shared" ca="1" si="60"/>
        <v>2902</v>
      </c>
      <c r="AA112" s="203">
        <f t="shared" ca="1" si="61"/>
        <v>2045</v>
      </c>
      <c r="AB112" s="232"/>
      <c r="AC112" s="232"/>
      <c r="AD112" s="78" t="s">
        <v>610</v>
      </c>
      <c r="AE112" s="78" t="s">
        <v>217</v>
      </c>
      <c r="AF112" s="78" t="s">
        <v>218</v>
      </c>
      <c r="AG112" s="78" t="s">
        <v>218</v>
      </c>
      <c r="AH112" s="23" t="s">
        <v>161</v>
      </c>
      <c r="AI112" s="23" t="s">
        <v>162</v>
      </c>
      <c r="AJ112" s="23" t="s">
        <v>1600</v>
      </c>
      <c r="AK112" s="23">
        <v>13558</v>
      </c>
      <c r="AL112" s="78" t="s">
        <v>1606</v>
      </c>
      <c r="AM112" s="206" t="s">
        <v>1618</v>
      </c>
      <c r="AN112" s="207" t="s">
        <v>1619</v>
      </c>
      <c r="AO112" s="78" t="s">
        <v>613</v>
      </c>
      <c r="AP112" s="201" t="s">
        <v>1609</v>
      </c>
      <c r="AQ112" s="201" t="s">
        <v>1610</v>
      </c>
      <c r="AR112" s="201" t="s">
        <v>1620</v>
      </c>
      <c r="AS112" s="209" t="s">
        <v>616</v>
      </c>
      <c r="AT112" s="23" t="s">
        <v>201</v>
      </c>
      <c r="AU112" s="23" t="s">
        <v>435</v>
      </c>
      <c r="AV112" s="210" t="s">
        <v>454</v>
      </c>
      <c r="AW112" s="211">
        <v>4688000</v>
      </c>
      <c r="AX112" s="175">
        <v>4688000</v>
      </c>
      <c r="AY112" s="212">
        <v>12</v>
      </c>
      <c r="AZ112" s="213">
        <f t="shared" si="40"/>
        <v>56256000</v>
      </c>
      <c r="BC112" s="214">
        <v>45839</v>
      </c>
      <c r="BD112" s="215">
        <v>34404000</v>
      </c>
      <c r="BE112" s="215">
        <v>36204000</v>
      </c>
      <c r="BF112" s="215">
        <f t="shared" si="44"/>
        <v>36204000</v>
      </c>
      <c r="BG112" s="215">
        <f t="shared" si="45"/>
        <v>3017000</v>
      </c>
      <c r="BH112" s="215">
        <v>2523700</v>
      </c>
      <c r="BI112" s="216">
        <f t="shared" si="59"/>
        <v>13032.06</v>
      </c>
      <c r="BJ112" s="216">
        <f>IF(AT112="통상",209,VLOOKUP(AD112,'[2]스케줄 분석_20260109'!$B$3:$F$20,5,FALSE))</f>
        <v>209</v>
      </c>
      <c r="BK112" s="216">
        <f>IF(AT112="통상",15,VLOOKUP(AD112,'[2]스케줄 분석_20260109'!$B$3:$P$20,10,FALSE))</f>
        <v>15</v>
      </c>
      <c r="BL112" s="216">
        <f>IF(AT112="통상",0,VLOOKUP(AD112,'[2]스케줄 분석_20260109'!$B$3:$P$20,11,FALSE))</f>
        <v>0</v>
      </c>
      <c r="BM112" s="215">
        <f t="shared" si="46"/>
        <v>293300</v>
      </c>
      <c r="BN112" s="175">
        <f t="shared" si="47"/>
        <v>0</v>
      </c>
      <c r="BO112" s="213">
        <v>200000</v>
      </c>
      <c r="BP112" s="175">
        <f>IF(OR(AT112="스케줄",AT112="스케줄_파라"),ROUNDUP(VLOOKUP(AD112,'[2]스케줄 분석_20260109'!$B$3:$Y$20,23,FALSE)*(VLOOKUP(AD112,'[2]스케줄 분석_20260109'!$B$3:$Y$20,21,FALSE)/VLOOKUP(AD112,'[2]스케줄 분석_20260109'!$B$3:$Y$20,20,FALSE))*VLOOKUP(AD112,'[2]스케줄 분석_20260109'!$B$3:$Y$20,22,FALSE)*VLOOKUP(AD112,'[2]스케줄 분석_20260109'!$B$3:$Y$20,2,FALSE)*1.5*BI112,0),0)</f>
        <v>0</v>
      </c>
      <c r="BQ112" s="217" t="str">
        <f t="shared" si="48"/>
        <v>적합</v>
      </c>
      <c r="BR112" s="213"/>
      <c r="BS112" s="218">
        <f t="shared" si="49"/>
        <v>521282.39999999997</v>
      </c>
      <c r="BT112" s="219">
        <f t="shared" si="50"/>
        <v>3060440.2</v>
      </c>
      <c r="BU112" s="175">
        <f t="shared" si="51"/>
        <v>1605690</v>
      </c>
      <c r="BV112" s="175">
        <f t="shared" si="52"/>
        <v>1376850.4416</v>
      </c>
      <c r="BW112" s="175">
        <f t="shared" si="53"/>
        <v>523962</v>
      </c>
      <c r="BX112" s="175">
        <f t="shared" si="54"/>
        <v>223106.4</v>
      </c>
      <c r="BY112" s="213">
        <f t="shared" si="42"/>
        <v>3771250</v>
      </c>
      <c r="BZ112" s="220">
        <f t="shared" si="55"/>
        <v>39785722.600000001</v>
      </c>
      <c r="CA112" s="213">
        <f t="shared" si="56"/>
        <v>3729608.8415999999</v>
      </c>
      <c r="CB112" s="221">
        <f t="shared" si="57"/>
        <v>45255000</v>
      </c>
      <c r="CC112" s="222">
        <f t="shared" si="58"/>
        <v>11001000</v>
      </c>
      <c r="CD112" s="223">
        <f t="shared" si="41"/>
        <v>19.555247440273039</v>
      </c>
      <c r="CE112" s="281"/>
      <c r="CF112" s="281"/>
      <c r="CG112" s="282"/>
      <c r="CK112" s="187"/>
      <c r="CL112" s="188"/>
    </row>
    <row r="113" spans="1:117" ht="17.25" customHeight="1">
      <c r="A113" s="23">
        <f t="shared" si="38"/>
        <v>110</v>
      </c>
      <c r="B113" s="23" t="s">
        <v>248</v>
      </c>
      <c r="C113" s="190">
        <v>2020091</v>
      </c>
      <c r="D113" s="194" t="s">
        <v>173</v>
      </c>
      <c r="E113" s="227" t="s">
        <v>839</v>
      </c>
      <c r="F113" s="23" t="s">
        <v>1621</v>
      </c>
      <c r="G113" s="23" t="s">
        <v>1192</v>
      </c>
      <c r="H113" s="227" t="s">
        <v>1622</v>
      </c>
      <c r="I113" s="227" t="s">
        <v>1454</v>
      </c>
      <c r="J113" s="194" t="s">
        <v>178</v>
      </c>
      <c r="K113" s="79" t="s">
        <v>841</v>
      </c>
      <c r="L113" s="227" t="s">
        <v>1623</v>
      </c>
      <c r="M113" s="227"/>
      <c r="N113" s="228" t="s">
        <v>1624</v>
      </c>
      <c r="O113" t="s">
        <v>1625</v>
      </c>
      <c r="P113" s="239" t="s">
        <v>1626</v>
      </c>
      <c r="Q113" s="214">
        <v>44119</v>
      </c>
      <c r="R113" s="214">
        <v>44119</v>
      </c>
      <c r="S113" s="230"/>
      <c r="T113" s="231" t="s">
        <v>1627</v>
      </c>
      <c r="U113" s="231" t="s">
        <v>1628</v>
      </c>
      <c r="V113" s="201" t="s">
        <v>394</v>
      </c>
      <c r="W113" s="231" t="s">
        <v>498</v>
      </c>
      <c r="X113" s="201" t="s">
        <v>1211</v>
      </c>
      <c r="Z113" s="203">
        <f t="shared" ca="1" si="60"/>
        <v>2042</v>
      </c>
      <c r="AA113" s="203">
        <f t="shared" ca="1" si="61"/>
        <v>2042</v>
      </c>
      <c r="AB113" s="232"/>
      <c r="AC113" s="232"/>
      <c r="AD113" s="78" t="s">
        <v>21</v>
      </c>
      <c r="AE113" s="78" t="s">
        <v>190</v>
      </c>
      <c r="AF113" s="78" t="s">
        <v>191</v>
      </c>
      <c r="AG113" s="78" t="s">
        <v>191</v>
      </c>
      <c r="AH113" s="23" t="s">
        <v>161</v>
      </c>
      <c r="AI113" s="23" t="s">
        <v>192</v>
      </c>
      <c r="AJ113" s="23" t="s">
        <v>569</v>
      </c>
      <c r="AK113" s="233" t="s">
        <v>193</v>
      </c>
      <c r="AL113" s="78" t="s">
        <v>570</v>
      </c>
      <c r="AM113" s="206" t="s">
        <v>1629</v>
      </c>
      <c r="AN113" s="207" t="s">
        <v>1630</v>
      </c>
      <c r="AO113" s="78" t="s">
        <v>197</v>
      </c>
      <c r="AP113" s="201" t="s">
        <v>198</v>
      </c>
      <c r="AQ113" s="201" t="s">
        <v>851</v>
      </c>
      <c r="AS113" s="209" t="s">
        <v>200</v>
      </c>
      <c r="AT113" s="23" t="s">
        <v>434</v>
      </c>
      <c r="AU113" s="23" t="s">
        <v>435</v>
      </c>
      <c r="AV113" s="210" t="s">
        <v>454</v>
      </c>
      <c r="AW113" s="211">
        <v>3835000</v>
      </c>
      <c r="AX113" s="175">
        <v>3835000</v>
      </c>
      <c r="AY113" s="212">
        <v>12</v>
      </c>
      <c r="AZ113" s="213">
        <f t="shared" si="40"/>
        <v>46020000</v>
      </c>
      <c r="BC113" s="214">
        <v>45839</v>
      </c>
      <c r="BD113" s="215">
        <v>29797200</v>
      </c>
      <c r="BE113" s="215">
        <v>30517200</v>
      </c>
      <c r="BF113" s="215">
        <f t="shared" si="44"/>
        <v>30517200</v>
      </c>
      <c r="BG113" s="215">
        <f t="shared" si="45"/>
        <v>2543100</v>
      </c>
      <c r="BH113" s="215">
        <v>1949700</v>
      </c>
      <c r="BI113" s="216">
        <f t="shared" si="59"/>
        <v>11457.12</v>
      </c>
      <c r="BJ113" s="216">
        <f>IF(AT113="통상",209,VLOOKUP(AD113,'[2]스케줄 분석_20260109'!$B$3:$F$20,5,FALSE))</f>
        <v>187.63</v>
      </c>
      <c r="BK113" s="216">
        <f>IF(AT113="통상",15,VLOOKUP(AD113,'[2]스케줄 분석_20260109'!$B$3:$P$20,10,FALSE))</f>
        <v>29.11</v>
      </c>
      <c r="BL113" s="216">
        <f>IF(AT113="통상",0,VLOOKUP(AD113,'[2]스케줄 분석_20260109'!$B$3:$P$20,11,FALSE))</f>
        <v>39.54</v>
      </c>
      <c r="BM113" s="215">
        <f t="shared" si="46"/>
        <v>166800</v>
      </c>
      <c r="BN113" s="175">
        <f t="shared" si="47"/>
        <v>226600</v>
      </c>
      <c r="BO113" s="213">
        <v>200000</v>
      </c>
      <c r="BP113" s="175">
        <f>IF(OR(AT113="스케줄",AT113="스케줄_파라"),ROUNDUP(VLOOKUP(AD113,'[2]스케줄 분석_20260109'!$B$3:$Y$20,23,FALSE)*(VLOOKUP(AD113,'[2]스케줄 분석_20260109'!$B$3:$Y$20,21,FALSE)/VLOOKUP(AD113,'[2]스케줄 분석_20260109'!$B$3:$Y$20,20,FALSE))*VLOOKUP(AD113,'[2]스케줄 분석_20260109'!$B$3:$Y$20,22,FALSE)*VLOOKUP(AD113,'[2]스케줄 분석_20260109'!$B$3:$Y$20,2,FALSE)*1.5*BI113,0),0)</f>
        <v>2315454</v>
      </c>
      <c r="BQ113" s="217" t="str">
        <f t="shared" si="48"/>
        <v>적합</v>
      </c>
      <c r="BR113" s="213"/>
      <c r="BS113" s="218">
        <f t="shared" si="49"/>
        <v>1145712</v>
      </c>
      <c r="BT113" s="219">
        <f t="shared" si="50"/>
        <v>2638576</v>
      </c>
      <c r="BU113" s="175">
        <f t="shared" si="51"/>
        <v>1335567</v>
      </c>
      <c r="BV113" s="175">
        <f t="shared" si="52"/>
        <v>1145224.8028799999</v>
      </c>
      <c r="BW113" s="175">
        <f t="shared" si="53"/>
        <v>435816.6</v>
      </c>
      <c r="BX113" s="175">
        <f t="shared" si="54"/>
        <v>185573.52</v>
      </c>
      <c r="BY113" s="213">
        <f t="shared" si="42"/>
        <v>3178875</v>
      </c>
      <c r="BZ113" s="220">
        <f t="shared" si="55"/>
        <v>34301488</v>
      </c>
      <c r="CA113" s="213">
        <f t="shared" si="56"/>
        <v>3102181.92288</v>
      </c>
      <c r="CB113" s="221">
        <f t="shared" si="57"/>
        <v>38146500</v>
      </c>
      <c r="CC113" s="222">
        <f t="shared" si="58"/>
        <v>5071800.66</v>
      </c>
      <c r="CD113" s="223">
        <f t="shared" si="41"/>
        <v>11.020861929595828</v>
      </c>
      <c r="CE113" s="283"/>
      <c r="CF113" s="283"/>
      <c r="CK113" s="187"/>
      <c r="CL113" s="188"/>
    </row>
    <row r="114" spans="1:117" ht="17.25" customHeight="1">
      <c r="A114" s="23">
        <f t="shared" si="38"/>
        <v>111</v>
      </c>
      <c r="B114" s="23" t="s">
        <v>248</v>
      </c>
      <c r="C114" s="190">
        <v>2020092</v>
      </c>
      <c r="D114" s="194" t="s">
        <v>1373</v>
      </c>
      <c r="E114" s="227" t="s">
        <v>353</v>
      </c>
      <c r="F114" s="23" t="s">
        <v>1631</v>
      </c>
      <c r="G114" s="23" t="s">
        <v>412</v>
      </c>
      <c r="H114" s="227" t="s">
        <v>992</v>
      </c>
      <c r="I114" s="227" t="s">
        <v>741</v>
      </c>
      <c r="J114" s="194" t="s">
        <v>178</v>
      </c>
      <c r="K114" s="194" t="s">
        <v>641</v>
      </c>
      <c r="L114" s="227" t="s">
        <v>1510</v>
      </c>
      <c r="M114" s="227"/>
      <c r="N114" s="228" t="s">
        <v>1632</v>
      </c>
      <c r="O114" t="s">
        <v>1633</v>
      </c>
      <c r="P114" s="229" t="s">
        <v>1634</v>
      </c>
      <c r="Q114" s="214">
        <v>44123</v>
      </c>
      <c r="R114" s="214">
        <v>44123</v>
      </c>
      <c r="S114" s="214"/>
      <c r="T114" s="231" t="s">
        <v>1377</v>
      </c>
      <c r="U114" s="231" t="s">
        <v>1378</v>
      </c>
      <c r="V114" s="201" t="s">
        <v>278</v>
      </c>
      <c r="W114" s="231" t="s">
        <v>187</v>
      </c>
      <c r="Z114" s="203">
        <f t="shared" ca="1" si="60"/>
        <v>2038</v>
      </c>
      <c r="AA114" s="203">
        <f t="shared" ca="1" si="61"/>
        <v>2038</v>
      </c>
      <c r="AB114" s="232"/>
      <c r="AC114" s="232"/>
      <c r="AD114" s="78" t="s">
        <v>381</v>
      </c>
      <c r="AE114" s="78" t="s">
        <v>217</v>
      </c>
      <c r="AF114" s="78" t="s">
        <v>191</v>
      </c>
      <c r="AG114" s="78" t="s">
        <v>191</v>
      </c>
      <c r="AH114" s="23" t="s">
        <v>161</v>
      </c>
      <c r="AI114" s="23" t="s">
        <v>365</v>
      </c>
      <c r="AJ114" s="23" t="s">
        <v>353</v>
      </c>
      <c r="AK114" s="23" t="s">
        <v>1000</v>
      </c>
      <c r="AL114" s="78" t="s">
        <v>1379</v>
      </c>
      <c r="AM114" s="206" t="s">
        <v>1635</v>
      </c>
      <c r="AN114" s="79" t="s">
        <v>1636</v>
      </c>
      <c r="AO114" s="78" t="s">
        <v>401</v>
      </c>
      <c r="AP114" s="78" t="s">
        <v>1381</v>
      </c>
      <c r="AQ114" s="201" t="s">
        <v>921</v>
      </c>
      <c r="AS114" s="209" t="s">
        <v>1382</v>
      </c>
      <c r="AT114" s="23" t="s">
        <v>201</v>
      </c>
      <c r="AU114" s="23" t="s">
        <v>435</v>
      </c>
      <c r="AV114" s="210" t="s">
        <v>454</v>
      </c>
      <c r="AW114" s="211">
        <v>5610000</v>
      </c>
      <c r="AX114" s="175">
        <v>5610000</v>
      </c>
      <c r="AY114" s="212">
        <v>12</v>
      </c>
      <c r="AZ114" s="213">
        <f t="shared" si="40"/>
        <v>67320000</v>
      </c>
      <c r="BA114" s="251"/>
      <c r="BB114" s="251"/>
      <c r="BC114" s="214">
        <v>45839</v>
      </c>
      <c r="BD114" s="215">
        <v>38004000</v>
      </c>
      <c r="BE114" s="215">
        <v>40020000</v>
      </c>
      <c r="BF114" s="215">
        <f t="shared" si="44"/>
        <v>40020000</v>
      </c>
      <c r="BG114" s="215">
        <f t="shared" si="45"/>
        <v>3335000</v>
      </c>
      <c r="BH114" s="215">
        <v>2810800</v>
      </c>
      <c r="BI114" s="216">
        <f t="shared" si="59"/>
        <v>14405.74</v>
      </c>
      <c r="BJ114" s="216">
        <f>IF(AT114="통상",209,VLOOKUP(AD114,'[2]스케줄 분석_20260109'!$B$3:$F$20,5,FALSE))</f>
        <v>209</v>
      </c>
      <c r="BK114" s="216">
        <f>IF(AT114="통상",15,VLOOKUP(AD114,'[2]스케줄 분석_20260109'!$B$3:$P$20,10,FALSE))</f>
        <v>15</v>
      </c>
      <c r="BL114" s="216">
        <f>IF(AT114="통상",0,VLOOKUP(AD114,'[2]스케줄 분석_20260109'!$B$3:$P$20,11,FALSE))</f>
        <v>0</v>
      </c>
      <c r="BM114" s="215">
        <f t="shared" si="46"/>
        <v>324200</v>
      </c>
      <c r="BN114" s="175">
        <f t="shared" si="47"/>
        <v>0</v>
      </c>
      <c r="BO114" s="213">
        <v>200000</v>
      </c>
      <c r="BP114" s="175">
        <f>IF(OR(AT114="스케줄",AT114="스케줄_파라"),ROUNDUP(VLOOKUP(AD114,'[2]스케줄 분석_20260109'!$B$3:$Y$20,23,FALSE)*(VLOOKUP(AD114,'[2]스케줄 분석_20260109'!$B$3:$Y$20,21,FALSE)/VLOOKUP(AD114,'[2]스케줄 분석_20260109'!$B$3:$Y$20,20,FALSE))*VLOOKUP(AD114,'[2]스케줄 분석_20260109'!$B$3:$Y$20,22,FALSE)*VLOOKUP(AD114,'[2]스케줄 분석_20260109'!$B$3:$Y$20,2,FALSE)*1.5*BI114,0),0)</f>
        <v>0</v>
      </c>
      <c r="BQ114" s="217" t="str">
        <f t="shared" si="48"/>
        <v>적합</v>
      </c>
      <c r="BR114" s="213"/>
      <c r="BS114" s="218">
        <f t="shared" si="49"/>
        <v>576229.6</v>
      </c>
      <c r="BT114" s="219">
        <f t="shared" si="50"/>
        <v>3383019.1333333333</v>
      </c>
      <c r="BU114" s="175">
        <f t="shared" si="51"/>
        <v>1786950</v>
      </c>
      <c r="BV114" s="175">
        <f t="shared" si="52"/>
        <v>1532277.648</v>
      </c>
      <c r="BW114" s="175">
        <f t="shared" si="53"/>
        <v>583110</v>
      </c>
      <c r="BX114" s="175">
        <f t="shared" si="54"/>
        <v>248292</v>
      </c>
      <c r="BY114" s="213">
        <f t="shared" si="42"/>
        <v>4168750</v>
      </c>
      <c r="BZ114" s="220">
        <f t="shared" si="55"/>
        <v>43979248.733333334</v>
      </c>
      <c r="CA114" s="213">
        <f t="shared" si="56"/>
        <v>4150629.648</v>
      </c>
      <c r="CB114" s="221">
        <f t="shared" si="57"/>
        <v>50025000</v>
      </c>
      <c r="CC114" s="222">
        <f t="shared" si="58"/>
        <v>17295000</v>
      </c>
      <c r="CD114" s="223">
        <f t="shared" si="41"/>
        <v>25.690730837789662</v>
      </c>
      <c r="CE114" s="283"/>
      <c r="CF114" s="283"/>
      <c r="CK114" s="187"/>
      <c r="CL114" s="188"/>
    </row>
    <row r="115" spans="1:117" ht="17.25" customHeight="1">
      <c r="A115" s="23">
        <f t="shared" si="38"/>
        <v>112</v>
      </c>
      <c r="B115" s="23" t="s">
        <v>248</v>
      </c>
      <c r="C115" s="190">
        <v>2020097</v>
      </c>
      <c r="D115" s="194" t="s">
        <v>455</v>
      </c>
      <c r="E115" s="227" t="s">
        <v>456</v>
      </c>
      <c r="F115" s="227" t="s">
        <v>1637</v>
      </c>
      <c r="G115" s="23" t="s">
        <v>1638</v>
      </c>
      <c r="H115" s="227" t="s">
        <v>1541</v>
      </c>
      <c r="I115" s="227" t="s">
        <v>414</v>
      </c>
      <c r="J115" s="194" t="s">
        <v>207</v>
      </c>
      <c r="K115" s="79" t="s">
        <v>1401</v>
      </c>
      <c r="L115" s="227" t="s">
        <v>1639</v>
      </c>
      <c r="M115" s="227"/>
      <c r="N115" s="227" t="s">
        <v>1640</v>
      </c>
      <c r="O115" t="s">
        <v>1641</v>
      </c>
      <c r="P115" s="229" t="s">
        <v>1642</v>
      </c>
      <c r="Q115" s="214">
        <v>44136</v>
      </c>
      <c r="R115" s="214">
        <v>44136</v>
      </c>
      <c r="S115" s="214"/>
      <c r="T115" s="231" t="s">
        <v>1643</v>
      </c>
      <c r="U115" s="231" t="s">
        <v>1644</v>
      </c>
      <c r="V115" s="201" t="s">
        <v>278</v>
      </c>
      <c r="W115" s="231" t="s">
        <v>1019</v>
      </c>
      <c r="X115" s="200" t="s">
        <v>1282</v>
      </c>
      <c r="Y115" s="200"/>
      <c r="Z115" s="203">
        <f t="shared" ca="1" si="60"/>
        <v>2025</v>
      </c>
      <c r="AA115" s="203">
        <f t="shared" ca="1" si="61"/>
        <v>2025</v>
      </c>
      <c r="AB115" s="232"/>
      <c r="AC115" s="232"/>
      <c r="AD115" s="78" t="s">
        <v>1549</v>
      </c>
      <c r="AE115" s="78" t="s">
        <v>190</v>
      </c>
      <c r="AF115" s="78" t="s">
        <v>263</v>
      </c>
      <c r="AG115" s="78" t="s">
        <v>263</v>
      </c>
      <c r="AH115" s="23" t="s">
        <v>161</v>
      </c>
      <c r="AI115" s="23" t="s">
        <v>465</v>
      </c>
      <c r="AJ115" s="23" t="s">
        <v>466</v>
      </c>
      <c r="AK115" s="233" t="s">
        <v>467</v>
      </c>
      <c r="AL115" s="78" t="s">
        <v>1645</v>
      </c>
      <c r="AM115" s="206" t="s">
        <v>1646</v>
      </c>
      <c r="AN115" s="207" t="s">
        <v>1647</v>
      </c>
      <c r="AO115" s="78" t="s">
        <v>222</v>
      </c>
      <c r="AP115" s="201" t="s">
        <v>1552</v>
      </c>
      <c r="AQ115" s="201" t="s">
        <v>433</v>
      </c>
      <c r="AS115" s="209" t="s">
        <v>473</v>
      </c>
      <c r="AT115" s="23" t="s">
        <v>434</v>
      </c>
      <c r="AU115" s="23" t="s">
        <v>435</v>
      </c>
      <c r="AV115" s="210" t="s">
        <v>454</v>
      </c>
      <c r="AW115" s="211">
        <v>4118000</v>
      </c>
      <c r="AX115" s="175">
        <v>4118000</v>
      </c>
      <c r="AY115" s="212">
        <v>12</v>
      </c>
      <c r="AZ115" s="213">
        <f t="shared" si="40"/>
        <v>49416000</v>
      </c>
      <c r="BC115" s="214">
        <v>45839</v>
      </c>
      <c r="BD115" s="215">
        <v>31585080</v>
      </c>
      <c r="BE115" s="215">
        <v>32353200</v>
      </c>
      <c r="BF115" s="215">
        <f t="shared" si="44"/>
        <v>32353200</v>
      </c>
      <c r="BG115" s="215">
        <f t="shared" si="45"/>
        <v>2696100</v>
      </c>
      <c r="BH115" s="215">
        <v>1854600</v>
      </c>
      <c r="BI115" s="216">
        <f t="shared" si="59"/>
        <v>13025.23</v>
      </c>
      <c r="BJ115" s="216">
        <f>IF(AT115="통상",209,VLOOKUP(AD115,'[2]스케줄 분석_20260109'!$B$3:$F$20,5,FALSE))</f>
        <v>157.74</v>
      </c>
      <c r="BK115" s="216">
        <f>IF(AT115="통상",15,VLOOKUP(AD115,'[2]스케줄 분석_20260109'!$B$3:$P$20,10,FALSE))</f>
        <v>32.590000000000003</v>
      </c>
      <c r="BL115" s="216">
        <f>IF(AT115="통상",0,VLOOKUP(AD115,'[2]스케줄 분석_20260109'!$B$3:$P$20,11,FALSE))</f>
        <v>65.900000000000006</v>
      </c>
      <c r="BM115" s="215">
        <f t="shared" si="46"/>
        <v>212300</v>
      </c>
      <c r="BN115" s="175">
        <f t="shared" si="47"/>
        <v>429200</v>
      </c>
      <c r="BO115" s="213">
        <v>200000</v>
      </c>
      <c r="BP115" s="175">
        <f>IF(OR(AT115="스케줄",AT115="스케줄_파라"),ROUNDUP(VLOOKUP(AD115,'[2]스케줄 분석_20260109'!$B$3:$Y$20,23,FALSE)*(VLOOKUP(AD115,'[2]스케줄 분석_20260109'!$B$3:$Y$20,21,FALSE)/VLOOKUP(AD115,'[2]스케줄 분석_20260109'!$B$3:$Y$20,20,FALSE))*VLOOKUP(AD115,'[2]스케줄 분석_20260109'!$B$3:$Y$20,22,FALSE)*VLOOKUP(AD115,'[2]스케줄 분석_20260109'!$B$3:$Y$20,2,FALSE)*1.5*BI115,0),0)</f>
        <v>3145594</v>
      </c>
      <c r="BQ115" s="217" t="str">
        <f t="shared" si="48"/>
        <v>적합</v>
      </c>
      <c r="BR115" s="213"/>
      <c r="BS115" s="218">
        <f t="shared" si="49"/>
        <v>1302523</v>
      </c>
      <c r="BT115" s="219">
        <f t="shared" si="50"/>
        <v>2804643.5833333335</v>
      </c>
      <c r="BU115" s="175">
        <f t="shared" si="51"/>
        <v>1422777</v>
      </c>
      <c r="BV115" s="175">
        <f t="shared" si="52"/>
        <v>1220005.8172799998</v>
      </c>
      <c r="BW115" s="175">
        <f t="shared" si="53"/>
        <v>464274.6</v>
      </c>
      <c r="BX115" s="175">
        <f t="shared" si="54"/>
        <v>197691.12</v>
      </c>
      <c r="BY115" s="213">
        <f t="shared" si="42"/>
        <v>3370125</v>
      </c>
      <c r="BZ115" s="220">
        <f t="shared" si="55"/>
        <v>36460366.583333336</v>
      </c>
      <c r="CA115" s="213">
        <f t="shared" si="56"/>
        <v>3304748.5372800003</v>
      </c>
      <c r="CB115" s="221">
        <f t="shared" si="57"/>
        <v>40441500</v>
      </c>
      <c r="CC115" s="222">
        <f t="shared" si="58"/>
        <v>5168331.26</v>
      </c>
      <c r="CD115" s="223">
        <f t="shared" si="41"/>
        <v>10.45882155577141</v>
      </c>
      <c r="CE115" s="283"/>
      <c r="CF115" s="283"/>
      <c r="CJ115" s="111"/>
      <c r="CK115" s="187"/>
      <c r="CL115" s="188"/>
      <c r="CM115" s="111"/>
      <c r="CN115" s="111"/>
      <c r="CO115" s="111"/>
      <c r="CP115" s="111"/>
      <c r="CQ115" s="111"/>
      <c r="CR115" s="111"/>
      <c r="CS115" s="111"/>
      <c r="CT115" s="111"/>
      <c r="CU115" s="111"/>
      <c r="CV115" s="111"/>
      <c r="CW115" s="111"/>
      <c r="CX115" s="111"/>
      <c r="CY115" s="111"/>
      <c r="CZ115" s="111"/>
      <c r="DA115" s="111"/>
      <c r="DB115" s="111"/>
      <c r="DC115" s="111"/>
      <c r="DD115" s="111"/>
      <c r="DE115" s="111"/>
      <c r="DF115" s="111"/>
      <c r="DG115" s="111"/>
      <c r="DH115" s="111"/>
      <c r="DI115" s="111"/>
      <c r="DJ115" s="111"/>
      <c r="DK115" s="111"/>
    </row>
    <row r="116" spans="1:117" ht="17.25" customHeight="1">
      <c r="A116" s="23">
        <f t="shared" si="38"/>
        <v>113</v>
      </c>
      <c r="B116" s="23" t="s">
        <v>248</v>
      </c>
      <c r="C116" s="190">
        <v>2020101</v>
      </c>
      <c r="D116" s="194" t="s">
        <v>1648</v>
      </c>
      <c r="E116" s="227" t="s">
        <v>656</v>
      </c>
      <c r="F116" s="23" t="s">
        <v>1649</v>
      </c>
      <c r="G116" s="23" t="s">
        <v>1192</v>
      </c>
      <c r="H116" s="227" t="s">
        <v>1474</v>
      </c>
      <c r="I116" s="227" t="s">
        <v>1475</v>
      </c>
      <c r="J116" s="194" t="s">
        <v>207</v>
      </c>
      <c r="K116" s="79" t="s">
        <v>841</v>
      </c>
      <c r="L116" s="227" t="s">
        <v>1437</v>
      </c>
      <c r="M116" s="227"/>
      <c r="N116" s="228" t="s">
        <v>1650</v>
      </c>
      <c r="O116" t="s">
        <v>1651</v>
      </c>
      <c r="P116" s="229" t="s">
        <v>1652</v>
      </c>
      <c r="Q116" s="214">
        <v>44144</v>
      </c>
      <c r="R116" s="214">
        <v>44144</v>
      </c>
      <c r="S116" s="214"/>
      <c r="T116" s="231" t="s">
        <v>1653</v>
      </c>
      <c r="U116" s="231" t="s">
        <v>1654</v>
      </c>
      <c r="V116" s="201" t="s">
        <v>261</v>
      </c>
      <c r="W116" s="231" t="s">
        <v>684</v>
      </c>
      <c r="X116" s="200" t="s">
        <v>187</v>
      </c>
      <c r="Y116" s="200"/>
      <c r="Z116" s="203">
        <f t="shared" ca="1" si="60"/>
        <v>2017</v>
      </c>
      <c r="AA116" s="203">
        <f t="shared" ca="1" si="61"/>
        <v>2017</v>
      </c>
      <c r="AB116" s="232"/>
      <c r="AC116" s="232"/>
      <c r="AD116" s="78" t="s">
        <v>675</v>
      </c>
      <c r="AE116" s="78" t="s">
        <v>217</v>
      </c>
      <c r="AF116" s="78" t="s">
        <v>160</v>
      </c>
      <c r="AG116" s="78" t="s">
        <v>160</v>
      </c>
      <c r="AH116" s="23" t="s">
        <v>161</v>
      </c>
      <c r="AI116" s="23" t="s">
        <v>1655</v>
      </c>
      <c r="AJ116" s="23" t="s">
        <v>483</v>
      </c>
      <c r="AK116" s="23">
        <v>13486</v>
      </c>
      <c r="AL116" s="78" t="s">
        <v>163</v>
      </c>
      <c r="AM116" s="206" t="s">
        <v>1656</v>
      </c>
      <c r="AN116" s="207" t="s">
        <v>1657</v>
      </c>
      <c r="AO116" s="78" t="s">
        <v>166</v>
      </c>
      <c r="AP116" s="78" t="s">
        <v>1143</v>
      </c>
      <c r="AQ116" s="201" t="s">
        <v>1144</v>
      </c>
      <c r="AS116" s="209" t="s">
        <v>1658</v>
      </c>
      <c r="AT116" s="23" t="s">
        <v>434</v>
      </c>
      <c r="AU116" s="23" t="s">
        <v>435</v>
      </c>
      <c r="AV116" s="210" t="s">
        <v>454</v>
      </c>
      <c r="AW116" s="211">
        <v>4071000</v>
      </c>
      <c r="AX116" s="175">
        <v>4071000</v>
      </c>
      <c r="AY116" s="212">
        <v>12</v>
      </c>
      <c r="AZ116" s="213">
        <f t="shared" si="40"/>
        <v>48852000</v>
      </c>
      <c r="BA116" s="213"/>
      <c r="BB116" s="213"/>
      <c r="BC116" s="230">
        <v>46023</v>
      </c>
      <c r="BD116" s="215">
        <v>31202040</v>
      </c>
      <c r="BE116" s="215">
        <v>33002400</v>
      </c>
      <c r="BF116" s="261">
        <f t="shared" si="44"/>
        <v>34003200</v>
      </c>
      <c r="BG116" s="215">
        <f t="shared" si="45"/>
        <v>2833600</v>
      </c>
      <c r="BH116" s="215">
        <v>2244800</v>
      </c>
      <c r="BI116" s="216">
        <f t="shared" si="59"/>
        <v>12782.6</v>
      </c>
      <c r="BJ116" s="216">
        <f>IF(AT116="통상",209,VLOOKUP(AD116,'[2]스케줄 분석_20260109'!$B$3:$F$20,5,FALSE))</f>
        <v>191.26</v>
      </c>
      <c r="BK116" s="216">
        <f>IF(AT116="통상",15,VLOOKUP(AD116,'[2]스케줄 분석_20260109'!$B$3:$P$20,10,FALSE))</f>
        <v>27.88</v>
      </c>
      <c r="BL116" s="216">
        <f>IF(AT116="통상",0,VLOOKUP(AD116,'[2]스케줄 분석_20260109'!$B$3:$P$20,11,FALSE))</f>
        <v>32.950000000000003</v>
      </c>
      <c r="BM116" s="215">
        <f t="shared" si="46"/>
        <v>178200</v>
      </c>
      <c r="BN116" s="175">
        <f t="shared" si="47"/>
        <v>210600</v>
      </c>
      <c r="BO116" s="213">
        <v>200000</v>
      </c>
      <c r="BP116" s="175">
        <f>IF(OR(AT116="스케줄",AT116="스케줄_파라"),ROUNDUP(VLOOKUP(AD116,'[2]스케줄 분석_20260109'!$B$3:$Y$20,23,FALSE)*(VLOOKUP(AD116,'[2]스케줄 분석_20260109'!$B$3:$Y$20,21,FALSE)/VLOOKUP(AD116,'[2]스케줄 분석_20260109'!$B$3:$Y$20,20,FALSE))*VLOOKUP(AD116,'[2]스케줄 분석_20260109'!$B$3:$Y$20,22,FALSE)*VLOOKUP(AD116,'[2]스케줄 분석_20260109'!$B$3:$Y$20,2,FALSE)*1.5*BI116,0),0)</f>
        <v>735379</v>
      </c>
      <c r="BQ116" s="217" t="str">
        <f t="shared" si="48"/>
        <v>적합</v>
      </c>
      <c r="BR116" s="253">
        <v>250000</v>
      </c>
      <c r="BS116" s="218">
        <f t="shared" si="49"/>
        <v>1278260</v>
      </c>
      <c r="BT116" s="219">
        <f t="shared" si="50"/>
        <v>2940121.6666666665</v>
      </c>
      <c r="BU116" s="175">
        <f t="shared" si="51"/>
        <v>1501152</v>
      </c>
      <c r="BV116" s="175">
        <f t="shared" si="52"/>
        <v>1287210.97728</v>
      </c>
      <c r="BW116" s="175">
        <f t="shared" si="53"/>
        <v>489849.59999999998</v>
      </c>
      <c r="BX116" s="175">
        <f t="shared" si="54"/>
        <v>208581.12</v>
      </c>
      <c r="BY116" s="213">
        <f t="shared" si="42"/>
        <v>3542000</v>
      </c>
      <c r="BZ116" s="220">
        <f t="shared" si="55"/>
        <v>38221581.666666664</v>
      </c>
      <c r="CA116" s="213">
        <f t="shared" si="56"/>
        <v>3486793.6972800004</v>
      </c>
      <c r="CB116" s="221">
        <f t="shared" si="57"/>
        <v>42504000</v>
      </c>
      <c r="CC116" s="222">
        <f t="shared" si="58"/>
        <v>5458191.4100000001</v>
      </c>
      <c r="CD116" s="223">
        <f t="shared" si="41"/>
        <v>11.172912900188324</v>
      </c>
      <c r="CE116" s="283"/>
      <c r="CF116" s="283"/>
      <c r="CK116" s="187"/>
      <c r="CL116" s="188"/>
    </row>
    <row r="117" spans="1:117" ht="17.25" customHeight="1">
      <c r="A117" s="23">
        <f t="shared" si="38"/>
        <v>114</v>
      </c>
      <c r="B117" s="23" t="s">
        <v>248</v>
      </c>
      <c r="C117" s="190">
        <v>2020106</v>
      </c>
      <c r="D117" s="194" t="s">
        <v>1007</v>
      </c>
      <c r="E117" s="227" t="s">
        <v>1008</v>
      </c>
      <c r="F117" s="227" t="s">
        <v>1659</v>
      </c>
      <c r="G117" s="23" t="s">
        <v>412</v>
      </c>
      <c r="H117" s="227" t="s">
        <v>992</v>
      </c>
      <c r="I117" s="227" t="s">
        <v>741</v>
      </c>
      <c r="J117" s="194" t="s">
        <v>178</v>
      </c>
      <c r="K117" s="79" t="s">
        <v>993</v>
      </c>
      <c r="L117" s="227" t="s">
        <v>1660</v>
      </c>
      <c r="M117" s="227" t="s">
        <v>1013</v>
      </c>
      <c r="N117" s="228" t="s">
        <v>1661</v>
      </c>
      <c r="O117" t="s">
        <v>1662</v>
      </c>
      <c r="P117" s="229" t="s">
        <v>1663</v>
      </c>
      <c r="Q117" s="214">
        <v>44179</v>
      </c>
      <c r="R117" s="214">
        <v>44179</v>
      </c>
      <c r="S117" s="214"/>
      <c r="T117" s="231" t="s">
        <v>1664</v>
      </c>
      <c r="U117" s="231" t="s">
        <v>1199</v>
      </c>
      <c r="V117" s="201" t="s">
        <v>278</v>
      </c>
      <c r="W117" s="231" t="s">
        <v>187</v>
      </c>
      <c r="Z117" s="203">
        <f t="shared" ca="1" si="60"/>
        <v>1982</v>
      </c>
      <c r="AA117" s="203">
        <f t="shared" ca="1" si="61"/>
        <v>1982</v>
      </c>
      <c r="AB117" s="232"/>
      <c r="AC117" s="232"/>
      <c r="AD117" s="78" t="s">
        <v>1264</v>
      </c>
      <c r="AE117" s="78" t="s">
        <v>833</v>
      </c>
      <c r="AF117" s="78" t="s">
        <v>191</v>
      </c>
      <c r="AG117" s="78" t="s">
        <v>191</v>
      </c>
      <c r="AH117" s="23" t="s">
        <v>161</v>
      </c>
      <c r="AI117" s="23" t="s">
        <v>1021</v>
      </c>
      <c r="AJ117" s="23" t="s">
        <v>1008</v>
      </c>
      <c r="AK117" s="23" t="s">
        <v>1022</v>
      </c>
      <c r="AL117" s="78" t="s">
        <v>1023</v>
      </c>
      <c r="AM117" s="269" t="s">
        <v>1665</v>
      </c>
      <c r="AN117" s="207" t="s">
        <v>1666</v>
      </c>
      <c r="AO117" s="78" t="s">
        <v>401</v>
      </c>
      <c r="AP117" s="201" t="s">
        <v>1004</v>
      </c>
      <c r="AQ117" s="201" t="s">
        <v>1005</v>
      </c>
      <c r="AS117" s="209" t="s">
        <v>1006</v>
      </c>
      <c r="AT117" s="23" t="s">
        <v>434</v>
      </c>
      <c r="AU117" s="23" t="s">
        <v>435</v>
      </c>
      <c r="AV117" s="210" t="s">
        <v>454</v>
      </c>
      <c r="AW117" s="211">
        <v>5151000</v>
      </c>
      <c r="AX117" s="175">
        <v>5151000</v>
      </c>
      <c r="AY117" s="212">
        <v>12</v>
      </c>
      <c r="AZ117" s="213">
        <f t="shared" si="40"/>
        <v>61812000</v>
      </c>
      <c r="BC117" s="214">
        <v>45839</v>
      </c>
      <c r="BD117" s="215">
        <v>32065200</v>
      </c>
      <c r="BE117" s="215">
        <v>33025200</v>
      </c>
      <c r="BF117" s="215">
        <f t="shared" si="44"/>
        <v>33025200</v>
      </c>
      <c r="BG117" s="215">
        <f t="shared" si="45"/>
        <v>2752100</v>
      </c>
      <c r="BH117" s="215">
        <v>1959300</v>
      </c>
      <c r="BI117" s="216">
        <f t="shared" si="59"/>
        <v>13813.33</v>
      </c>
      <c r="BJ117" s="216">
        <f>IF(AT117="통상",209,VLOOKUP(AD117,'[2]스케줄 분석_20260109'!$B$3:$F$20,5,FALSE))</f>
        <v>156.32000000000002</v>
      </c>
      <c r="BK117" s="216">
        <f>IF(AT117="통상",15,VLOOKUP(AD117,'[2]스케줄 분석_20260109'!$B$3:$P$20,10,FALSE))</f>
        <v>36.39</v>
      </c>
      <c r="BL117" s="216">
        <f>IF(AT117="통상",0,VLOOKUP(AD117,'[2]스케줄 분석_20260109'!$B$3:$P$20,11,FALSE))</f>
        <v>49.43</v>
      </c>
      <c r="BM117" s="215">
        <f t="shared" si="46"/>
        <v>251400</v>
      </c>
      <c r="BN117" s="175">
        <f t="shared" si="47"/>
        <v>341400</v>
      </c>
      <c r="BO117" s="213">
        <v>200000</v>
      </c>
      <c r="BP117" s="175">
        <f>IF(OR(AT117="스케줄",AT117="스케줄_파라"),ROUNDUP(VLOOKUP(AD117,'[2]스케줄 분석_20260109'!$B$3:$Y$20,23,FALSE)*(VLOOKUP(AD117,'[2]스케줄 분석_20260109'!$B$3:$Y$20,21,FALSE)/VLOOKUP(AD117,'[2]스케줄 분석_20260109'!$B$3:$Y$20,20,FALSE))*VLOOKUP(AD117,'[2]스케줄 분석_20260109'!$B$3:$Y$20,22,FALSE)*VLOOKUP(AD117,'[2]스케줄 분석_20260109'!$B$3:$Y$20,2,FALSE)*1.5*BI117,0),0)</f>
        <v>2600360</v>
      </c>
      <c r="BQ117" s="217" t="str">
        <f t="shared" si="48"/>
        <v>적합</v>
      </c>
      <c r="BR117" s="213"/>
      <c r="BS117" s="218">
        <f t="shared" si="49"/>
        <v>1381333</v>
      </c>
      <c r="BT117" s="219">
        <f t="shared" si="50"/>
        <v>2867211.0833333335</v>
      </c>
      <c r="BU117" s="175">
        <f t="shared" si="51"/>
        <v>1454697</v>
      </c>
      <c r="BV117" s="175">
        <f t="shared" si="52"/>
        <v>1247376.6460799999</v>
      </c>
      <c r="BW117" s="175">
        <f t="shared" si="53"/>
        <v>474690.6</v>
      </c>
      <c r="BX117" s="175">
        <f t="shared" si="54"/>
        <v>202126.32</v>
      </c>
      <c r="BY117" s="213">
        <f t="shared" si="42"/>
        <v>3440125</v>
      </c>
      <c r="BZ117" s="220">
        <f t="shared" si="55"/>
        <v>37273744.083333336</v>
      </c>
      <c r="CA117" s="213">
        <f t="shared" si="56"/>
        <v>3378890.5660799998</v>
      </c>
      <c r="CB117" s="221">
        <f t="shared" si="57"/>
        <v>41281500</v>
      </c>
      <c r="CC117" s="222">
        <f t="shared" si="58"/>
        <v>17384064.399999999</v>
      </c>
      <c r="CD117" s="223">
        <f t="shared" si="41"/>
        <v>28.124093056364458</v>
      </c>
      <c r="CJ117" s="79"/>
      <c r="CK117" s="187"/>
      <c r="CL117" s="188"/>
      <c r="CM117" s="79"/>
      <c r="CN117" s="79"/>
      <c r="CO117" s="79"/>
      <c r="CP117" s="79"/>
      <c r="CQ117" s="79"/>
      <c r="CR117" s="79"/>
      <c r="CS117" s="79"/>
      <c r="CT117" s="79"/>
      <c r="CU117" s="79"/>
      <c r="CV117" s="79"/>
      <c r="CW117" s="79"/>
      <c r="CX117" s="79"/>
      <c r="CY117" s="79"/>
      <c r="CZ117" s="79"/>
      <c r="DA117" s="79"/>
      <c r="DB117" s="79"/>
      <c r="DC117" s="79"/>
      <c r="DD117" s="79"/>
      <c r="DE117" s="79"/>
      <c r="DF117" s="79"/>
      <c r="DG117" s="79"/>
      <c r="DH117" s="79"/>
      <c r="DI117" s="79"/>
      <c r="DJ117" s="79"/>
      <c r="DK117" s="79"/>
    </row>
    <row r="118" spans="1:117" ht="17.25" customHeight="1">
      <c r="A118" s="23">
        <f t="shared" si="38"/>
        <v>115</v>
      </c>
      <c r="B118" s="23" t="s">
        <v>439</v>
      </c>
      <c r="C118" s="190">
        <v>2022032</v>
      </c>
      <c r="D118" s="191" t="s">
        <v>409</v>
      </c>
      <c r="E118" s="227" t="s">
        <v>410</v>
      </c>
      <c r="F118" s="284" t="s">
        <v>1667</v>
      </c>
      <c r="G118" s="23" t="s">
        <v>1192</v>
      </c>
      <c r="H118" s="227" t="s">
        <v>1541</v>
      </c>
      <c r="I118" s="227" t="s">
        <v>414</v>
      </c>
      <c r="J118" s="194" t="s">
        <v>178</v>
      </c>
      <c r="K118" s="79" t="s">
        <v>1401</v>
      </c>
      <c r="L118" s="227" t="s">
        <v>1668</v>
      </c>
      <c r="M118" s="192" t="s">
        <v>417</v>
      </c>
      <c r="N118" s="228" t="s">
        <v>1669</v>
      </c>
      <c r="O118" s="285" t="s">
        <v>1670</v>
      </c>
      <c r="P118" s="229" t="s">
        <v>1671</v>
      </c>
      <c r="Q118" s="214">
        <v>44728</v>
      </c>
      <c r="R118" s="214">
        <v>44728</v>
      </c>
      <c r="S118" s="214"/>
      <c r="T118" s="231" t="s">
        <v>1672</v>
      </c>
      <c r="U118" s="231" t="s">
        <v>1673</v>
      </c>
      <c r="V118" s="201" t="s">
        <v>278</v>
      </c>
      <c r="W118" s="200" t="s">
        <v>1674</v>
      </c>
      <c r="X118" s="200" t="s">
        <v>1675</v>
      </c>
      <c r="Y118" s="200" t="s">
        <v>1676</v>
      </c>
      <c r="Z118" s="203">
        <f t="shared" ca="1" si="60"/>
        <v>1433</v>
      </c>
      <c r="AA118" s="203">
        <f t="shared" ca="1" si="61"/>
        <v>1433</v>
      </c>
      <c r="AB118" s="203"/>
      <c r="AC118" s="232"/>
      <c r="AD118" s="78" t="s">
        <v>426</v>
      </c>
      <c r="AE118" s="78" t="s">
        <v>217</v>
      </c>
      <c r="AF118" s="78" t="s">
        <v>218</v>
      </c>
      <c r="AG118" s="78" t="s">
        <v>218</v>
      </c>
      <c r="AH118" s="23" t="s">
        <v>161</v>
      </c>
      <c r="AI118" s="23" t="s">
        <v>162</v>
      </c>
      <c r="AJ118" s="23" t="s">
        <v>427</v>
      </c>
      <c r="AK118" s="23">
        <v>13486</v>
      </c>
      <c r="AL118" s="78" t="s">
        <v>428</v>
      </c>
      <c r="AM118" s="206" t="s">
        <v>1677</v>
      </c>
      <c r="AN118" s="207" t="s">
        <v>1678</v>
      </c>
      <c r="AO118" s="78" t="s">
        <v>431</v>
      </c>
      <c r="AP118" s="208" t="s">
        <v>432</v>
      </c>
      <c r="AQ118" s="201" t="s">
        <v>433</v>
      </c>
      <c r="AS118" s="209" t="s">
        <v>453</v>
      </c>
      <c r="AT118" s="23" t="s">
        <v>434</v>
      </c>
      <c r="AU118" s="23" t="s">
        <v>435</v>
      </c>
      <c r="AV118" s="210" t="s">
        <v>454</v>
      </c>
      <c r="AW118" s="211">
        <v>4117000</v>
      </c>
      <c r="AX118" s="175">
        <v>4117000</v>
      </c>
      <c r="AY118" s="236">
        <v>12</v>
      </c>
      <c r="AZ118" s="213">
        <f t="shared" si="40"/>
        <v>49404000</v>
      </c>
      <c r="BA118" s="148"/>
      <c r="BB118" s="148"/>
      <c r="BC118" s="214">
        <v>45839</v>
      </c>
      <c r="BD118" s="215">
        <v>30812040</v>
      </c>
      <c r="BE118" s="215">
        <v>32967600</v>
      </c>
      <c r="BF118" s="215">
        <f t="shared" si="44"/>
        <v>32967600</v>
      </c>
      <c r="BG118" s="215">
        <f t="shared" si="45"/>
        <v>2747300</v>
      </c>
      <c r="BH118" s="215">
        <v>2019700</v>
      </c>
      <c r="BI118" s="216">
        <f t="shared" si="59"/>
        <v>12063.59</v>
      </c>
      <c r="BJ118" s="216">
        <f>IF(AT118="통상",209,VLOOKUP(AD118,'[2]스케줄 분석_20260109'!$B$3:$F$20,5,FALSE))</f>
        <v>184</v>
      </c>
      <c r="BK118" s="216">
        <f>IF(AT118="통상",15,VLOOKUP(AD118,'[2]스케줄 분석_20260109'!$B$3:$P$20,10,FALSE))</f>
        <v>38.020000000000003</v>
      </c>
      <c r="BL118" s="216">
        <f>IF(AT118="통상",0,VLOOKUP(AD118,'[2]스케줄 분석_20260109'!$B$3:$P$20,11,FALSE))</f>
        <v>49.43</v>
      </c>
      <c r="BM118" s="215">
        <f t="shared" si="46"/>
        <v>229400</v>
      </c>
      <c r="BN118" s="175">
        <f t="shared" si="47"/>
        <v>298200</v>
      </c>
      <c r="BO118" s="213">
        <v>200000</v>
      </c>
      <c r="BP118" s="175">
        <f>IF(OR(AT118="스케줄",AT118="스케줄_파라"),ROUNDUP(VLOOKUP(AD118,'[2]스케줄 분석_20260109'!$B$3:$Y$20,23,FALSE)*(VLOOKUP(AD118,'[2]스케줄 분석_20260109'!$B$3:$Y$20,21,FALSE)/VLOOKUP(AD118,'[2]스케줄 분석_20260109'!$B$3:$Y$20,20,FALSE))*VLOOKUP(AD118,'[2]스케줄 분석_20260109'!$B$3:$Y$20,22,FALSE)*VLOOKUP(AD118,'[2]스케줄 분석_20260109'!$B$3:$Y$20,2,FALSE)*1.5*BI118,0),0)</f>
        <v>2185018</v>
      </c>
      <c r="BQ118" s="217" t="str">
        <f t="shared" si="48"/>
        <v>적합</v>
      </c>
      <c r="BR118" s="175"/>
      <c r="BS118" s="218">
        <f t="shared" si="49"/>
        <v>1206359</v>
      </c>
      <c r="BT118" s="219">
        <f t="shared" si="50"/>
        <v>2847829.9166666665</v>
      </c>
      <c r="BU118" s="175">
        <f t="shared" si="51"/>
        <v>1451961</v>
      </c>
      <c r="BV118" s="175">
        <f t="shared" si="52"/>
        <v>1245030.5750399998</v>
      </c>
      <c r="BW118" s="175">
        <f t="shared" si="53"/>
        <v>473797.8</v>
      </c>
      <c r="BX118" s="175">
        <f t="shared" si="54"/>
        <v>201746.16</v>
      </c>
      <c r="BY118" s="213">
        <f t="shared" si="42"/>
        <v>3434125</v>
      </c>
      <c r="BZ118" s="220">
        <f t="shared" si="55"/>
        <v>37021788.916666664</v>
      </c>
      <c r="CA118" s="175">
        <f t="shared" si="56"/>
        <v>3372535.5350399995</v>
      </c>
      <c r="CB118" s="221">
        <f t="shared" si="57"/>
        <v>41209500</v>
      </c>
      <c r="CC118" s="222">
        <f t="shared" si="58"/>
        <v>5550628.2200000007</v>
      </c>
      <c r="CD118" s="223">
        <f t="shared" si="41"/>
        <v>11.235179783013523</v>
      </c>
      <c r="CG118" s="23" t="s">
        <v>1679</v>
      </c>
      <c r="CH118" s="23" t="s">
        <v>1680</v>
      </c>
      <c r="CK118" s="187"/>
      <c r="CL118" s="188"/>
    </row>
    <row r="119" spans="1:117" ht="17.25" customHeight="1">
      <c r="A119" s="23">
        <f t="shared" si="38"/>
        <v>116</v>
      </c>
      <c r="B119" s="23" t="s">
        <v>439</v>
      </c>
      <c r="C119" s="190">
        <v>2021030</v>
      </c>
      <c r="D119" s="194" t="s">
        <v>1007</v>
      </c>
      <c r="E119" s="227" t="s">
        <v>1008</v>
      </c>
      <c r="F119" s="227" t="s">
        <v>1681</v>
      </c>
      <c r="G119" s="23" t="s">
        <v>1682</v>
      </c>
      <c r="H119" s="227" t="s">
        <v>992</v>
      </c>
      <c r="I119" s="227" t="s">
        <v>741</v>
      </c>
      <c r="J119" s="194" t="s">
        <v>178</v>
      </c>
      <c r="K119" s="79" t="s">
        <v>993</v>
      </c>
      <c r="L119" s="227" t="s">
        <v>1683</v>
      </c>
      <c r="M119" s="227"/>
      <c r="N119" s="227" t="s">
        <v>1684</v>
      </c>
      <c r="O119" t="s">
        <v>1685</v>
      </c>
      <c r="P119" s="229" t="s">
        <v>1686</v>
      </c>
      <c r="Q119" s="214">
        <v>44368</v>
      </c>
      <c r="R119" s="214">
        <v>44368</v>
      </c>
      <c r="S119" s="214"/>
      <c r="T119" s="231" t="s">
        <v>1687</v>
      </c>
      <c r="U119" s="231" t="s">
        <v>1688</v>
      </c>
      <c r="V119" s="201" t="s">
        <v>278</v>
      </c>
      <c r="Z119" s="203">
        <f t="shared" ca="1" si="60"/>
        <v>1793</v>
      </c>
      <c r="AA119" s="203">
        <f t="shared" ca="1" si="61"/>
        <v>1793</v>
      </c>
      <c r="AB119" s="232"/>
      <c r="AC119" s="232"/>
      <c r="AD119" s="78" t="s">
        <v>1264</v>
      </c>
      <c r="AE119" s="78" t="s">
        <v>833</v>
      </c>
      <c r="AF119" s="78" t="s">
        <v>191</v>
      </c>
      <c r="AG119" s="78" t="s">
        <v>191</v>
      </c>
      <c r="AH119" s="23" t="s">
        <v>161</v>
      </c>
      <c r="AI119" s="23" t="s">
        <v>1021</v>
      </c>
      <c r="AJ119" s="23" t="s">
        <v>1008</v>
      </c>
      <c r="AK119" s="23" t="s">
        <v>1022</v>
      </c>
      <c r="AL119" s="78" t="s">
        <v>1175</v>
      </c>
      <c r="AM119" s="278">
        <v>28750</v>
      </c>
      <c r="AN119" s="279" t="s">
        <v>1689</v>
      </c>
      <c r="AO119" s="78" t="s">
        <v>401</v>
      </c>
      <c r="AP119" s="201" t="s">
        <v>1004</v>
      </c>
      <c r="AQ119" s="201" t="s">
        <v>1005</v>
      </c>
      <c r="AS119" s="209" t="s">
        <v>1006</v>
      </c>
      <c r="AT119" s="23" t="s">
        <v>434</v>
      </c>
      <c r="AU119" s="23" t="s">
        <v>435</v>
      </c>
      <c r="AV119" s="210" t="s">
        <v>454</v>
      </c>
      <c r="AW119" s="211">
        <v>5151000</v>
      </c>
      <c r="AX119" s="175">
        <v>5151000</v>
      </c>
      <c r="AY119" s="212">
        <v>12</v>
      </c>
      <c r="AZ119" s="213">
        <f t="shared" si="40"/>
        <v>61812000</v>
      </c>
      <c r="BC119" s="214">
        <v>45839</v>
      </c>
      <c r="BD119" s="215">
        <v>31560600</v>
      </c>
      <c r="BE119" s="215">
        <v>32760000</v>
      </c>
      <c r="BF119" s="215">
        <f t="shared" si="44"/>
        <v>32760000</v>
      </c>
      <c r="BG119" s="215">
        <f t="shared" si="45"/>
        <v>2730000</v>
      </c>
      <c r="BH119" s="215">
        <v>1941900</v>
      </c>
      <c r="BI119" s="216">
        <f t="shared" si="59"/>
        <v>13702.02</v>
      </c>
      <c r="BJ119" s="216">
        <f>IF(AT119="통상",209,VLOOKUP(AD119,'[2]스케줄 분석_20260109'!$B$3:$F$20,5,FALSE))</f>
        <v>156.32000000000002</v>
      </c>
      <c r="BK119" s="216">
        <f>IF(AT119="통상",15,VLOOKUP(AD119,'[2]스케줄 분석_20260109'!$B$3:$P$20,10,FALSE))</f>
        <v>36.39</v>
      </c>
      <c r="BL119" s="216">
        <f>IF(AT119="통상",0,VLOOKUP(AD119,'[2]스케줄 분석_20260109'!$B$3:$P$20,11,FALSE))</f>
        <v>49.43</v>
      </c>
      <c r="BM119" s="215">
        <f t="shared" si="46"/>
        <v>249400</v>
      </c>
      <c r="BN119" s="175">
        <f t="shared" si="47"/>
        <v>338700</v>
      </c>
      <c r="BO119" s="213">
        <v>200000</v>
      </c>
      <c r="BP119" s="175">
        <f>IF(OR(AT119="스케줄",AT119="스케줄_파라"),ROUNDUP(VLOOKUP(AD119,'[2]스케줄 분석_20260109'!$B$3:$Y$20,23,FALSE)*(VLOOKUP(AD119,'[2]스케줄 분석_20260109'!$B$3:$Y$20,21,FALSE)/VLOOKUP(AD119,'[2]스케줄 분석_20260109'!$B$3:$Y$20,20,FALSE))*VLOOKUP(AD119,'[2]스케줄 분석_20260109'!$B$3:$Y$20,22,FALSE)*VLOOKUP(AD119,'[2]스케줄 분석_20260109'!$B$3:$Y$20,2,FALSE)*1.5*BI119,0),0)</f>
        <v>2579406</v>
      </c>
      <c r="BQ119" s="217" t="str">
        <f t="shared" si="48"/>
        <v>적합</v>
      </c>
      <c r="BR119" s="213"/>
      <c r="BS119" s="218">
        <f t="shared" si="49"/>
        <v>1370202</v>
      </c>
      <c r="BT119" s="219">
        <f t="shared" si="50"/>
        <v>2844183.5</v>
      </c>
      <c r="BU119" s="175">
        <f t="shared" si="51"/>
        <v>1442100</v>
      </c>
      <c r="BV119" s="175">
        <f t="shared" si="52"/>
        <v>1236574.9439999999</v>
      </c>
      <c r="BW119" s="175">
        <f t="shared" si="53"/>
        <v>470580</v>
      </c>
      <c r="BX119" s="175">
        <f t="shared" si="54"/>
        <v>200376</v>
      </c>
      <c r="BY119" s="213">
        <f t="shared" si="42"/>
        <v>3412500</v>
      </c>
      <c r="BZ119" s="220">
        <f t="shared" si="55"/>
        <v>36974385.5</v>
      </c>
      <c r="CA119" s="213">
        <f t="shared" si="56"/>
        <v>3349630.9440000001</v>
      </c>
      <c r="CB119" s="221">
        <f t="shared" si="57"/>
        <v>40950000</v>
      </c>
      <c r="CC119" s="222">
        <f t="shared" si="58"/>
        <v>17740918.740000002</v>
      </c>
      <c r="CD119" s="223">
        <f t="shared" si="41"/>
        <v>28.70141516210445</v>
      </c>
      <c r="CE119" s="283"/>
      <c r="CF119" s="283"/>
      <c r="CG119" s="246"/>
      <c r="CH119" s="246"/>
      <c r="CI119" s="111"/>
      <c r="CK119" s="187"/>
      <c r="CL119" s="188"/>
    </row>
    <row r="120" spans="1:117" ht="17.25" customHeight="1">
      <c r="A120" s="23">
        <f t="shared" si="38"/>
        <v>117</v>
      </c>
      <c r="B120" s="23" t="s">
        <v>439</v>
      </c>
      <c r="C120" s="286">
        <v>2021054</v>
      </c>
      <c r="D120" s="194" t="s">
        <v>561</v>
      </c>
      <c r="E120" s="227" t="s">
        <v>1690</v>
      </c>
      <c r="F120" s="227" t="s">
        <v>1691</v>
      </c>
      <c r="G120" s="23" t="s">
        <v>1192</v>
      </c>
      <c r="H120" s="227" t="s">
        <v>1622</v>
      </c>
      <c r="I120" s="227" t="s">
        <v>1454</v>
      </c>
      <c r="J120" s="194" t="s">
        <v>178</v>
      </c>
      <c r="K120" s="79" t="s">
        <v>233</v>
      </c>
      <c r="L120" s="287" t="s">
        <v>1692</v>
      </c>
      <c r="M120" s="227"/>
      <c r="N120" s="228" t="s">
        <v>1693</v>
      </c>
      <c r="O120" t="s">
        <v>1694</v>
      </c>
      <c r="P120" s="239" t="s">
        <v>1695</v>
      </c>
      <c r="Q120" s="214">
        <v>44470</v>
      </c>
      <c r="R120" s="214">
        <v>44470</v>
      </c>
      <c r="S120" s="230"/>
      <c r="T120" s="231" t="s">
        <v>1696</v>
      </c>
      <c r="U120" s="231" t="s">
        <v>1697</v>
      </c>
      <c r="V120" s="201" t="s">
        <v>394</v>
      </c>
      <c r="Z120" s="203">
        <f t="shared" ca="1" si="60"/>
        <v>1691</v>
      </c>
      <c r="AA120" s="203">
        <f t="shared" ca="1" si="61"/>
        <v>1691</v>
      </c>
      <c r="AB120" s="232"/>
      <c r="AC120" s="232"/>
      <c r="AD120" s="78" t="s">
        <v>189</v>
      </c>
      <c r="AE120" s="78" t="s">
        <v>190</v>
      </c>
      <c r="AF120" s="78" t="s">
        <v>191</v>
      </c>
      <c r="AG120" s="78" t="s">
        <v>191</v>
      </c>
      <c r="AH120" s="23" t="s">
        <v>161</v>
      </c>
      <c r="AI120" s="23" t="s">
        <v>192</v>
      </c>
      <c r="AJ120" s="23" t="s">
        <v>569</v>
      </c>
      <c r="AK120" s="233" t="s">
        <v>193</v>
      </c>
      <c r="AL120" s="78" t="s">
        <v>570</v>
      </c>
      <c r="AM120" s="206" t="s">
        <v>1698</v>
      </c>
      <c r="AN120" s="207" t="s">
        <v>1699</v>
      </c>
      <c r="AO120" s="78" t="s">
        <v>197</v>
      </c>
      <c r="AP120" s="78" t="s">
        <v>198</v>
      </c>
      <c r="AQ120" s="201" t="s">
        <v>987</v>
      </c>
      <c r="AS120" s="209" t="s">
        <v>200</v>
      </c>
      <c r="AT120" s="23" t="s">
        <v>201</v>
      </c>
      <c r="AU120" s="23" t="s">
        <v>435</v>
      </c>
      <c r="AV120" s="210" t="s">
        <v>454</v>
      </c>
      <c r="AW120" s="211">
        <v>4013000</v>
      </c>
      <c r="AX120" s="270">
        <v>4300000</v>
      </c>
      <c r="AY120" s="212">
        <v>12</v>
      </c>
      <c r="AZ120" s="213">
        <f t="shared" si="40"/>
        <v>51600000</v>
      </c>
      <c r="BC120" s="214">
        <v>45839</v>
      </c>
      <c r="BD120" s="215">
        <v>29460240</v>
      </c>
      <c r="BE120" s="215">
        <v>32100000</v>
      </c>
      <c r="BF120" s="215">
        <f t="shared" si="44"/>
        <v>32100000</v>
      </c>
      <c r="BG120" s="215">
        <f t="shared" si="45"/>
        <v>2675000</v>
      </c>
      <c r="BH120" s="215">
        <v>2215000</v>
      </c>
      <c r="BI120" s="216">
        <f t="shared" si="59"/>
        <v>11555.02</v>
      </c>
      <c r="BJ120" s="216">
        <f>IF(AT120="통상",209,VLOOKUP(AD120,'[2]스케줄 분석_20260109'!$B$3:$F$20,5,FALSE))</f>
        <v>209</v>
      </c>
      <c r="BK120" s="216">
        <f>IF(AT120="통상",15,VLOOKUP(AD120,'[2]스케줄 분석_20260109'!$B$3:$P$20,10,FALSE))</f>
        <v>15</v>
      </c>
      <c r="BL120" s="216">
        <f>IF(AT120="통상",0,VLOOKUP(AD120,'[2]스케줄 분석_20260109'!$B$3:$P$20,11,FALSE))</f>
        <v>0</v>
      </c>
      <c r="BM120" s="215">
        <f t="shared" si="46"/>
        <v>260000</v>
      </c>
      <c r="BN120" s="175">
        <f t="shared" si="47"/>
        <v>0</v>
      </c>
      <c r="BO120" s="213">
        <v>200000</v>
      </c>
      <c r="BP120" s="175">
        <f>IF(OR(AT120="스케줄",AT120="스케줄_파라"),ROUNDUP(VLOOKUP(AD120,'[2]스케줄 분석_20260109'!$B$3:$Y$20,23,FALSE)*(VLOOKUP(AD120,'[2]스케줄 분석_20260109'!$B$3:$Y$20,21,FALSE)/VLOOKUP(AD120,'[2]스케줄 분석_20260109'!$B$3:$Y$20,20,FALSE))*VLOOKUP(AD120,'[2]스케줄 분석_20260109'!$B$3:$Y$20,22,FALSE)*VLOOKUP(AD120,'[2]스케줄 분석_20260109'!$B$3:$Y$20,2,FALSE)*1.5*BI120,0),0)</f>
        <v>0</v>
      </c>
      <c r="BQ120" s="217" t="str">
        <f t="shared" si="48"/>
        <v>적합</v>
      </c>
      <c r="BR120" s="213"/>
      <c r="BS120" s="218">
        <f t="shared" si="49"/>
        <v>462200.80000000005</v>
      </c>
      <c r="BT120" s="219">
        <f t="shared" si="50"/>
        <v>2713516.7333333334</v>
      </c>
      <c r="BU120" s="175">
        <f t="shared" si="51"/>
        <v>1410750</v>
      </c>
      <c r="BV120" s="175">
        <f t="shared" si="52"/>
        <v>1209692.8799999999</v>
      </c>
      <c r="BW120" s="175">
        <f t="shared" si="53"/>
        <v>460350</v>
      </c>
      <c r="BX120" s="175">
        <f t="shared" si="54"/>
        <v>196020</v>
      </c>
      <c r="BY120" s="213">
        <f t="shared" si="42"/>
        <v>3343750</v>
      </c>
      <c r="BZ120" s="220">
        <f t="shared" si="55"/>
        <v>35275717.533333331</v>
      </c>
      <c r="CA120" s="213">
        <f t="shared" si="56"/>
        <v>3276812.88</v>
      </c>
      <c r="CB120" s="221">
        <f t="shared" si="57"/>
        <v>40125000</v>
      </c>
      <c r="CC120" s="222">
        <f t="shared" si="58"/>
        <v>11475000</v>
      </c>
      <c r="CD120" s="223">
        <f t="shared" si="41"/>
        <v>22.238372093023255</v>
      </c>
      <c r="CE120" s="283"/>
      <c r="CF120" s="283"/>
      <c r="CG120" s="282"/>
      <c r="CK120" s="187"/>
      <c r="CL120" s="188"/>
    </row>
    <row r="121" spans="1:117" ht="17.25" customHeight="1">
      <c r="A121" s="23">
        <f t="shared" si="38"/>
        <v>118</v>
      </c>
      <c r="B121" s="23" t="s">
        <v>439</v>
      </c>
      <c r="C121" s="190">
        <v>2022005</v>
      </c>
      <c r="D121" s="194" t="s">
        <v>474</v>
      </c>
      <c r="E121" s="227" t="s">
        <v>656</v>
      </c>
      <c r="F121" s="227" t="s">
        <v>1700</v>
      </c>
      <c r="G121" s="23" t="s">
        <v>1701</v>
      </c>
      <c r="H121" s="227" t="s">
        <v>992</v>
      </c>
      <c r="I121" s="227" t="s">
        <v>1204</v>
      </c>
      <c r="J121" s="194" t="s">
        <v>178</v>
      </c>
      <c r="K121" s="78" t="s">
        <v>179</v>
      </c>
      <c r="L121" s="23" t="s">
        <v>1702</v>
      </c>
      <c r="M121" s="227"/>
      <c r="N121" s="228" t="s">
        <v>1703</v>
      </c>
      <c r="O121" t="s">
        <v>1704</v>
      </c>
      <c r="P121" s="229" t="s">
        <v>1705</v>
      </c>
      <c r="Q121" s="214">
        <v>43344</v>
      </c>
      <c r="R121" s="214">
        <v>44578</v>
      </c>
      <c r="S121" s="214"/>
      <c r="T121" s="231" t="s">
        <v>1706</v>
      </c>
      <c r="U121" s="231" t="s">
        <v>915</v>
      </c>
      <c r="V121" s="201" t="s">
        <v>394</v>
      </c>
      <c r="W121" s="231" t="s">
        <v>498</v>
      </c>
      <c r="X121" s="200" t="s">
        <v>187</v>
      </c>
      <c r="Y121" s="200" t="s">
        <v>425</v>
      </c>
      <c r="Z121" s="203">
        <f t="shared" ca="1" si="60"/>
        <v>2817</v>
      </c>
      <c r="AA121" s="203">
        <f t="shared" ca="1" si="61"/>
        <v>1583</v>
      </c>
      <c r="AB121" s="232"/>
      <c r="AC121" s="232"/>
      <c r="AD121" s="78" t="s">
        <v>675</v>
      </c>
      <c r="AE121" s="78" t="s">
        <v>217</v>
      </c>
      <c r="AF121" s="78" t="s">
        <v>160</v>
      </c>
      <c r="AG121" s="78" t="s">
        <v>160</v>
      </c>
      <c r="AH121" s="23" t="s">
        <v>161</v>
      </c>
      <c r="AI121" s="23" t="s">
        <v>162</v>
      </c>
      <c r="AJ121" s="23" t="s">
        <v>483</v>
      </c>
      <c r="AK121" s="23">
        <v>13486</v>
      </c>
      <c r="AL121" s="78" t="s">
        <v>163</v>
      </c>
      <c r="AM121" s="206" t="s">
        <v>1707</v>
      </c>
      <c r="AN121" s="194" t="s">
        <v>1708</v>
      </c>
      <c r="AO121" s="78" t="s">
        <v>166</v>
      </c>
      <c r="AP121" s="78" t="s">
        <v>1709</v>
      </c>
      <c r="AQ121" s="201" t="s">
        <v>1372</v>
      </c>
      <c r="AS121" s="209" t="s">
        <v>488</v>
      </c>
      <c r="AT121" s="23" t="s">
        <v>201</v>
      </c>
      <c r="AU121" s="23" t="s">
        <v>435</v>
      </c>
      <c r="AV121" s="210" t="s">
        <v>454</v>
      </c>
      <c r="AW121" s="211">
        <v>4264000</v>
      </c>
      <c r="AX121" s="175">
        <v>4264000</v>
      </c>
      <c r="AY121" s="212">
        <v>12</v>
      </c>
      <c r="AZ121" s="213">
        <f t="shared" si="40"/>
        <v>51168000</v>
      </c>
      <c r="BA121" s="213"/>
      <c r="BB121" s="213"/>
      <c r="BC121" s="214">
        <v>45839</v>
      </c>
      <c r="BD121" s="215">
        <v>40200000</v>
      </c>
      <c r="BE121" s="215">
        <v>41760000</v>
      </c>
      <c r="BF121" s="215">
        <f t="shared" si="44"/>
        <v>41760000</v>
      </c>
      <c r="BG121" s="215">
        <f t="shared" si="45"/>
        <v>3480000</v>
      </c>
      <c r="BH121" s="215">
        <v>2941700</v>
      </c>
      <c r="BI121" s="216">
        <f t="shared" si="59"/>
        <v>15032.06</v>
      </c>
      <c r="BJ121" s="216">
        <f>IF(AT121="통상",209,VLOOKUP(AD121,'[2]스케줄 분석_20260109'!$B$3:$F$20,5,FALSE))</f>
        <v>209</v>
      </c>
      <c r="BK121" s="216">
        <f>IF(AT121="통상",15,VLOOKUP(AD121,'[2]스케줄 분석_20260109'!$B$3:$P$20,10,FALSE))</f>
        <v>15</v>
      </c>
      <c r="BL121" s="216">
        <f>IF(AT121="통상",0,VLOOKUP(AD121,'[2]스케줄 분석_20260109'!$B$3:$P$20,11,FALSE))</f>
        <v>0</v>
      </c>
      <c r="BM121" s="215">
        <f t="shared" si="46"/>
        <v>338300</v>
      </c>
      <c r="BN121" s="175">
        <f t="shared" si="47"/>
        <v>0</v>
      </c>
      <c r="BO121" s="213">
        <v>200000</v>
      </c>
      <c r="BP121" s="175">
        <f>IF(OR(AT121="스케줄",AT121="스케줄_파라"),ROUNDUP(VLOOKUP(AD121,'[2]스케줄 분석_20260109'!$B$3:$Y$20,23,FALSE)*(VLOOKUP(AD121,'[2]스케줄 분석_20260109'!$B$3:$Y$20,21,FALSE)/VLOOKUP(AD121,'[2]스케줄 분석_20260109'!$B$3:$Y$20,20,FALSE))*VLOOKUP(AD121,'[2]스케줄 분석_20260109'!$B$3:$Y$20,22,FALSE)*VLOOKUP(AD121,'[2]스케줄 분석_20260109'!$B$3:$Y$20,2,FALSE)*1.5*BI121,0),0)</f>
        <v>0</v>
      </c>
      <c r="BQ121" s="217" t="str">
        <f t="shared" si="48"/>
        <v>적합</v>
      </c>
      <c r="BR121" s="213"/>
      <c r="BS121" s="218">
        <f t="shared" si="49"/>
        <v>601282.4</v>
      </c>
      <c r="BT121" s="219">
        <f t="shared" si="50"/>
        <v>3530106.8666666667</v>
      </c>
      <c r="BU121" s="175">
        <f t="shared" si="51"/>
        <v>1869600</v>
      </c>
      <c r="BV121" s="175">
        <f t="shared" si="52"/>
        <v>1603148.544</v>
      </c>
      <c r="BW121" s="175">
        <f t="shared" si="53"/>
        <v>610080</v>
      </c>
      <c r="BX121" s="175">
        <f t="shared" si="54"/>
        <v>259776</v>
      </c>
      <c r="BY121" s="213">
        <f t="shared" si="42"/>
        <v>4350000</v>
      </c>
      <c r="BZ121" s="220">
        <f t="shared" si="55"/>
        <v>45891389.266666666</v>
      </c>
      <c r="CA121" s="213">
        <f t="shared" si="56"/>
        <v>4342604.5439999998</v>
      </c>
      <c r="CB121" s="221">
        <f t="shared" si="57"/>
        <v>52200000</v>
      </c>
      <c r="CC121" s="222">
        <f t="shared" si="58"/>
        <v>-1032000</v>
      </c>
      <c r="CD121" s="223">
        <f t="shared" si="41"/>
        <v>-2.0168855534709191</v>
      </c>
      <c r="CE121" s="283"/>
      <c r="CF121" s="283"/>
      <c r="CG121" s="23" t="s">
        <v>1679</v>
      </c>
      <c r="CH121" s="23" t="s">
        <v>1710</v>
      </c>
      <c r="CJ121" s="188"/>
      <c r="CK121" s="187"/>
      <c r="CL121" s="188"/>
    </row>
    <row r="122" spans="1:117" ht="17.25" customHeight="1">
      <c r="A122" s="23">
        <f t="shared" si="38"/>
        <v>119</v>
      </c>
      <c r="B122" s="23" t="s">
        <v>439</v>
      </c>
      <c r="C122" s="190">
        <v>2022010</v>
      </c>
      <c r="D122" s="194" t="s">
        <v>1007</v>
      </c>
      <c r="E122" s="227" t="s">
        <v>1711</v>
      </c>
      <c r="F122" s="227" t="s">
        <v>1712</v>
      </c>
      <c r="G122" s="23" t="s">
        <v>1701</v>
      </c>
      <c r="H122" s="227" t="s">
        <v>1167</v>
      </c>
      <c r="I122" s="227" t="s">
        <v>741</v>
      </c>
      <c r="J122" s="194" t="s">
        <v>178</v>
      </c>
      <c r="K122" s="79" t="s">
        <v>627</v>
      </c>
      <c r="L122" s="227" t="s">
        <v>356</v>
      </c>
      <c r="M122" s="227"/>
      <c r="N122" s="288" t="s">
        <v>1713</v>
      </c>
      <c r="O122" t="s">
        <v>1714</v>
      </c>
      <c r="P122" s="229" t="s">
        <v>1715</v>
      </c>
      <c r="Q122" s="214">
        <v>44599</v>
      </c>
      <c r="R122" s="214">
        <v>44599</v>
      </c>
      <c r="S122" s="214"/>
      <c r="T122" s="231" t="s">
        <v>1716</v>
      </c>
      <c r="U122" s="231" t="s">
        <v>1717</v>
      </c>
      <c r="V122" s="201" t="s">
        <v>394</v>
      </c>
      <c r="Z122" s="203">
        <f t="shared" ca="1" si="60"/>
        <v>1562</v>
      </c>
      <c r="AA122" s="203">
        <f t="shared" ca="1" si="61"/>
        <v>1562</v>
      </c>
      <c r="AB122" s="232"/>
      <c r="AC122" s="232"/>
      <c r="AD122" s="78" t="s">
        <v>1718</v>
      </c>
      <c r="AE122" s="78" t="s">
        <v>833</v>
      </c>
      <c r="AF122" s="78" t="s">
        <v>191</v>
      </c>
      <c r="AG122" s="78" t="s">
        <v>191</v>
      </c>
      <c r="AH122" s="23" t="s">
        <v>161</v>
      </c>
      <c r="AI122" s="23" t="s">
        <v>1021</v>
      </c>
      <c r="AJ122" s="23" t="s">
        <v>1008</v>
      </c>
      <c r="AK122" s="23" t="s">
        <v>1022</v>
      </c>
      <c r="AL122" s="78" t="s">
        <v>1023</v>
      </c>
      <c r="AM122" s="278">
        <v>28595</v>
      </c>
      <c r="AN122" s="279" t="s">
        <v>1719</v>
      </c>
      <c r="AO122" s="78" t="s">
        <v>401</v>
      </c>
      <c r="AP122" s="78" t="s">
        <v>1720</v>
      </c>
      <c r="AQ122" s="201" t="s">
        <v>433</v>
      </c>
      <c r="AS122" s="209" t="s">
        <v>1006</v>
      </c>
      <c r="AT122" s="23" t="s">
        <v>1721</v>
      </c>
      <c r="AU122" s="23" t="s">
        <v>435</v>
      </c>
      <c r="AV122" s="210" t="s">
        <v>454</v>
      </c>
      <c r="AW122" s="242">
        <v>4179000</v>
      </c>
      <c r="AX122" s="175">
        <v>5100000</v>
      </c>
      <c r="AY122" s="236">
        <v>12</v>
      </c>
      <c r="AZ122" s="175">
        <f t="shared" si="40"/>
        <v>61200000</v>
      </c>
      <c r="BC122" s="289">
        <v>46113</v>
      </c>
      <c r="BD122" s="215">
        <v>29496720</v>
      </c>
      <c r="BE122" s="215">
        <v>30577200</v>
      </c>
      <c r="BF122" s="290">
        <f t="shared" si="44"/>
        <v>35000400</v>
      </c>
      <c r="BG122" s="215">
        <f t="shared" si="45"/>
        <v>2916700</v>
      </c>
      <c r="BH122" s="215">
        <v>2433200</v>
      </c>
      <c r="BI122" s="216">
        <f t="shared" si="59"/>
        <v>12599.04</v>
      </c>
      <c r="BJ122" s="216">
        <f>IF(AT122="통상",209,VLOOKUP(AD122,'[2]스케줄 분석_20260109'!$B$3:$F$20,5,FALSE))</f>
        <v>209</v>
      </c>
      <c r="BK122" s="216">
        <f>IF(AT122="통상",15,VLOOKUP(AD122,'[2]스케줄 분석_20260109'!$B$3:$P$20,10,FALSE))</f>
        <v>15</v>
      </c>
      <c r="BL122" s="216">
        <f>IF(AT122="통상",0,VLOOKUP(AD122,'[2]스케줄 분석_20260109'!$B$3:$P$20,11,FALSE))</f>
        <v>0</v>
      </c>
      <c r="BM122" s="215">
        <f t="shared" si="46"/>
        <v>283500</v>
      </c>
      <c r="BN122" s="175">
        <f t="shared" si="47"/>
        <v>0</v>
      </c>
      <c r="BO122" s="175">
        <v>200000</v>
      </c>
      <c r="BP122" s="175">
        <f>IF(OR(AT122="스케줄",AT122="스케줄_파라"),ROUNDUP(VLOOKUP(AD122,'[2]스케줄 분석_20260109'!$B$3:$Y$20,23,FALSE)*(VLOOKUP(AD122,'[2]스케줄 분석_20260109'!$B$3:$Y$20,21,FALSE)/VLOOKUP(AD122,'[2]스케줄 분석_20260109'!$B$3:$Y$20,20,FALSE))*VLOOKUP(AD122,'[2]스케줄 분석_20260109'!$B$3:$Y$20,22,FALSE)*VLOOKUP(AD122,'[2]스케줄 분석_20260109'!$B$3:$Y$20,2,FALSE)*1.5*BI122,0),0)</f>
        <v>0</v>
      </c>
      <c r="BQ122" s="291" t="str">
        <f t="shared" si="48"/>
        <v>적합</v>
      </c>
      <c r="BR122" s="175"/>
      <c r="BS122" s="218">
        <f t="shared" si="49"/>
        <v>503961.60000000003</v>
      </c>
      <c r="BT122" s="218">
        <f t="shared" si="50"/>
        <v>2958696.8</v>
      </c>
      <c r="BU122" s="175">
        <f t="shared" si="51"/>
        <v>1548519</v>
      </c>
      <c r="BV122" s="175">
        <f t="shared" si="52"/>
        <v>1327827.3321599998</v>
      </c>
      <c r="BW122" s="175">
        <f t="shared" si="53"/>
        <v>505306.2</v>
      </c>
      <c r="BX122" s="175">
        <f t="shared" si="54"/>
        <v>215162.63999999998</v>
      </c>
      <c r="BY122" s="175">
        <f t="shared" si="42"/>
        <v>3645875</v>
      </c>
      <c r="BZ122" s="292">
        <f t="shared" si="55"/>
        <v>38463058.399999999</v>
      </c>
      <c r="CA122" s="175">
        <f t="shared" si="56"/>
        <v>3596815.1721600001</v>
      </c>
      <c r="CB122" s="293">
        <f t="shared" si="57"/>
        <v>43750500</v>
      </c>
      <c r="CC122" s="294">
        <f t="shared" si="58"/>
        <v>17449500</v>
      </c>
      <c r="CD122" s="223">
        <f t="shared" si="41"/>
        <v>28.51225490196078</v>
      </c>
      <c r="CE122" s="283"/>
      <c r="CF122" s="283"/>
      <c r="CG122" s="23" t="s">
        <v>1722</v>
      </c>
      <c r="CH122" s="23" t="s">
        <v>1710</v>
      </c>
      <c r="CI122" s="111"/>
      <c r="CK122" s="187"/>
      <c r="CL122" s="295"/>
    </row>
    <row r="123" spans="1:117" ht="17.25" customHeight="1">
      <c r="A123" s="23">
        <f t="shared" si="38"/>
        <v>120</v>
      </c>
      <c r="B123" s="23" t="s">
        <v>439</v>
      </c>
      <c r="C123" s="286">
        <v>2022011</v>
      </c>
      <c r="D123" s="194" t="s">
        <v>655</v>
      </c>
      <c r="E123" s="227" t="s">
        <v>656</v>
      </c>
      <c r="F123" s="227" t="s">
        <v>1723</v>
      </c>
      <c r="G123" s="23" t="s">
        <v>1724</v>
      </c>
      <c r="H123" s="227" t="s">
        <v>992</v>
      </c>
      <c r="I123" s="227" t="s">
        <v>741</v>
      </c>
      <c r="J123" s="194" t="s">
        <v>207</v>
      </c>
      <c r="K123" s="79" t="s">
        <v>841</v>
      </c>
      <c r="L123" s="227" t="s">
        <v>1725</v>
      </c>
      <c r="M123" s="227"/>
      <c r="N123" s="228" t="s">
        <v>1726</v>
      </c>
      <c r="O123" t="s">
        <v>1727</v>
      </c>
      <c r="P123" s="229" t="s">
        <v>1728</v>
      </c>
      <c r="Q123" s="214">
        <v>44606</v>
      </c>
      <c r="R123" s="214">
        <v>44606</v>
      </c>
      <c r="S123" s="214"/>
      <c r="T123" s="231" t="s">
        <v>1729</v>
      </c>
      <c r="U123" s="231" t="s">
        <v>1730</v>
      </c>
      <c r="V123" s="201" t="s">
        <v>278</v>
      </c>
      <c r="W123" s="231" t="s">
        <v>187</v>
      </c>
      <c r="X123" s="200" t="s">
        <v>1185</v>
      </c>
      <c r="Y123" s="200"/>
      <c r="Z123" s="203">
        <f t="shared" ca="1" si="60"/>
        <v>1555</v>
      </c>
      <c r="AA123" s="203">
        <f t="shared" ca="1" si="61"/>
        <v>1555</v>
      </c>
      <c r="AB123" s="203"/>
      <c r="AC123" s="232"/>
      <c r="AD123" s="78" t="s">
        <v>675</v>
      </c>
      <c r="AE123" s="78" t="s">
        <v>217</v>
      </c>
      <c r="AF123" s="78" t="s">
        <v>160</v>
      </c>
      <c r="AG123" s="78" t="s">
        <v>160</v>
      </c>
      <c r="AH123" s="23" t="s">
        <v>161</v>
      </c>
      <c r="AI123" s="23" t="s">
        <v>1560</v>
      </c>
      <c r="AJ123" s="23" t="s">
        <v>483</v>
      </c>
      <c r="AK123" s="23">
        <v>13486</v>
      </c>
      <c r="AL123" s="78" t="s">
        <v>163</v>
      </c>
      <c r="AM123" s="206" t="s">
        <v>1731</v>
      </c>
      <c r="AN123" s="207" t="s">
        <v>1732</v>
      </c>
      <c r="AO123" s="78" t="s">
        <v>166</v>
      </c>
      <c r="AP123" s="78" t="s">
        <v>1143</v>
      </c>
      <c r="AQ123" s="201" t="s">
        <v>1144</v>
      </c>
      <c r="AS123" s="209" t="s">
        <v>488</v>
      </c>
      <c r="AT123" s="23" t="s">
        <v>434</v>
      </c>
      <c r="AU123" s="23" t="s">
        <v>435</v>
      </c>
      <c r="AV123" s="210" t="s">
        <v>454</v>
      </c>
      <c r="AW123" s="211">
        <v>4432000</v>
      </c>
      <c r="AX123" s="175">
        <v>4432000</v>
      </c>
      <c r="AY123" s="212">
        <v>12</v>
      </c>
      <c r="AZ123" s="213">
        <f t="shared" si="40"/>
        <v>53184000</v>
      </c>
      <c r="BA123" s="251"/>
      <c r="BB123" s="251"/>
      <c r="BC123" s="230">
        <v>46023</v>
      </c>
      <c r="BD123" s="215">
        <v>29040720</v>
      </c>
      <c r="BE123" s="215">
        <v>30002400</v>
      </c>
      <c r="BF123" s="261">
        <f t="shared" si="44"/>
        <v>32503200</v>
      </c>
      <c r="BG123" s="215">
        <f t="shared" si="45"/>
        <v>2708600</v>
      </c>
      <c r="BH123" s="215">
        <v>2136900</v>
      </c>
      <c r="BI123" s="216">
        <f t="shared" si="59"/>
        <v>12218.45</v>
      </c>
      <c r="BJ123" s="216">
        <f>IF(AT123="통상",209,VLOOKUP(AD123,'[2]스케줄 분석_20260109'!$B$3:$F$20,5,FALSE))</f>
        <v>191.26</v>
      </c>
      <c r="BK123" s="216">
        <f>IF(AT123="통상",15,VLOOKUP(AD123,'[2]스케줄 분석_20260109'!$B$3:$P$20,10,FALSE))</f>
        <v>27.88</v>
      </c>
      <c r="BL123" s="216">
        <f>IF(AT123="통상",0,VLOOKUP(AD123,'[2]스케줄 분석_20260109'!$B$3:$P$20,11,FALSE))</f>
        <v>32.950000000000003</v>
      </c>
      <c r="BM123" s="215">
        <f t="shared" si="46"/>
        <v>170400</v>
      </c>
      <c r="BN123" s="175">
        <f t="shared" si="47"/>
        <v>201300</v>
      </c>
      <c r="BO123" s="213">
        <v>200000</v>
      </c>
      <c r="BP123" s="175">
        <f>IF(OR(AT123="스케줄",AT123="스케줄_파라"),ROUNDUP(VLOOKUP(AD123,'[2]스케줄 분석_20260109'!$B$3:$Y$20,23,FALSE)*(VLOOKUP(AD123,'[2]스케줄 분석_20260109'!$B$3:$Y$20,21,FALSE)/VLOOKUP(AD123,'[2]스케줄 분석_20260109'!$B$3:$Y$20,20,FALSE))*VLOOKUP(AD123,'[2]스케줄 분석_20260109'!$B$3:$Y$20,22,FALSE)*VLOOKUP(AD123,'[2]스케줄 분석_20260109'!$B$3:$Y$20,2,FALSE)*1.5*BI123,0),0)</f>
        <v>702923</v>
      </c>
      <c r="BQ123" s="217" t="str">
        <f t="shared" si="48"/>
        <v>적합</v>
      </c>
      <c r="BR123" s="253">
        <v>250000</v>
      </c>
      <c r="BS123" s="218">
        <f t="shared" si="49"/>
        <v>1221845</v>
      </c>
      <c r="BT123" s="219">
        <f t="shared" si="50"/>
        <v>2810420.4166666665</v>
      </c>
      <c r="BU123" s="175">
        <f t="shared" si="51"/>
        <v>1429902</v>
      </c>
      <c r="BV123" s="175">
        <f t="shared" si="52"/>
        <v>1226115.3772799999</v>
      </c>
      <c r="BW123" s="175">
        <f t="shared" si="53"/>
        <v>466599.6</v>
      </c>
      <c r="BX123" s="175">
        <f t="shared" si="54"/>
        <v>198681.12</v>
      </c>
      <c r="BY123" s="213">
        <f t="shared" si="42"/>
        <v>3385750</v>
      </c>
      <c r="BZ123" s="220">
        <f t="shared" si="55"/>
        <v>36535465.416666664</v>
      </c>
      <c r="CA123" s="213">
        <f t="shared" si="56"/>
        <v>3321298.0972799999</v>
      </c>
      <c r="CB123" s="221">
        <f t="shared" si="57"/>
        <v>40629000</v>
      </c>
      <c r="CC123" s="222">
        <f t="shared" si="58"/>
        <v>11704463.17</v>
      </c>
      <c r="CD123" s="223">
        <f t="shared" si="41"/>
        <v>22.007489414109507</v>
      </c>
      <c r="CE123" s="283">
        <v>45498</v>
      </c>
      <c r="CF123" s="283"/>
      <c r="CG123" s="23" t="s">
        <v>1733</v>
      </c>
      <c r="CH123" s="23" t="s">
        <v>1710</v>
      </c>
      <c r="CK123" s="187"/>
      <c r="CL123" s="188"/>
    </row>
    <row r="124" spans="1:117" ht="17.25" customHeight="1">
      <c r="A124" s="23">
        <f t="shared" si="38"/>
        <v>121</v>
      </c>
      <c r="B124" s="23" t="s">
        <v>439</v>
      </c>
      <c r="C124" s="190">
        <v>2022015</v>
      </c>
      <c r="D124" s="194" t="s">
        <v>541</v>
      </c>
      <c r="E124" s="227" t="s">
        <v>706</v>
      </c>
      <c r="F124" s="227" t="s">
        <v>1734</v>
      </c>
      <c r="G124" s="23" t="s">
        <v>1682</v>
      </c>
      <c r="H124" s="227" t="s">
        <v>1167</v>
      </c>
      <c r="I124" s="227" t="s">
        <v>1204</v>
      </c>
      <c r="J124" s="194" t="s">
        <v>178</v>
      </c>
      <c r="K124" s="79" t="s">
        <v>1735</v>
      </c>
      <c r="L124" s="227" t="s">
        <v>1736</v>
      </c>
      <c r="M124" s="227"/>
      <c r="N124" s="228" t="s">
        <v>1737</v>
      </c>
      <c r="O124" t="s">
        <v>1738</v>
      </c>
      <c r="P124" s="229" t="s">
        <v>1739</v>
      </c>
      <c r="Q124" s="214">
        <v>44621</v>
      </c>
      <c r="R124" s="214">
        <v>44621</v>
      </c>
      <c r="S124" s="214"/>
      <c r="T124" s="231" t="s">
        <v>1740</v>
      </c>
      <c r="U124" s="231" t="s">
        <v>1741</v>
      </c>
      <c r="V124" s="201" t="s">
        <v>1210</v>
      </c>
      <c r="W124" s="200"/>
      <c r="X124" s="200"/>
      <c r="Y124" s="200"/>
      <c r="Z124" s="203">
        <f t="shared" ca="1" si="60"/>
        <v>1540</v>
      </c>
      <c r="AA124" s="203">
        <f t="shared" ca="1" si="61"/>
        <v>1540</v>
      </c>
      <c r="AB124" s="232"/>
      <c r="AC124" s="232"/>
      <c r="AD124" s="78" t="s">
        <v>714</v>
      </c>
      <c r="AE124" s="78" t="s">
        <v>217</v>
      </c>
      <c r="AF124" s="78" t="s">
        <v>160</v>
      </c>
      <c r="AG124" s="78" t="s">
        <v>160</v>
      </c>
      <c r="AH124" s="23" t="s">
        <v>161</v>
      </c>
      <c r="AI124" s="23" t="s">
        <v>162</v>
      </c>
      <c r="AJ124" s="23" t="s">
        <v>483</v>
      </c>
      <c r="AK124" s="23">
        <v>13486</v>
      </c>
      <c r="AL124" s="78" t="s">
        <v>163</v>
      </c>
      <c r="AM124" s="206" t="s">
        <v>1742</v>
      </c>
      <c r="AN124" s="207" t="s">
        <v>1743</v>
      </c>
      <c r="AO124" s="78" t="s">
        <v>166</v>
      </c>
      <c r="AP124" s="78" t="s">
        <v>486</v>
      </c>
      <c r="AQ124" s="201" t="s">
        <v>974</v>
      </c>
      <c r="AS124" s="209" t="s">
        <v>488</v>
      </c>
      <c r="AT124" s="23" t="s">
        <v>201</v>
      </c>
      <c r="AU124" s="23" t="s">
        <v>435</v>
      </c>
      <c r="AV124" s="210" t="s">
        <v>454</v>
      </c>
      <c r="AW124" s="211">
        <v>5359000</v>
      </c>
      <c r="AX124" s="175">
        <v>5359000</v>
      </c>
      <c r="AY124" s="212">
        <v>12</v>
      </c>
      <c r="AZ124" s="213">
        <f t="shared" si="40"/>
        <v>64308000</v>
      </c>
      <c r="BA124" s="213"/>
      <c r="BB124" s="213"/>
      <c r="BC124" s="230">
        <v>46023</v>
      </c>
      <c r="BD124" s="215">
        <v>29856000</v>
      </c>
      <c r="BE124" s="215">
        <v>31152000</v>
      </c>
      <c r="BF124" s="261">
        <f t="shared" si="44"/>
        <v>33152400</v>
      </c>
      <c r="BG124" s="215">
        <f t="shared" si="45"/>
        <v>2762700</v>
      </c>
      <c r="BH124" s="215">
        <v>2294100</v>
      </c>
      <c r="BI124" s="216">
        <f t="shared" si="59"/>
        <v>11933.49</v>
      </c>
      <c r="BJ124" s="216">
        <f>IF(AT124="통상",209,VLOOKUP(AD124,'[2]스케줄 분석_20260109'!$B$3:$F$20,5,FALSE))</f>
        <v>209</v>
      </c>
      <c r="BK124" s="216">
        <f>IF(AT124="통상",15,VLOOKUP(AD124,'[2]스케줄 분석_20260109'!$B$3:$P$20,10,FALSE))</f>
        <v>15</v>
      </c>
      <c r="BL124" s="216">
        <f>IF(AT124="통상",0,VLOOKUP(AD124,'[2]스케줄 분석_20260109'!$B$3:$P$20,11,FALSE))</f>
        <v>0</v>
      </c>
      <c r="BM124" s="215">
        <f t="shared" si="46"/>
        <v>268600</v>
      </c>
      <c r="BN124" s="175">
        <f t="shared" si="47"/>
        <v>0</v>
      </c>
      <c r="BO124" s="213">
        <v>200000</v>
      </c>
      <c r="BP124" s="175">
        <f>IF(OR(AT124="스케줄",AT124="스케줄_파라"),ROUNDUP(VLOOKUP(AD124,'[2]스케줄 분석_20260109'!$B$3:$Y$20,23,FALSE)*(VLOOKUP(AD124,'[2]스케줄 분석_20260109'!$B$3:$Y$20,21,FALSE)/VLOOKUP(AD124,'[2]스케줄 분석_20260109'!$B$3:$Y$20,20,FALSE))*VLOOKUP(AD124,'[2]스케줄 분석_20260109'!$B$3:$Y$20,22,FALSE)*VLOOKUP(AD124,'[2]스케줄 분석_20260109'!$B$3:$Y$20,2,FALSE)*1.5*BI124,0),0)</f>
        <v>0</v>
      </c>
      <c r="BQ124" s="217" t="str">
        <f t="shared" si="48"/>
        <v>적합</v>
      </c>
      <c r="BR124" s="213"/>
      <c r="BS124" s="218">
        <f t="shared" si="49"/>
        <v>477339.6</v>
      </c>
      <c r="BT124" s="219">
        <f t="shared" si="50"/>
        <v>2802478.3</v>
      </c>
      <c r="BU124" s="175">
        <f t="shared" si="51"/>
        <v>1460739</v>
      </c>
      <c r="BV124" s="175">
        <f t="shared" si="52"/>
        <v>1252557.55296</v>
      </c>
      <c r="BW124" s="175">
        <f t="shared" si="53"/>
        <v>476662.2</v>
      </c>
      <c r="BX124" s="175">
        <f t="shared" si="54"/>
        <v>202965.84</v>
      </c>
      <c r="BY124" s="213">
        <f t="shared" si="42"/>
        <v>3453375</v>
      </c>
      <c r="BZ124" s="220">
        <f t="shared" si="55"/>
        <v>36432217.899999999</v>
      </c>
      <c r="CA124" s="213">
        <f t="shared" si="56"/>
        <v>3392924.59296</v>
      </c>
      <c r="CB124" s="221">
        <f t="shared" si="57"/>
        <v>41440500</v>
      </c>
      <c r="CC124" s="222">
        <f t="shared" si="58"/>
        <v>22867500</v>
      </c>
      <c r="CD124" s="223">
        <f t="shared" si="41"/>
        <v>35.559339428997951</v>
      </c>
      <c r="CE124" s="283"/>
      <c r="CF124" s="283"/>
      <c r="CG124" s="23" t="s">
        <v>1744</v>
      </c>
      <c r="CH124" s="23" t="s">
        <v>1710</v>
      </c>
      <c r="CJ124" s="111"/>
      <c r="CK124" s="187"/>
      <c r="CL124" s="188"/>
      <c r="CM124" s="111"/>
      <c r="CN124" s="111"/>
      <c r="CO124" s="111"/>
      <c r="CP124" s="111"/>
      <c r="CQ124" s="111"/>
      <c r="CR124" s="111"/>
      <c r="CS124" s="111"/>
      <c r="CT124" s="111"/>
      <c r="CU124" s="111"/>
      <c r="CV124" s="111"/>
      <c r="CW124" s="111"/>
      <c r="CX124" s="111"/>
      <c r="CY124" s="111"/>
      <c r="CZ124" s="111"/>
      <c r="DA124" s="111"/>
      <c r="DB124" s="111"/>
      <c r="DC124" s="111"/>
      <c r="DD124" s="111"/>
      <c r="DE124" s="111"/>
      <c r="DF124" s="111"/>
      <c r="DG124" s="111"/>
      <c r="DH124" s="111"/>
      <c r="DI124" s="111"/>
      <c r="DJ124" s="111"/>
      <c r="DK124" s="111"/>
    </row>
    <row r="125" spans="1:117" s="121" customFormat="1" ht="17.25" customHeight="1">
      <c r="A125" s="23">
        <f t="shared" si="38"/>
        <v>122</v>
      </c>
      <c r="B125" s="23" t="s">
        <v>439</v>
      </c>
      <c r="C125" s="190">
        <v>2022016</v>
      </c>
      <c r="D125" s="194" t="s">
        <v>989</v>
      </c>
      <c r="E125" s="227" t="s">
        <v>990</v>
      </c>
      <c r="F125" s="284" t="s">
        <v>1745</v>
      </c>
      <c r="G125" s="23" t="s">
        <v>1192</v>
      </c>
      <c r="H125" s="227" t="s">
        <v>992</v>
      </c>
      <c r="I125" s="227" t="s">
        <v>741</v>
      </c>
      <c r="J125" s="194" t="s">
        <v>178</v>
      </c>
      <c r="K125" s="79" t="s">
        <v>993</v>
      </c>
      <c r="L125" s="227" t="s">
        <v>1746</v>
      </c>
      <c r="M125" s="79"/>
      <c r="N125" s="228" t="s">
        <v>1747</v>
      </c>
      <c r="O125" t="s">
        <v>1748</v>
      </c>
      <c r="P125" s="229" t="s">
        <v>1749</v>
      </c>
      <c r="Q125" s="214">
        <v>42614</v>
      </c>
      <c r="R125" s="214">
        <v>44627</v>
      </c>
      <c r="S125" s="214"/>
      <c r="T125" s="231" t="s">
        <v>1750</v>
      </c>
      <c r="U125" s="201"/>
      <c r="V125" s="201" t="s">
        <v>215</v>
      </c>
      <c r="W125" s="201" t="s">
        <v>425</v>
      </c>
      <c r="X125" s="201"/>
      <c r="Y125" s="201"/>
      <c r="Z125" s="203">
        <f t="shared" ca="1" si="60"/>
        <v>3547</v>
      </c>
      <c r="AA125" s="203">
        <f t="shared" ca="1" si="61"/>
        <v>1534</v>
      </c>
      <c r="AB125" s="203"/>
      <c r="AC125" s="232"/>
      <c r="AD125" s="78" t="s">
        <v>999</v>
      </c>
      <c r="AE125" s="78" t="s">
        <v>217</v>
      </c>
      <c r="AF125" s="78" t="s">
        <v>191</v>
      </c>
      <c r="AG125" s="78" t="s">
        <v>191</v>
      </c>
      <c r="AH125" s="23" t="s">
        <v>161</v>
      </c>
      <c r="AI125" s="23" t="s">
        <v>365</v>
      </c>
      <c r="AJ125" s="23" t="s">
        <v>990</v>
      </c>
      <c r="AK125" s="23" t="s">
        <v>1000</v>
      </c>
      <c r="AL125" s="78" t="s">
        <v>1001</v>
      </c>
      <c r="AM125" s="206" t="s">
        <v>1751</v>
      </c>
      <c r="AN125" s="207" t="s">
        <v>1752</v>
      </c>
      <c r="AO125" s="78" t="s">
        <v>401</v>
      </c>
      <c r="AP125" s="201" t="s">
        <v>1004</v>
      </c>
      <c r="AQ125" s="201" t="s">
        <v>1005</v>
      </c>
      <c r="AR125" s="201"/>
      <c r="AS125" s="209" t="s">
        <v>1006</v>
      </c>
      <c r="AT125" s="23" t="s">
        <v>434</v>
      </c>
      <c r="AU125" s="23" t="s">
        <v>435</v>
      </c>
      <c r="AV125" s="210" t="s">
        <v>454</v>
      </c>
      <c r="AW125" s="211">
        <v>5151000</v>
      </c>
      <c r="AX125" s="175">
        <v>5151000</v>
      </c>
      <c r="AY125" s="212">
        <v>12</v>
      </c>
      <c r="AZ125" s="213">
        <f t="shared" si="40"/>
        <v>61812000</v>
      </c>
      <c r="BA125" s="251"/>
      <c r="BB125" s="251"/>
      <c r="BC125" s="214">
        <v>45839</v>
      </c>
      <c r="BD125" s="215">
        <v>32305080</v>
      </c>
      <c r="BE125" s="215">
        <v>33505200</v>
      </c>
      <c r="BF125" s="215">
        <f t="shared" si="44"/>
        <v>33505200</v>
      </c>
      <c r="BG125" s="215">
        <f t="shared" si="45"/>
        <v>2792100</v>
      </c>
      <c r="BH125" s="215">
        <v>1990700</v>
      </c>
      <c r="BI125" s="216">
        <f t="shared" si="59"/>
        <v>14014.2</v>
      </c>
      <c r="BJ125" s="216">
        <f>IF(AT125="통상",209,VLOOKUP(AD125,'[2]스케줄 분석_20260109'!$B$3:$F$20,5,FALSE))</f>
        <v>156.32000000000002</v>
      </c>
      <c r="BK125" s="216">
        <f>IF(AT125="통상",15,VLOOKUP(AD125,'[2]스케줄 분석_20260109'!$B$3:$P$20,10,FALSE))</f>
        <v>36.39</v>
      </c>
      <c r="BL125" s="216">
        <f>IF(AT125="통상",0,VLOOKUP(AD125,'[2]스케줄 분석_20260109'!$B$3:$P$20,11,FALSE))</f>
        <v>49.43</v>
      </c>
      <c r="BM125" s="215">
        <f t="shared" si="46"/>
        <v>255000</v>
      </c>
      <c r="BN125" s="175">
        <f t="shared" si="47"/>
        <v>346400</v>
      </c>
      <c r="BO125" s="213">
        <v>200000</v>
      </c>
      <c r="BP125" s="175">
        <f>IF(OR(AT125="스케줄",AT125="스케줄_파라"),ROUNDUP(VLOOKUP(AD125,'[2]스케줄 분석_20260109'!$B$3:$Y$20,23,FALSE)*(VLOOKUP(AD125,'[2]스케줄 분석_20260109'!$B$3:$Y$20,21,FALSE)/VLOOKUP(AD125,'[2]스케줄 분석_20260109'!$B$3:$Y$20,20,FALSE))*VLOOKUP(AD125,'[2]스케줄 분석_20260109'!$B$3:$Y$20,22,FALSE)*VLOOKUP(AD125,'[2]스케줄 분석_20260109'!$B$3:$Y$20,2,FALSE)*1.5*BI125,0),0)</f>
        <v>2638174</v>
      </c>
      <c r="BQ125" s="217" t="str">
        <f t="shared" si="48"/>
        <v>적합</v>
      </c>
      <c r="BR125" s="213"/>
      <c r="BS125" s="218">
        <f t="shared" si="49"/>
        <v>1401420</v>
      </c>
      <c r="BT125" s="219">
        <f t="shared" si="50"/>
        <v>2908885</v>
      </c>
      <c r="BU125" s="175">
        <f t="shared" si="51"/>
        <v>1477497</v>
      </c>
      <c r="BV125" s="175">
        <f t="shared" si="52"/>
        <v>1266927.23808</v>
      </c>
      <c r="BW125" s="175">
        <f t="shared" si="53"/>
        <v>482130.6</v>
      </c>
      <c r="BX125" s="175">
        <f t="shared" si="54"/>
        <v>205294.32</v>
      </c>
      <c r="BY125" s="213">
        <f t="shared" si="42"/>
        <v>3490125</v>
      </c>
      <c r="BZ125" s="220">
        <f t="shared" si="55"/>
        <v>37815505</v>
      </c>
      <c r="CA125" s="213">
        <f t="shared" si="56"/>
        <v>3431849.15808</v>
      </c>
      <c r="CB125" s="221">
        <f t="shared" si="57"/>
        <v>41881500</v>
      </c>
      <c r="CC125" s="222">
        <f t="shared" si="58"/>
        <v>16738309.460000001</v>
      </c>
      <c r="CD125" s="223">
        <f t="shared" si="41"/>
        <v>27.079385006147678</v>
      </c>
      <c r="CE125" s="245"/>
      <c r="CF125" s="245"/>
      <c r="CG125" s="23" t="s">
        <v>1733</v>
      </c>
      <c r="CH125" s="23" t="s">
        <v>1710</v>
      </c>
      <c r="CI125" s="111"/>
      <c r="CJ125" s="78"/>
      <c r="CK125" s="187"/>
      <c r="CL125" s="188"/>
      <c r="CM125" s="78"/>
      <c r="CN125" s="78"/>
      <c r="CO125" s="78"/>
      <c r="CP125" s="78"/>
      <c r="CQ125" s="78"/>
      <c r="CR125" s="78"/>
      <c r="CS125" s="78"/>
      <c r="CT125" s="78"/>
      <c r="CU125" s="78"/>
      <c r="CV125" s="78"/>
      <c r="CW125" s="78"/>
      <c r="CX125" s="78"/>
      <c r="CY125" s="78"/>
      <c r="CZ125" s="78"/>
      <c r="DA125" s="78"/>
      <c r="DB125" s="78"/>
      <c r="DC125" s="78"/>
      <c r="DD125" s="78"/>
      <c r="DE125" s="78"/>
      <c r="DF125" s="78"/>
      <c r="DG125" s="78"/>
      <c r="DH125" s="78"/>
      <c r="DI125" s="78"/>
      <c r="DJ125" s="78"/>
      <c r="DK125" s="78"/>
      <c r="DL125" s="78"/>
      <c r="DM125" s="78"/>
    </row>
    <row r="126" spans="1:117" s="79" customFormat="1" ht="17.25" customHeight="1">
      <c r="A126" s="23">
        <f t="shared" si="38"/>
        <v>123</v>
      </c>
      <c r="B126" s="23" t="s">
        <v>439</v>
      </c>
      <c r="C126" s="190">
        <v>2022019</v>
      </c>
      <c r="D126" s="194" t="s">
        <v>655</v>
      </c>
      <c r="E126" s="227" t="s">
        <v>686</v>
      </c>
      <c r="F126" s="284" t="s">
        <v>1753</v>
      </c>
      <c r="G126" s="23" t="s">
        <v>412</v>
      </c>
      <c r="H126" s="227" t="s">
        <v>1167</v>
      </c>
      <c r="I126" s="227" t="s">
        <v>1204</v>
      </c>
      <c r="J126" s="194" t="s">
        <v>207</v>
      </c>
      <c r="K126" s="78" t="s">
        <v>179</v>
      </c>
      <c r="L126" s="227" t="s">
        <v>1510</v>
      </c>
      <c r="M126" s="227"/>
      <c r="N126" s="228" t="s">
        <v>1754</v>
      </c>
      <c r="O126" t="s">
        <v>1755</v>
      </c>
      <c r="P126" s="229" t="s">
        <v>1756</v>
      </c>
      <c r="Q126" s="214">
        <v>44630</v>
      </c>
      <c r="R126" s="214">
        <v>44630</v>
      </c>
      <c r="S126" s="214"/>
      <c r="T126" s="231" t="s">
        <v>1757</v>
      </c>
      <c r="U126" s="200"/>
      <c r="V126" s="201" t="s">
        <v>215</v>
      </c>
      <c r="W126" s="200"/>
      <c r="X126" s="200"/>
      <c r="Y126" s="200"/>
      <c r="Z126" s="203">
        <f t="shared" ca="1" si="60"/>
        <v>1531</v>
      </c>
      <c r="AA126" s="203">
        <f t="shared" ca="1" si="61"/>
        <v>1531</v>
      </c>
      <c r="AB126" s="232"/>
      <c r="AC126" s="232"/>
      <c r="AD126" s="78" t="s">
        <v>694</v>
      </c>
      <c r="AE126" s="78" t="s">
        <v>190</v>
      </c>
      <c r="AF126" s="78" t="s">
        <v>160</v>
      </c>
      <c r="AG126" s="78" t="s">
        <v>160</v>
      </c>
      <c r="AH126" s="23" t="s">
        <v>161</v>
      </c>
      <c r="AI126" s="23" t="s">
        <v>503</v>
      </c>
      <c r="AJ126" s="23" t="s">
        <v>1758</v>
      </c>
      <c r="AK126" s="23" t="s">
        <v>505</v>
      </c>
      <c r="AL126" s="78" t="s">
        <v>891</v>
      </c>
      <c r="AM126" s="206" t="s">
        <v>1759</v>
      </c>
      <c r="AN126" s="207" t="s">
        <v>1760</v>
      </c>
      <c r="AO126" s="78" t="s">
        <v>166</v>
      </c>
      <c r="AP126" s="78" t="s">
        <v>1143</v>
      </c>
      <c r="AQ126" s="201" t="s">
        <v>678</v>
      </c>
      <c r="AR126" s="201"/>
      <c r="AS126" s="209" t="s">
        <v>488</v>
      </c>
      <c r="AT126" s="23" t="s">
        <v>201</v>
      </c>
      <c r="AU126" s="23" t="s">
        <v>435</v>
      </c>
      <c r="AV126" s="210" t="s">
        <v>454</v>
      </c>
      <c r="AW126" s="211">
        <v>3875000</v>
      </c>
      <c r="AX126" s="175">
        <v>3875000</v>
      </c>
      <c r="AY126" s="236">
        <v>12</v>
      </c>
      <c r="AZ126" s="213">
        <f t="shared" si="40"/>
        <v>46500000</v>
      </c>
      <c r="BA126" s="265"/>
      <c r="BB126" s="265"/>
      <c r="BC126" s="214">
        <v>45839</v>
      </c>
      <c r="BD126" s="215">
        <v>29041080</v>
      </c>
      <c r="BE126" s="215">
        <v>30001200</v>
      </c>
      <c r="BF126" s="215">
        <f t="shared" si="44"/>
        <v>30001200</v>
      </c>
      <c r="BG126" s="215">
        <f t="shared" si="45"/>
        <v>2500100</v>
      </c>
      <c r="BH126" s="215">
        <v>2057100</v>
      </c>
      <c r="BI126" s="216">
        <f t="shared" si="59"/>
        <v>10799.52</v>
      </c>
      <c r="BJ126" s="216">
        <f>IF(AT126="통상",209,VLOOKUP(AD126,'[2]스케줄 분석_20260109'!$B$3:$F$20,5,FALSE))</f>
        <v>209</v>
      </c>
      <c r="BK126" s="216">
        <f>IF(AT126="통상",15,VLOOKUP(AD126,'[2]스케줄 분석_20260109'!$B$3:$P$20,10,FALSE))</f>
        <v>15</v>
      </c>
      <c r="BL126" s="216">
        <f>IF(AT126="통상",0,VLOOKUP(AD126,'[2]스케줄 분석_20260109'!$B$3:$P$20,11,FALSE))</f>
        <v>0</v>
      </c>
      <c r="BM126" s="215">
        <f t="shared" si="46"/>
        <v>243000</v>
      </c>
      <c r="BN126" s="175">
        <f t="shared" si="47"/>
        <v>0</v>
      </c>
      <c r="BO126" s="213">
        <v>200000</v>
      </c>
      <c r="BP126" s="175">
        <f>IF(OR(AT126="스케줄",AT126="스케줄_파라"),ROUNDUP(VLOOKUP(AD126,'[2]스케줄 분석_20260109'!$B$3:$Y$20,23,FALSE)*(VLOOKUP(AD126,'[2]스케줄 분석_20260109'!$B$3:$Y$20,21,FALSE)/VLOOKUP(AD126,'[2]스케줄 분석_20260109'!$B$3:$Y$20,20,FALSE))*VLOOKUP(AD126,'[2]스케줄 분석_20260109'!$B$3:$Y$20,22,FALSE)*VLOOKUP(AD126,'[2]스케줄 분석_20260109'!$B$3:$Y$20,2,FALSE)*1.5*BI126,0),0)</f>
        <v>0</v>
      </c>
      <c r="BQ126" s="217" t="str">
        <f t="shared" si="48"/>
        <v>적합</v>
      </c>
      <c r="BR126" s="213">
        <v>250000</v>
      </c>
      <c r="BS126" s="218">
        <f t="shared" si="49"/>
        <v>431980.80000000005</v>
      </c>
      <c r="BT126" s="219">
        <f t="shared" si="50"/>
        <v>2536098.4</v>
      </c>
      <c r="BU126" s="175">
        <f t="shared" si="51"/>
        <v>1311057</v>
      </c>
      <c r="BV126" s="175">
        <f t="shared" si="52"/>
        <v>1124207.9164799999</v>
      </c>
      <c r="BW126" s="175">
        <f t="shared" si="53"/>
        <v>427818.6</v>
      </c>
      <c r="BX126" s="175">
        <f t="shared" si="54"/>
        <v>182167.92</v>
      </c>
      <c r="BY126" s="213">
        <f t="shared" si="42"/>
        <v>3125125</v>
      </c>
      <c r="BZ126" s="220">
        <f t="shared" si="55"/>
        <v>32969279.199999999</v>
      </c>
      <c r="CA126" s="175">
        <f t="shared" si="56"/>
        <v>3045251.4364800001</v>
      </c>
      <c r="CB126" s="221">
        <f t="shared" si="57"/>
        <v>37501500</v>
      </c>
      <c r="CC126" s="222">
        <f t="shared" si="58"/>
        <v>8998500</v>
      </c>
      <c r="CD126" s="223">
        <f t="shared" si="41"/>
        <v>19.351612903225806</v>
      </c>
      <c r="CE126" s="283"/>
      <c r="CF126" s="283"/>
      <c r="CG126" s="23" t="s">
        <v>1733</v>
      </c>
      <c r="CH126" s="23" t="s">
        <v>1761</v>
      </c>
      <c r="CI126" s="78"/>
      <c r="CJ126" s="78"/>
      <c r="CK126" s="187"/>
      <c r="CL126" s="188"/>
      <c r="CM126" s="78"/>
      <c r="CN126" s="78"/>
      <c r="CO126" s="78"/>
      <c r="CP126" s="78"/>
      <c r="CQ126" s="78"/>
      <c r="CR126" s="78"/>
      <c r="CS126" s="78"/>
      <c r="CT126" s="78"/>
      <c r="CU126" s="78"/>
      <c r="CV126" s="78"/>
      <c r="CW126" s="78"/>
      <c r="CX126" s="78"/>
      <c r="CY126" s="78"/>
      <c r="CZ126" s="78"/>
      <c r="DA126" s="78"/>
      <c r="DB126" s="78"/>
      <c r="DC126" s="78"/>
      <c r="DD126" s="78"/>
      <c r="DE126" s="78"/>
      <c r="DF126" s="78"/>
      <c r="DG126" s="78"/>
      <c r="DH126" s="78"/>
      <c r="DI126" s="78"/>
      <c r="DJ126" s="78"/>
      <c r="DK126" s="78"/>
      <c r="DL126" s="78"/>
      <c r="DM126" s="78"/>
    </row>
    <row r="127" spans="1:117" ht="17.25" customHeight="1">
      <c r="A127" s="23">
        <f t="shared" si="38"/>
        <v>124</v>
      </c>
      <c r="B127" s="23" t="s">
        <v>439</v>
      </c>
      <c r="C127" s="190">
        <v>2022024</v>
      </c>
      <c r="D127" s="194" t="s">
        <v>1599</v>
      </c>
      <c r="E127" s="227" t="s">
        <v>1600</v>
      </c>
      <c r="F127" s="227" t="s">
        <v>1762</v>
      </c>
      <c r="G127" s="23" t="s">
        <v>1010</v>
      </c>
      <c r="H127" s="280" t="s">
        <v>1167</v>
      </c>
      <c r="I127" s="227" t="s">
        <v>741</v>
      </c>
      <c r="J127" s="194" t="s">
        <v>207</v>
      </c>
      <c r="K127" s="194" t="s">
        <v>1601</v>
      </c>
      <c r="L127" s="227" t="s">
        <v>1763</v>
      </c>
      <c r="M127" s="227"/>
      <c r="N127" s="228" t="s">
        <v>1764</v>
      </c>
      <c r="O127" t="s">
        <v>1765</v>
      </c>
      <c r="P127" s="229" t="s">
        <v>1766</v>
      </c>
      <c r="Q127" s="214">
        <v>43191</v>
      </c>
      <c r="R127" s="214">
        <v>44697</v>
      </c>
      <c r="S127" s="214"/>
      <c r="T127" s="231" t="s">
        <v>1209</v>
      </c>
      <c r="U127" s="231" t="s">
        <v>915</v>
      </c>
      <c r="V127" s="201" t="s">
        <v>394</v>
      </c>
      <c r="W127" s="200" t="s">
        <v>425</v>
      </c>
      <c r="X127" s="200"/>
      <c r="Y127" s="200"/>
      <c r="Z127" s="203">
        <f t="shared" ca="1" si="60"/>
        <v>2970</v>
      </c>
      <c r="AA127" s="203">
        <f t="shared" ca="1" si="61"/>
        <v>1464</v>
      </c>
      <c r="AB127" s="232"/>
      <c r="AC127" s="232"/>
      <c r="AD127" s="78" t="s">
        <v>610</v>
      </c>
      <c r="AE127" s="78" t="s">
        <v>217</v>
      </c>
      <c r="AF127" s="78" t="s">
        <v>218</v>
      </c>
      <c r="AG127" s="78" t="s">
        <v>218</v>
      </c>
      <c r="AH127" s="23" t="s">
        <v>161</v>
      </c>
      <c r="AI127" s="23" t="s">
        <v>162</v>
      </c>
      <c r="AJ127" s="23" t="s">
        <v>1600</v>
      </c>
      <c r="AK127" s="23">
        <v>13558</v>
      </c>
      <c r="AL127" s="78" t="s">
        <v>1606</v>
      </c>
      <c r="AM127" s="206" t="s">
        <v>1767</v>
      </c>
      <c r="AN127" s="207" t="s">
        <v>1768</v>
      </c>
      <c r="AO127" s="78" t="s">
        <v>613</v>
      </c>
      <c r="AP127" s="201" t="s">
        <v>1609</v>
      </c>
      <c r="AQ127" s="201" t="s">
        <v>1610</v>
      </c>
      <c r="AR127" s="201" t="s">
        <v>1769</v>
      </c>
      <c r="AS127" s="209" t="s">
        <v>616</v>
      </c>
      <c r="AT127" s="23" t="s">
        <v>201</v>
      </c>
      <c r="AU127" s="23" t="s">
        <v>435</v>
      </c>
      <c r="AV127" s="210" t="s">
        <v>454</v>
      </c>
      <c r="AW127" s="211">
        <v>4414000</v>
      </c>
      <c r="AX127" s="175">
        <v>4414000</v>
      </c>
      <c r="AY127" s="212">
        <v>12</v>
      </c>
      <c r="AZ127" s="213">
        <f t="shared" si="40"/>
        <v>52968000</v>
      </c>
      <c r="BC127" s="230">
        <v>46023</v>
      </c>
      <c r="BD127" s="215">
        <v>34164000</v>
      </c>
      <c r="BE127" s="215">
        <v>35964000</v>
      </c>
      <c r="BF127" s="261">
        <f t="shared" si="44"/>
        <v>37964400</v>
      </c>
      <c r="BG127" s="215">
        <f t="shared" si="45"/>
        <v>3163700</v>
      </c>
      <c r="BH127" s="215">
        <v>2656200</v>
      </c>
      <c r="BI127" s="216">
        <f t="shared" si="59"/>
        <v>13666.03</v>
      </c>
      <c r="BJ127" s="216">
        <f>IF(AT127="통상",209,VLOOKUP(AD127,'[2]스케줄 분석_20260109'!$B$3:$F$20,5,FALSE))</f>
        <v>209</v>
      </c>
      <c r="BK127" s="216">
        <f>IF(AT127="통상",15,VLOOKUP(AD127,'[2]스케줄 분석_20260109'!$B$3:$P$20,10,FALSE))</f>
        <v>15</v>
      </c>
      <c r="BL127" s="216">
        <f>IF(AT127="통상",0,VLOOKUP(AD127,'[2]스케줄 분석_20260109'!$B$3:$P$20,11,FALSE))</f>
        <v>0</v>
      </c>
      <c r="BM127" s="215">
        <f t="shared" si="46"/>
        <v>307500</v>
      </c>
      <c r="BN127" s="175">
        <f t="shared" si="47"/>
        <v>0</v>
      </c>
      <c r="BO127" s="213">
        <v>200000</v>
      </c>
      <c r="BP127" s="175">
        <f>IF(OR(AT127="스케줄",AT127="스케줄_파라"),ROUNDUP(VLOOKUP(AD127,'[2]스케줄 분석_20260109'!$B$3:$Y$20,23,FALSE)*(VLOOKUP(AD127,'[2]스케줄 분석_20260109'!$B$3:$Y$20,21,FALSE)/VLOOKUP(AD127,'[2]스케줄 분석_20260109'!$B$3:$Y$20,20,FALSE))*VLOOKUP(AD127,'[2]스케줄 분석_20260109'!$B$3:$Y$20,22,FALSE)*VLOOKUP(AD127,'[2]스케줄 분석_20260109'!$B$3:$Y$20,2,FALSE)*1.5*BI127,0),0)</f>
        <v>0</v>
      </c>
      <c r="BQ127" s="217" t="str">
        <f t="shared" si="48"/>
        <v>적합</v>
      </c>
      <c r="BR127" s="213"/>
      <c r="BS127" s="218">
        <f t="shared" si="49"/>
        <v>546641.20000000007</v>
      </c>
      <c r="BT127" s="219">
        <f t="shared" si="50"/>
        <v>3209253.4333333331</v>
      </c>
      <c r="BU127" s="175">
        <f t="shared" si="51"/>
        <v>1689309</v>
      </c>
      <c r="BV127" s="175">
        <f t="shared" si="52"/>
        <v>1448552.2377599999</v>
      </c>
      <c r="BW127" s="175">
        <f t="shared" si="53"/>
        <v>551248.19999999995</v>
      </c>
      <c r="BX127" s="175">
        <f t="shared" si="54"/>
        <v>234725.04</v>
      </c>
      <c r="BY127" s="213">
        <f t="shared" si="42"/>
        <v>3954625</v>
      </c>
      <c r="BZ127" s="220">
        <f t="shared" si="55"/>
        <v>41720294.633333333</v>
      </c>
      <c r="CA127" s="213">
        <f t="shared" si="56"/>
        <v>3923834.4777600002</v>
      </c>
      <c r="CB127" s="221">
        <f t="shared" si="57"/>
        <v>47455500</v>
      </c>
      <c r="CC127" s="222">
        <f t="shared" si="58"/>
        <v>5512500</v>
      </c>
      <c r="CD127" s="223">
        <f t="shared" si="41"/>
        <v>10.407227004984142</v>
      </c>
      <c r="CE127" s="281"/>
      <c r="CF127" s="281"/>
      <c r="CG127" s="23" t="s">
        <v>1733</v>
      </c>
      <c r="CH127" s="23" t="s">
        <v>1710</v>
      </c>
      <c r="CK127" s="187"/>
      <c r="CL127" s="188"/>
    </row>
    <row r="128" spans="1:117" ht="17.25" customHeight="1">
      <c r="A128" s="23">
        <f t="shared" si="38"/>
        <v>125</v>
      </c>
      <c r="B128" s="23" t="s">
        <v>439</v>
      </c>
      <c r="C128" s="190">
        <v>2022025</v>
      </c>
      <c r="D128" s="194" t="s">
        <v>561</v>
      </c>
      <c r="E128" s="23" t="s">
        <v>174</v>
      </c>
      <c r="F128" s="23" t="s">
        <v>1770</v>
      </c>
      <c r="G128" s="23" t="s">
        <v>1010</v>
      </c>
      <c r="H128" s="227" t="s">
        <v>992</v>
      </c>
      <c r="I128" s="227" t="s">
        <v>741</v>
      </c>
      <c r="J128" s="194" t="s">
        <v>178</v>
      </c>
      <c r="K128" s="79" t="s">
        <v>233</v>
      </c>
      <c r="L128" s="287" t="s">
        <v>1771</v>
      </c>
      <c r="M128" s="227"/>
      <c r="N128" s="229" t="s">
        <v>1772</v>
      </c>
      <c r="O128" t="s">
        <v>1773</v>
      </c>
      <c r="P128" s="229" t="s">
        <v>1774</v>
      </c>
      <c r="Q128" s="214">
        <v>43160</v>
      </c>
      <c r="R128" s="214">
        <v>44697</v>
      </c>
      <c r="S128" s="214"/>
      <c r="T128" s="231" t="s">
        <v>1072</v>
      </c>
      <c r="U128" s="201" t="s">
        <v>1775</v>
      </c>
      <c r="V128" s="201" t="s">
        <v>394</v>
      </c>
      <c r="Z128" s="203">
        <f t="shared" ca="1" si="60"/>
        <v>3001</v>
      </c>
      <c r="AA128" s="203">
        <f t="shared" ca="1" si="61"/>
        <v>1464</v>
      </c>
      <c r="AB128" s="230"/>
      <c r="AC128" s="230"/>
      <c r="AD128" s="78" t="s">
        <v>189</v>
      </c>
      <c r="AE128" s="78" t="s">
        <v>190</v>
      </c>
      <c r="AF128" s="78" t="s">
        <v>191</v>
      </c>
      <c r="AG128" s="78" t="s">
        <v>191</v>
      </c>
      <c r="AH128" s="23" t="s">
        <v>161</v>
      </c>
      <c r="AI128" s="23" t="s">
        <v>1776</v>
      </c>
      <c r="AJ128" s="23" t="s">
        <v>569</v>
      </c>
      <c r="AK128" s="296" t="s">
        <v>193</v>
      </c>
      <c r="AL128" s="78" t="s">
        <v>194</v>
      </c>
      <c r="AM128" s="23">
        <v>14536</v>
      </c>
      <c r="AN128" s="78" t="s">
        <v>1777</v>
      </c>
      <c r="AO128" s="78" t="s">
        <v>197</v>
      </c>
      <c r="AP128" s="78" t="s">
        <v>198</v>
      </c>
      <c r="AQ128" s="201" t="s">
        <v>1778</v>
      </c>
      <c r="AR128" s="201" t="s">
        <v>1779</v>
      </c>
      <c r="AS128" s="209" t="s">
        <v>1780</v>
      </c>
      <c r="AT128" s="23" t="s">
        <v>201</v>
      </c>
      <c r="AU128" s="23" t="s">
        <v>435</v>
      </c>
      <c r="AV128" s="210" t="s">
        <v>454</v>
      </c>
      <c r="AW128" s="175">
        <v>4809000</v>
      </c>
      <c r="AX128" s="252">
        <v>5500000</v>
      </c>
      <c r="AY128" s="212">
        <v>12</v>
      </c>
      <c r="AZ128" s="213">
        <f t="shared" si="40"/>
        <v>66000000</v>
      </c>
      <c r="BB128" s="297"/>
      <c r="BC128" s="230">
        <v>46023</v>
      </c>
      <c r="BD128" s="215">
        <v>36360000</v>
      </c>
      <c r="BE128" s="215">
        <v>38520000</v>
      </c>
      <c r="BF128" s="261">
        <f t="shared" si="44"/>
        <v>43520400</v>
      </c>
      <c r="BG128" s="215">
        <f t="shared" si="45"/>
        <v>3626700</v>
      </c>
      <c r="BH128" s="215">
        <v>3074200</v>
      </c>
      <c r="BI128" s="216">
        <f t="shared" si="59"/>
        <v>15666.03</v>
      </c>
      <c r="BJ128" s="216">
        <f>IF(AT128="통상",209,VLOOKUP(AD128,'[2]스케줄 분석_20260109'!$B$3:$F$20,5,FALSE))</f>
        <v>209</v>
      </c>
      <c r="BK128" s="216">
        <f>IF(AT128="통상",15,VLOOKUP(AD128,'[2]스케줄 분석_20260109'!$B$3:$P$20,10,FALSE))</f>
        <v>15</v>
      </c>
      <c r="BL128" s="216">
        <f>IF(AT128="통상",0,VLOOKUP(AD128,'[2]스케줄 분석_20260109'!$B$3:$P$20,11,FALSE))</f>
        <v>0</v>
      </c>
      <c r="BM128" s="215">
        <f t="shared" si="46"/>
        <v>352500</v>
      </c>
      <c r="BN128" s="175">
        <f t="shared" si="47"/>
        <v>0</v>
      </c>
      <c r="BO128" s="213">
        <v>200000</v>
      </c>
      <c r="BP128" s="175">
        <f>IF(OR(AT128="스케줄",AT128="스케줄_파라"),ROUNDUP(VLOOKUP(AD128,'[2]스케줄 분석_20260109'!$B$3:$Y$20,23,FALSE)*(VLOOKUP(AD128,'[2]스케줄 분석_20260109'!$B$3:$Y$20,21,FALSE)/VLOOKUP(AD128,'[2]스케줄 분석_20260109'!$B$3:$Y$20,20,FALSE))*VLOOKUP(AD128,'[2]스케줄 분석_20260109'!$B$3:$Y$20,22,FALSE)*VLOOKUP(AD128,'[2]스케줄 분석_20260109'!$B$3:$Y$20,2,FALSE)*1.5*BI128,0),0)</f>
        <v>0</v>
      </c>
      <c r="BQ128" s="217" t="str">
        <f t="shared" si="48"/>
        <v>적합</v>
      </c>
      <c r="BR128" s="213"/>
      <c r="BS128" s="218">
        <f t="shared" si="49"/>
        <v>626641.20000000007</v>
      </c>
      <c r="BT128" s="219">
        <f t="shared" si="50"/>
        <v>3678920.1</v>
      </c>
      <c r="BU128" s="175">
        <f t="shared" si="51"/>
        <v>1953219</v>
      </c>
      <c r="BV128" s="175">
        <f t="shared" si="52"/>
        <v>1674850.3401599999</v>
      </c>
      <c r="BW128" s="175">
        <f t="shared" si="53"/>
        <v>637366.19999999995</v>
      </c>
      <c r="BX128" s="175">
        <f t="shared" si="54"/>
        <v>271394.64</v>
      </c>
      <c r="BY128" s="213">
        <f t="shared" si="42"/>
        <v>4533375</v>
      </c>
      <c r="BZ128" s="220">
        <f t="shared" si="55"/>
        <v>47825961.300000004</v>
      </c>
      <c r="CA128" s="213">
        <f t="shared" si="56"/>
        <v>4536830.18016</v>
      </c>
      <c r="CB128" s="221">
        <f t="shared" si="57"/>
        <v>54400500</v>
      </c>
      <c r="CC128" s="222">
        <f t="shared" si="58"/>
        <v>11599500</v>
      </c>
      <c r="CD128" s="223">
        <f t="shared" si="41"/>
        <v>17.574999999999999</v>
      </c>
      <c r="CE128" s="78"/>
      <c r="CF128" s="78"/>
      <c r="CG128" s="23" t="s">
        <v>1722</v>
      </c>
      <c r="CH128" s="23" t="s">
        <v>1710</v>
      </c>
      <c r="CK128" s="187"/>
      <c r="CL128" s="188"/>
    </row>
    <row r="129" spans="1:117" ht="17.25" customHeight="1">
      <c r="A129" s="23">
        <f t="shared" si="38"/>
        <v>126</v>
      </c>
      <c r="B129" s="23" t="s">
        <v>439</v>
      </c>
      <c r="C129" s="190">
        <v>2022031</v>
      </c>
      <c r="D129" s="194" t="s">
        <v>1781</v>
      </c>
      <c r="E129" s="284" t="s">
        <v>1782</v>
      </c>
      <c r="F129" s="284" t="s">
        <v>1782</v>
      </c>
      <c r="G129" s="23" t="s">
        <v>1192</v>
      </c>
      <c r="H129" s="227" t="s">
        <v>1783</v>
      </c>
      <c r="I129" s="227" t="s">
        <v>1784</v>
      </c>
      <c r="J129" s="194" t="s">
        <v>178</v>
      </c>
      <c r="K129" s="78" t="s">
        <v>1785</v>
      </c>
      <c r="L129" s="227" t="s">
        <v>1510</v>
      </c>
      <c r="M129" s="227"/>
      <c r="N129" s="229" t="s">
        <v>1786</v>
      </c>
      <c r="O129" s="240" t="s">
        <v>1787</v>
      </c>
      <c r="P129" s="228" t="s">
        <v>1788</v>
      </c>
      <c r="Q129" s="214">
        <v>44728</v>
      </c>
      <c r="R129" s="214">
        <v>44728</v>
      </c>
      <c r="S129" s="214"/>
      <c r="T129" s="231" t="s">
        <v>1789</v>
      </c>
      <c r="U129" s="231" t="s">
        <v>1790</v>
      </c>
      <c r="V129" s="201" t="s">
        <v>1791</v>
      </c>
      <c r="W129" s="200"/>
      <c r="X129" s="200"/>
      <c r="Y129" s="200"/>
      <c r="Z129" s="203">
        <f t="shared" ca="1" si="60"/>
        <v>1433</v>
      </c>
      <c r="AA129" s="203">
        <f t="shared" ca="1" si="61"/>
        <v>1433</v>
      </c>
      <c r="AB129" s="232">
        <v>46203</v>
      </c>
      <c r="AC129" s="232" t="s">
        <v>1792</v>
      </c>
      <c r="AD129" s="78" t="s">
        <v>1793</v>
      </c>
      <c r="AE129" s="78" t="s">
        <v>190</v>
      </c>
      <c r="AF129" s="78" t="s">
        <v>263</v>
      </c>
      <c r="AG129" s="78" t="s">
        <v>263</v>
      </c>
      <c r="AH129" s="23" t="s">
        <v>161</v>
      </c>
      <c r="AI129" s="23" t="s">
        <v>1794</v>
      </c>
      <c r="AJ129" s="23" t="s">
        <v>296</v>
      </c>
      <c r="AK129" s="239" t="s">
        <v>1795</v>
      </c>
      <c r="AL129" s="78" t="s">
        <v>1796</v>
      </c>
      <c r="AM129" s="206" t="s">
        <v>1797</v>
      </c>
      <c r="AN129" s="207" t="s">
        <v>1798</v>
      </c>
      <c r="AO129" s="78" t="s">
        <v>301</v>
      </c>
      <c r="AP129" s="78" t="s">
        <v>1799</v>
      </c>
      <c r="AQ129" s="201" t="s">
        <v>1800</v>
      </c>
      <c r="AS129" s="209" t="s">
        <v>1801</v>
      </c>
      <c r="AT129" s="23" t="s">
        <v>201</v>
      </c>
      <c r="AU129" s="23" t="s">
        <v>435</v>
      </c>
      <c r="AV129" s="210" t="s">
        <v>454</v>
      </c>
      <c r="AW129" s="251">
        <v>6100000</v>
      </c>
      <c r="AX129" s="252">
        <v>6000000</v>
      </c>
      <c r="AY129" s="236">
        <v>12</v>
      </c>
      <c r="AZ129" s="213">
        <f t="shared" si="40"/>
        <v>72000000</v>
      </c>
      <c r="BA129" s="148"/>
      <c r="BB129" s="148"/>
      <c r="BC129" s="230">
        <v>46023</v>
      </c>
      <c r="BD129" s="235">
        <v>40200000</v>
      </c>
      <c r="BE129" s="215">
        <v>40200000</v>
      </c>
      <c r="BF129" s="261">
        <f t="shared" si="44"/>
        <v>43202400</v>
      </c>
      <c r="BG129" s="215">
        <f t="shared" si="45"/>
        <v>3600200</v>
      </c>
      <c r="BH129" s="215">
        <v>3050200</v>
      </c>
      <c r="BI129" s="216">
        <f t="shared" si="59"/>
        <v>15551.2</v>
      </c>
      <c r="BJ129" s="216">
        <f>IF(AT129="통상",209,VLOOKUP(AD129,'[2]스케줄 분석_20260109'!$B$3:$F$20,5,FALSE))</f>
        <v>209</v>
      </c>
      <c r="BK129" s="216">
        <f>IF(AT129="통상",15,VLOOKUP(AD129,'[2]스케줄 분석_20260109'!$B$3:$P$20,10,FALSE))</f>
        <v>15</v>
      </c>
      <c r="BL129" s="216">
        <f>IF(AT129="통상",0,VLOOKUP(AD129,'[2]스케줄 분석_20260109'!$B$3:$P$20,11,FALSE))</f>
        <v>0</v>
      </c>
      <c r="BM129" s="215">
        <f t="shared" si="46"/>
        <v>350000</v>
      </c>
      <c r="BN129" s="175">
        <f t="shared" si="47"/>
        <v>0</v>
      </c>
      <c r="BO129" s="213">
        <v>200000</v>
      </c>
      <c r="BP129" s="175">
        <f>IF(OR(AT129="스케줄",AT129="스케줄_파라"),ROUNDUP(VLOOKUP(AD129,'[2]스케줄 분석_20260109'!$B$3:$Y$20,23,FALSE)*(VLOOKUP(AD129,'[2]스케줄 분석_20260109'!$B$3:$Y$20,21,FALSE)/VLOOKUP(AD129,'[2]스케줄 분석_20260109'!$B$3:$Y$20,20,FALSE))*VLOOKUP(AD129,'[2]스케줄 분석_20260109'!$B$3:$Y$20,22,FALSE)*VLOOKUP(AD129,'[2]스케줄 분석_20260109'!$B$3:$Y$20,2,FALSE)*1.5*BI129,0),0)</f>
        <v>0</v>
      </c>
      <c r="BQ129" s="217" t="str">
        <f t="shared" si="48"/>
        <v>적합</v>
      </c>
      <c r="BR129" s="175"/>
      <c r="BS129" s="218">
        <f t="shared" si="49"/>
        <v>622048</v>
      </c>
      <c r="BT129" s="219">
        <f t="shared" si="50"/>
        <v>3652037.3333333335</v>
      </c>
      <c r="BU129" s="175">
        <f t="shared" si="51"/>
        <v>1938114</v>
      </c>
      <c r="BV129" s="175">
        <f t="shared" si="52"/>
        <v>1661898.0729599998</v>
      </c>
      <c r="BW129" s="175">
        <f t="shared" si="53"/>
        <v>632437.19999999995</v>
      </c>
      <c r="BX129" s="175">
        <f t="shared" si="54"/>
        <v>269295.84000000003</v>
      </c>
      <c r="BY129" s="213">
        <f t="shared" si="42"/>
        <v>4500250</v>
      </c>
      <c r="BZ129" s="220">
        <f t="shared" si="55"/>
        <v>47476485.333333336</v>
      </c>
      <c r="CA129" s="175">
        <f t="shared" si="56"/>
        <v>4501745.1129599996</v>
      </c>
      <c r="CB129" s="221">
        <f t="shared" si="57"/>
        <v>54003000</v>
      </c>
      <c r="CC129" s="222">
        <f t="shared" si="58"/>
        <v>17997000</v>
      </c>
      <c r="CD129" s="223">
        <f t="shared" si="41"/>
        <v>24.995833333333334</v>
      </c>
      <c r="CG129" s="23" t="s">
        <v>1733</v>
      </c>
      <c r="CH129" s="23" t="s">
        <v>1680</v>
      </c>
      <c r="CJ129" s="298"/>
      <c r="CK129" s="187"/>
      <c r="CL129" s="188"/>
      <c r="CM129" s="298"/>
      <c r="CN129" s="298"/>
      <c r="CO129" s="298"/>
      <c r="CP129" s="298"/>
      <c r="CQ129" s="298"/>
      <c r="CR129" s="298"/>
      <c r="CS129" s="298"/>
      <c r="CT129" s="298"/>
      <c r="CU129" s="298"/>
      <c r="CV129" s="298"/>
      <c r="CW129" s="298"/>
      <c r="CX129" s="298"/>
      <c r="CY129" s="298"/>
      <c r="CZ129" s="298"/>
      <c r="DA129" s="298"/>
      <c r="DB129" s="298"/>
      <c r="DC129" s="298"/>
      <c r="DD129" s="298"/>
      <c r="DE129" s="298"/>
      <c r="DF129" s="298"/>
      <c r="DG129" s="298"/>
      <c r="DH129" s="298"/>
      <c r="DI129" s="298"/>
      <c r="DJ129" s="298"/>
      <c r="DK129" s="298"/>
    </row>
    <row r="130" spans="1:117" ht="17.25" customHeight="1">
      <c r="A130" s="23">
        <f t="shared" si="38"/>
        <v>127</v>
      </c>
      <c r="B130" s="23" t="s">
        <v>439</v>
      </c>
      <c r="C130" s="190">
        <v>2022039</v>
      </c>
      <c r="D130" s="194" t="s">
        <v>989</v>
      </c>
      <c r="E130" s="227" t="s">
        <v>990</v>
      </c>
      <c r="F130" s="227" t="s">
        <v>1802</v>
      </c>
      <c r="G130" s="23" t="s">
        <v>412</v>
      </c>
      <c r="H130" s="227" t="s">
        <v>1167</v>
      </c>
      <c r="I130" s="227" t="s">
        <v>741</v>
      </c>
      <c r="J130" s="194" t="s">
        <v>178</v>
      </c>
      <c r="K130" s="79" t="s">
        <v>1011</v>
      </c>
      <c r="L130" s="227" t="s">
        <v>1803</v>
      </c>
      <c r="M130" s="227"/>
      <c r="N130" s="228" t="s">
        <v>1804</v>
      </c>
      <c r="O130" t="s">
        <v>1805</v>
      </c>
      <c r="P130" s="229" t="s">
        <v>1806</v>
      </c>
      <c r="Q130" s="214">
        <v>44790</v>
      </c>
      <c r="R130" s="255">
        <v>44790</v>
      </c>
      <c r="S130" s="214"/>
      <c r="T130" s="231" t="s">
        <v>1729</v>
      </c>
      <c r="U130" s="231" t="s">
        <v>1807</v>
      </c>
      <c r="V130" s="201" t="s">
        <v>278</v>
      </c>
      <c r="W130" s="231" t="s">
        <v>1808</v>
      </c>
      <c r="Z130" s="203">
        <f t="shared" ca="1" si="60"/>
        <v>1371</v>
      </c>
      <c r="AA130" s="203">
        <f t="shared" ca="1" si="61"/>
        <v>1371</v>
      </c>
      <c r="AB130" s="232"/>
      <c r="AC130" s="232"/>
      <c r="AD130" s="78" t="s">
        <v>1035</v>
      </c>
      <c r="AE130" s="78" t="s">
        <v>217</v>
      </c>
      <c r="AF130" s="78" t="s">
        <v>191</v>
      </c>
      <c r="AG130" s="78" t="s">
        <v>191</v>
      </c>
      <c r="AH130" s="23" t="s">
        <v>161</v>
      </c>
      <c r="AI130" s="23" t="s">
        <v>365</v>
      </c>
      <c r="AJ130" s="23" t="s">
        <v>990</v>
      </c>
      <c r="AK130" s="23" t="s">
        <v>1000</v>
      </c>
      <c r="AL130" s="78" t="s">
        <v>1001</v>
      </c>
      <c r="AM130" s="227">
        <v>17332</v>
      </c>
      <c r="AN130" s="79" t="s">
        <v>1809</v>
      </c>
      <c r="AO130" s="78" t="s">
        <v>401</v>
      </c>
      <c r="AP130" s="78" t="s">
        <v>1038</v>
      </c>
      <c r="AQ130" s="201" t="s">
        <v>1026</v>
      </c>
      <c r="AR130" s="201" t="s">
        <v>1027</v>
      </c>
      <c r="AS130" s="209" t="s">
        <v>1006</v>
      </c>
      <c r="AT130" s="23" t="s">
        <v>201</v>
      </c>
      <c r="AU130" s="23" t="s">
        <v>435</v>
      </c>
      <c r="AV130" s="210" t="s">
        <v>454</v>
      </c>
      <c r="AW130" s="211">
        <v>5514000</v>
      </c>
      <c r="AX130" s="175">
        <v>5514000</v>
      </c>
      <c r="AY130" s="212">
        <v>12</v>
      </c>
      <c r="AZ130" s="213">
        <f t="shared" si="40"/>
        <v>66168000</v>
      </c>
      <c r="BA130" s="251"/>
      <c r="BB130" s="251"/>
      <c r="BC130" s="214">
        <v>45839</v>
      </c>
      <c r="BD130" s="215">
        <v>30504000</v>
      </c>
      <c r="BE130" s="215">
        <v>33384000</v>
      </c>
      <c r="BF130" s="215">
        <f t="shared" si="44"/>
        <v>33384000</v>
      </c>
      <c r="BG130" s="215">
        <f t="shared" si="45"/>
        <v>2782000</v>
      </c>
      <c r="BH130" s="215">
        <v>2311600</v>
      </c>
      <c r="BI130" s="216">
        <f t="shared" si="59"/>
        <v>12017.22</v>
      </c>
      <c r="BJ130" s="216">
        <f>IF(AT130="통상",209,VLOOKUP(AD130,'[2]스케줄 분석_20260109'!$B$3:$F$20,5,FALSE))</f>
        <v>209</v>
      </c>
      <c r="BK130" s="216">
        <f>IF(AT130="통상",15,VLOOKUP(AD130,'[2]스케줄 분석_20260109'!$B$3:$P$20,10,FALSE))</f>
        <v>15</v>
      </c>
      <c r="BL130" s="216">
        <f>IF(AT130="통상",0,VLOOKUP(AD130,'[2]스케줄 분석_20260109'!$B$3:$P$20,11,FALSE))</f>
        <v>0</v>
      </c>
      <c r="BM130" s="215">
        <f t="shared" si="46"/>
        <v>270400</v>
      </c>
      <c r="BN130" s="175">
        <f t="shared" si="47"/>
        <v>0</v>
      </c>
      <c r="BO130" s="213">
        <v>200000</v>
      </c>
      <c r="BP130" s="175">
        <f>IF(OR(AT130="스케줄",AT130="스케줄_파라"),ROUNDUP(VLOOKUP(AD130,'[2]스케줄 분석_20260109'!$B$3:$Y$20,23,FALSE)*(VLOOKUP(AD130,'[2]스케줄 분석_20260109'!$B$3:$Y$20,21,FALSE)/VLOOKUP(AD130,'[2]스케줄 분석_20260109'!$B$3:$Y$20,20,FALSE))*VLOOKUP(AD130,'[2]스케줄 분석_20260109'!$B$3:$Y$20,22,FALSE)*VLOOKUP(AD130,'[2]스케줄 분석_20260109'!$B$3:$Y$20,2,FALSE)*1.5*BI130,0),0)</f>
        <v>0</v>
      </c>
      <c r="BQ130" s="217" t="str">
        <f t="shared" si="48"/>
        <v>적합</v>
      </c>
      <c r="BR130" s="213"/>
      <c r="BS130" s="218">
        <f t="shared" si="49"/>
        <v>480688.8</v>
      </c>
      <c r="BT130" s="219">
        <f t="shared" si="50"/>
        <v>2822057.4</v>
      </c>
      <c r="BU130" s="175">
        <f t="shared" si="51"/>
        <v>1471740</v>
      </c>
      <c r="BV130" s="175">
        <f t="shared" si="52"/>
        <v>1261990.7135999999</v>
      </c>
      <c r="BW130" s="175">
        <f t="shared" si="53"/>
        <v>480252</v>
      </c>
      <c r="BX130" s="175">
        <f t="shared" si="54"/>
        <v>204494.4</v>
      </c>
      <c r="BY130" s="213">
        <f t="shared" si="42"/>
        <v>3477500</v>
      </c>
      <c r="BZ130" s="220">
        <f t="shared" si="55"/>
        <v>36686746.199999996</v>
      </c>
      <c r="CA130" s="213">
        <f t="shared" si="56"/>
        <v>3418477.1135999998</v>
      </c>
      <c r="CB130" s="221">
        <f t="shared" si="57"/>
        <v>41730000</v>
      </c>
      <c r="CC130" s="222">
        <f t="shared" si="58"/>
        <v>24438000</v>
      </c>
      <c r="CD130" s="223">
        <f t="shared" si="41"/>
        <v>36.933260790714542</v>
      </c>
      <c r="CE130" s="283"/>
      <c r="CF130" s="283"/>
      <c r="CG130" s="23" t="s">
        <v>1679</v>
      </c>
      <c r="CH130" s="299" t="s">
        <v>1810</v>
      </c>
      <c r="CI130" s="111"/>
      <c r="CK130" s="187"/>
      <c r="CL130" s="188"/>
    </row>
    <row r="131" spans="1:117" ht="17.25" customHeight="1">
      <c r="A131" s="23">
        <f t="shared" si="38"/>
        <v>128</v>
      </c>
      <c r="B131" s="23" t="s">
        <v>439</v>
      </c>
      <c r="C131" s="190">
        <v>2022045</v>
      </c>
      <c r="D131" s="194" t="s">
        <v>655</v>
      </c>
      <c r="E131" s="227" t="s">
        <v>656</v>
      </c>
      <c r="F131" s="23" t="s">
        <v>1811</v>
      </c>
      <c r="G131" s="23" t="s">
        <v>412</v>
      </c>
      <c r="H131" s="227" t="s">
        <v>1474</v>
      </c>
      <c r="I131" s="227" t="s">
        <v>1475</v>
      </c>
      <c r="J131" s="194" t="s">
        <v>207</v>
      </c>
      <c r="K131" s="79" t="s">
        <v>841</v>
      </c>
      <c r="L131" s="227" t="s">
        <v>1510</v>
      </c>
      <c r="M131" s="227"/>
      <c r="N131" s="228" t="s">
        <v>1812</v>
      </c>
      <c r="O131" s="285" t="s">
        <v>1813</v>
      </c>
      <c r="P131" s="247" t="s">
        <v>1814</v>
      </c>
      <c r="Q131" s="214">
        <v>44823</v>
      </c>
      <c r="R131" s="214">
        <v>44823</v>
      </c>
      <c r="S131" s="214"/>
      <c r="T131" s="231" t="s">
        <v>1139</v>
      </c>
      <c r="U131" s="231" t="s">
        <v>1431</v>
      </c>
      <c r="V131" s="201" t="s">
        <v>394</v>
      </c>
      <c r="W131" s="231" t="s">
        <v>498</v>
      </c>
      <c r="X131" s="200"/>
      <c r="Y131" s="200"/>
      <c r="Z131" s="203">
        <f t="shared" ca="1" si="60"/>
        <v>1338</v>
      </c>
      <c r="AA131" s="203">
        <f t="shared" ca="1" si="61"/>
        <v>1338</v>
      </c>
      <c r="AB131" s="232"/>
      <c r="AC131" s="232"/>
      <c r="AD131" s="78" t="s">
        <v>675</v>
      </c>
      <c r="AE131" s="78" t="s">
        <v>217</v>
      </c>
      <c r="AF131" s="78" t="s">
        <v>160</v>
      </c>
      <c r="AG131" s="78" t="s">
        <v>160</v>
      </c>
      <c r="AH131" s="23" t="s">
        <v>161</v>
      </c>
      <c r="AI131" s="23" t="s">
        <v>162</v>
      </c>
      <c r="AJ131" s="23" t="s">
        <v>483</v>
      </c>
      <c r="AK131" s="23">
        <v>13486</v>
      </c>
      <c r="AL131" s="78" t="s">
        <v>1815</v>
      </c>
      <c r="AM131" s="206" t="s">
        <v>919</v>
      </c>
      <c r="AN131" s="207" t="s">
        <v>1816</v>
      </c>
      <c r="AO131" s="78" t="s">
        <v>166</v>
      </c>
      <c r="AP131" s="78" t="s">
        <v>1143</v>
      </c>
      <c r="AQ131" s="201" t="s">
        <v>1144</v>
      </c>
      <c r="AS131" s="209" t="s">
        <v>1658</v>
      </c>
      <c r="AT131" s="23" t="s">
        <v>434</v>
      </c>
      <c r="AU131" s="23" t="s">
        <v>435</v>
      </c>
      <c r="AV131" s="210" t="s">
        <v>454</v>
      </c>
      <c r="AW131" s="211">
        <v>3993000</v>
      </c>
      <c r="AX131" s="175">
        <v>3993000</v>
      </c>
      <c r="AY131" s="212">
        <v>12</v>
      </c>
      <c r="AZ131" s="213">
        <f t="shared" si="40"/>
        <v>47916000</v>
      </c>
      <c r="BA131" s="213" t="s">
        <v>445</v>
      </c>
      <c r="BB131" s="213"/>
      <c r="BC131" s="230">
        <v>46023</v>
      </c>
      <c r="BD131" s="215">
        <v>29040720</v>
      </c>
      <c r="BE131" s="215">
        <v>30121200</v>
      </c>
      <c r="BF131" s="261">
        <f t="shared" si="44"/>
        <v>31622400</v>
      </c>
      <c r="BG131" s="215">
        <f t="shared" si="45"/>
        <v>2635200</v>
      </c>
      <c r="BH131" s="215">
        <v>2073500</v>
      </c>
      <c r="BI131" s="216">
        <f t="shared" si="59"/>
        <v>11886.96</v>
      </c>
      <c r="BJ131" s="216">
        <f>IF(AT131="통상",209,VLOOKUP(AD131,'[2]스케줄 분석_20260109'!$B$3:$F$20,5,FALSE))</f>
        <v>191.26</v>
      </c>
      <c r="BK131" s="216">
        <f>IF(AT131="통상",15,VLOOKUP(AD131,'[2]스케줄 분석_20260109'!$B$3:$P$20,10,FALSE))</f>
        <v>27.88</v>
      </c>
      <c r="BL131" s="216">
        <f>IF(AT131="통상",0,VLOOKUP(AD131,'[2]스케줄 분석_20260109'!$B$3:$P$20,11,FALSE))</f>
        <v>32.950000000000003</v>
      </c>
      <c r="BM131" s="215">
        <f t="shared" si="46"/>
        <v>165800</v>
      </c>
      <c r="BN131" s="175">
        <f t="shared" si="47"/>
        <v>195900</v>
      </c>
      <c r="BO131" s="213">
        <v>200000</v>
      </c>
      <c r="BP131" s="175">
        <f>IF(OR(AT131="스케줄",AT131="스케줄_파라"),ROUNDUP(VLOOKUP(AD131,'[2]스케줄 분석_20260109'!$B$3:$Y$20,23,FALSE)*(VLOOKUP(AD131,'[2]스케줄 분석_20260109'!$B$3:$Y$20,21,FALSE)/VLOOKUP(AD131,'[2]스케줄 분석_20260109'!$B$3:$Y$20,20,FALSE))*VLOOKUP(AD131,'[2]스케줄 분석_20260109'!$B$3:$Y$20,22,FALSE)*VLOOKUP(AD131,'[2]스케줄 분석_20260109'!$B$3:$Y$20,2,FALSE)*1.5*BI131,0),0)</f>
        <v>683853</v>
      </c>
      <c r="BQ131" s="217" t="str">
        <f t="shared" si="48"/>
        <v>적합</v>
      </c>
      <c r="BR131" s="253">
        <v>250000</v>
      </c>
      <c r="BS131" s="218">
        <f t="shared" si="49"/>
        <v>1188696</v>
      </c>
      <c r="BT131" s="219">
        <f t="shared" si="50"/>
        <v>2734258</v>
      </c>
      <c r="BU131" s="175">
        <f t="shared" si="51"/>
        <v>1388064</v>
      </c>
      <c r="BV131" s="175">
        <f t="shared" si="52"/>
        <v>1190240.0409599999</v>
      </c>
      <c r="BW131" s="175">
        <f t="shared" si="53"/>
        <v>452947.20000000001</v>
      </c>
      <c r="BX131" s="175">
        <f t="shared" si="54"/>
        <v>192867.84</v>
      </c>
      <c r="BY131" s="213">
        <f t="shared" si="42"/>
        <v>3294000</v>
      </c>
      <c r="BZ131" s="220">
        <f t="shared" si="55"/>
        <v>35545354</v>
      </c>
      <c r="CA131" s="213">
        <f t="shared" si="56"/>
        <v>3224119.0809599999</v>
      </c>
      <c r="CB131" s="221">
        <f t="shared" si="57"/>
        <v>39528000</v>
      </c>
      <c r="CC131" s="222">
        <f t="shared" si="58"/>
        <v>7560537.8700000001</v>
      </c>
      <c r="CD131" s="223">
        <f t="shared" si="41"/>
        <v>15.778733345855247</v>
      </c>
      <c r="CE131" s="283"/>
      <c r="CF131" s="283"/>
      <c r="CG131" s="23" t="s">
        <v>1679</v>
      </c>
      <c r="CH131" s="23" t="s">
        <v>1710</v>
      </c>
      <c r="CK131" s="187"/>
      <c r="CL131" s="188"/>
      <c r="DL131" s="121"/>
      <c r="DM131" s="121"/>
    </row>
    <row r="132" spans="1:117" ht="17.25" customHeight="1">
      <c r="A132" s="23">
        <f t="shared" si="38"/>
        <v>129</v>
      </c>
      <c r="B132" s="23" t="s">
        <v>439</v>
      </c>
      <c r="C132" s="190">
        <v>2022052</v>
      </c>
      <c r="D132" s="194" t="s">
        <v>541</v>
      </c>
      <c r="E132" s="227" t="s">
        <v>617</v>
      </c>
      <c r="F132" s="227" t="s">
        <v>1817</v>
      </c>
      <c r="G132" s="23" t="s">
        <v>825</v>
      </c>
      <c r="H132" s="227" t="s">
        <v>231</v>
      </c>
      <c r="I132" s="227" t="s">
        <v>206</v>
      </c>
      <c r="J132" s="194" t="s">
        <v>207</v>
      </c>
      <c r="K132" s="79" t="s">
        <v>601</v>
      </c>
      <c r="L132" s="227" t="s">
        <v>1818</v>
      </c>
      <c r="M132" s="227"/>
      <c r="N132" s="228" t="s">
        <v>1819</v>
      </c>
      <c r="O132" t="s">
        <v>1820</v>
      </c>
      <c r="P132" s="229" t="s">
        <v>1821</v>
      </c>
      <c r="Q132" s="214">
        <v>41000</v>
      </c>
      <c r="R132" s="214">
        <v>44879</v>
      </c>
      <c r="S132" s="214"/>
      <c r="T132" s="231" t="s">
        <v>1822</v>
      </c>
      <c r="U132" s="231" t="s">
        <v>1823</v>
      </c>
      <c r="V132" s="201" t="s">
        <v>394</v>
      </c>
      <c r="W132" s="200"/>
      <c r="X132" s="200"/>
      <c r="Y132" s="200"/>
      <c r="Z132" s="203">
        <f t="shared" ca="1" si="60"/>
        <v>5161</v>
      </c>
      <c r="AA132" s="203">
        <f t="shared" ca="1" si="61"/>
        <v>1282</v>
      </c>
      <c r="AB132" s="230"/>
      <c r="AC132" s="230"/>
      <c r="AD132" s="78" t="s">
        <v>216</v>
      </c>
      <c r="AE132" s="78" t="s">
        <v>217</v>
      </c>
      <c r="AF132" s="78" t="s">
        <v>218</v>
      </c>
      <c r="AG132" s="78" t="s">
        <v>218</v>
      </c>
      <c r="AH132" s="23" t="s">
        <v>161</v>
      </c>
      <c r="AI132" s="23" t="s">
        <v>162</v>
      </c>
      <c r="AJ132" s="23" t="s">
        <v>520</v>
      </c>
      <c r="AK132" s="23">
        <v>13594</v>
      </c>
      <c r="AL132" s="78" t="s">
        <v>219</v>
      </c>
      <c r="AM132" s="206" t="s">
        <v>1824</v>
      </c>
      <c r="AN132" s="207" t="s">
        <v>1825</v>
      </c>
      <c r="AO132" s="78" t="s">
        <v>557</v>
      </c>
      <c r="AP132" s="78" t="s">
        <v>614</v>
      </c>
      <c r="AQ132" s="201" t="s">
        <v>1826</v>
      </c>
      <c r="AS132" s="209" t="s">
        <v>560</v>
      </c>
      <c r="AT132" s="23" t="s">
        <v>201</v>
      </c>
      <c r="AU132" s="23" t="s">
        <v>435</v>
      </c>
      <c r="AV132" s="210" t="s">
        <v>454</v>
      </c>
      <c r="AW132" s="211">
        <v>5412000</v>
      </c>
      <c r="AX132" s="175">
        <v>5412000</v>
      </c>
      <c r="AY132" s="212">
        <v>12</v>
      </c>
      <c r="AZ132" s="213">
        <f t="shared" si="40"/>
        <v>64944000</v>
      </c>
      <c r="BA132" s="213"/>
      <c r="BB132" s="213"/>
      <c r="BC132" s="214">
        <v>45839</v>
      </c>
      <c r="BD132" s="215">
        <v>39804000</v>
      </c>
      <c r="BE132" s="215">
        <v>41040000</v>
      </c>
      <c r="BF132" s="215">
        <f t="shared" si="44"/>
        <v>41040000</v>
      </c>
      <c r="BG132" s="215">
        <f t="shared" si="45"/>
        <v>3420000</v>
      </c>
      <c r="BH132" s="215">
        <v>2887600</v>
      </c>
      <c r="BI132" s="216">
        <f t="shared" si="59"/>
        <v>14773.21</v>
      </c>
      <c r="BJ132" s="216">
        <f>IF(AT132="통상",209,VLOOKUP(AD132,'[2]스케줄 분석_20260109'!$B$3:$F$20,5,FALSE))</f>
        <v>209</v>
      </c>
      <c r="BK132" s="216">
        <f>IF(AT132="통상",15,VLOOKUP(AD132,'[2]스케줄 분석_20260109'!$B$3:$P$20,10,FALSE))</f>
        <v>15</v>
      </c>
      <c r="BL132" s="216">
        <f>IF(AT132="통상",0,VLOOKUP(AD132,'[2]스케줄 분석_20260109'!$B$3:$P$20,11,FALSE))</f>
        <v>0</v>
      </c>
      <c r="BM132" s="215">
        <f t="shared" si="46"/>
        <v>332400</v>
      </c>
      <c r="BN132" s="175">
        <f t="shared" si="47"/>
        <v>0</v>
      </c>
      <c r="BO132" s="213">
        <v>200000</v>
      </c>
      <c r="BP132" s="175">
        <f>IF(OR(AT132="스케줄",AT132="스케줄_파라"),ROUNDUP(VLOOKUP(AD132,'[2]스케줄 분석_20260109'!$B$3:$Y$20,23,FALSE)*(VLOOKUP(AD132,'[2]스케줄 분석_20260109'!$B$3:$Y$20,21,FALSE)/VLOOKUP(AD132,'[2]스케줄 분석_20260109'!$B$3:$Y$20,20,FALSE))*VLOOKUP(AD132,'[2]스케줄 분석_20260109'!$B$3:$Y$20,22,FALSE)*VLOOKUP(AD132,'[2]스케줄 분석_20260109'!$B$3:$Y$20,2,FALSE)*1.5*BI132,0),0)</f>
        <v>0</v>
      </c>
      <c r="BQ132" s="217" t="str">
        <f t="shared" si="48"/>
        <v>적합</v>
      </c>
      <c r="BR132" s="213"/>
      <c r="BS132" s="218">
        <f t="shared" si="49"/>
        <v>590928.39999999991</v>
      </c>
      <c r="BT132" s="219">
        <f t="shared" si="50"/>
        <v>3469244.0333333332</v>
      </c>
      <c r="BU132" s="175">
        <f t="shared" si="51"/>
        <v>1835400</v>
      </c>
      <c r="BV132" s="175">
        <f t="shared" si="52"/>
        <v>1573822.656</v>
      </c>
      <c r="BW132" s="175">
        <f t="shared" si="53"/>
        <v>598920</v>
      </c>
      <c r="BX132" s="175">
        <f t="shared" si="54"/>
        <v>255024</v>
      </c>
      <c r="BY132" s="213">
        <f t="shared" si="42"/>
        <v>4275000</v>
      </c>
      <c r="BZ132" s="220">
        <f t="shared" si="55"/>
        <v>45100172.43333333</v>
      </c>
      <c r="CA132" s="213">
        <f t="shared" si="56"/>
        <v>4263166.6559999995</v>
      </c>
      <c r="CB132" s="221">
        <f t="shared" si="57"/>
        <v>51300000</v>
      </c>
      <c r="CC132" s="222">
        <f t="shared" si="58"/>
        <v>13644000</v>
      </c>
      <c r="CD132" s="223">
        <f t="shared" si="41"/>
        <v>21.008869179600886</v>
      </c>
      <c r="CG132" s="23" t="s">
        <v>1827</v>
      </c>
      <c r="CH132" s="23" t="s">
        <v>1680</v>
      </c>
      <c r="CK132" s="187"/>
      <c r="CL132" s="188"/>
      <c r="DL132" s="121"/>
      <c r="DM132" s="121"/>
    </row>
    <row r="133" spans="1:117" ht="17.25" customHeight="1">
      <c r="A133" s="23">
        <f t="shared" ref="A133:A196" si="62">ROW()-3</f>
        <v>130</v>
      </c>
      <c r="B133" s="23" t="s">
        <v>439</v>
      </c>
      <c r="C133" s="190">
        <v>2022053</v>
      </c>
      <c r="D133" s="194" t="s">
        <v>989</v>
      </c>
      <c r="E133" s="227" t="s">
        <v>990</v>
      </c>
      <c r="F133" s="23" t="s">
        <v>1828</v>
      </c>
      <c r="G133" s="23" t="s">
        <v>412</v>
      </c>
      <c r="H133" s="227" t="s">
        <v>1167</v>
      </c>
      <c r="I133" s="227" t="s">
        <v>741</v>
      </c>
      <c r="J133" s="194" t="s">
        <v>178</v>
      </c>
      <c r="K133" s="79" t="s">
        <v>1401</v>
      </c>
      <c r="L133" s="227" t="s">
        <v>1829</v>
      </c>
      <c r="M133" s="227"/>
      <c r="N133" s="228" t="s">
        <v>1830</v>
      </c>
      <c r="O133" t="s">
        <v>1831</v>
      </c>
      <c r="P133" s="229" t="s">
        <v>1832</v>
      </c>
      <c r="Q133" s="214">
        <v>44879</v>
      </c>
      <c r="R133" s="214">
        <v>44879</v>
      </c>
      <c r="S133" s="214"/>
      <c r="T133" s="231" t="s">
        <v>1833</v>
      </c>
      <c r="U133" s="231" t="s">
        <v>1834</v>
      </c>
      <c r="V133" s="201" t="s">
        <v>278</v>
      </c>
      <c r="Z133" s="203">
        <f t="shared" ca="1" si="60"/>
        <v>1282</v>
      </c>
      <c r="AA133" s="203">
        <f t="shared" ca="1" si="61"/>
        <v>1282</v>
      </c>
      <c r="AB133" s="232"/>
      <c r="AC133" s="232"/>
      <c r="AD133" s="78" t="s">
        <v>1835</v>
      </c>
      <c r="AE133" s="78" t="s">
        <v>217</v>
      </c>
      <c r="AF133" s="78" t="s">
        <v>191</v>
      </c>
      <c r="AG133" s="78" t="s">
        <v>191</v>
      </c>
      <c r="AH133" s="23" t="s">
        <v>161</v>
      </c>
      <c r="AI133" s="23" t="s">
        <v>365</v>
      </c>
      <c r="AJ133" s="23" t="s">
        <v>990</v>
      </c>
      <c r="AK133" s="23" t="s">
        <v>1000</v>
      </c>
      <c r="AL133" s="78" t="s">
        <v>1001</v>
      </c>
      <c r="AM133" s="206" t="s">
        <v>1742</v>
      </c>
      <c r="AN133" s="207" t="s">
        <v>1836</v>
      </c>
      <c r="AO133" s="78" t="s">
        <v>401</v>
      </c>
      <c r="AP133" s="201" t="s">
        <v>1038</v>
      </c>
      <c r="AQ133" s="201" t="s">
        <v>433</v>
      </c>
      <c r="AS133" s="209" t="s">
        <v>1006</v>
      </c>
      <c r="AT133" s="23" t="s">
        <v>434</v>
      </c>
      <c r="AU133" s="23" t="s">
        <v>435</v>
      </c>
      <c r="AV133" s="210" t="s">
        <v>454</v>
      </c>
      <c r="AW133" s="211">
        <v>4138000</v>
      </c>
      <c r="AX133" s="175">
        <v>4138000</v>
      </c>
      <c r="AY133" s="212">
        <v>12</v>
      </c>
      <c r="AZ133" s="213">
        <f t="shared" si="40"/>
        <v>49656000</v>
      </c>
      <c r="BA133" s="251"/>
      <c r="BB133" s="251"/>
      <c r="BC133" s="214">
        <v>45839</v>
      </c>
      <c r="BD133" s="215">
        <v>29041080</v>
      </c>
      <c r="BE133" s="215">
        <v>29821200</v>
      </c>
      <c r="BF133" s="215">
        <f t="shared" si="44"/>
        <v>29821200</v>
      </c>
      <c r="BG133" s="215">
        <f t="shared" si="45"/>
        <v>2485100</v>
      </c>
      <c r="BH133" s="215">
        <v>1824800</v>
      </c>
      <c r="BI133" s="216">
        <f t="shared" si="59"/>
        <v>11004.35</v>
      </c>
      <c r="BJ133" s="216">
        <f>IF(AT133="통상",209,VLOOKUP(AD133,'[2]스케줄 분석_20260109'!$B$3:$F$20,5,FALSE))</f>
        <v>184</v>
      </c>
      <c r="BK133" s="216">
        <f>IF(AT133="통상",15,VLOOKUP(AD133,'[2]스케줄 분석_20260109'!$B$3:$P$20,10,FALSE))</f>
        <v>38.020000000000003</v>
      </c>
      <c r="BL133" s="216">
        <f>IF(AT133="통상",0,VLOOKUP(AD133,'[2]스케줄 분석_20260109'!$B$3:$P$20,11,FALSE))</f>
        <v>45.63</v>
      </c>
      <c r="BM133" s="215">
        <f t="shared" si="46"/>
        <v>209200</v>
      </c>
      <c r="BN133" s="175">
        <f t="shared" si="47"/>
        <v>251100</v>
      </c>
      <c r="BO133" s="213">
        <v>200000</v>
      </c>
      <c r="BP133" s="175">
        <f>IF(OR(AT133="스케줄",AT133="스케줄_파라"),ROUNDUP(VLOOKUP(AD133,'[2]스케줄 분석_20260109'!$B$3:$Y$20,23,FALSE)*(VLOOKUP(AD133,'[2]스케줄 분석_20260109'!$B$3:$Y$20,21,FALSE)/VLOOKUP(AD133,'[2]스케줄 분석_20260109'!$B$3:$Y$20,20,FALSE))*VLOOKUP(AD133,'[2]스케줄 분석_20260109'!$B$3:$Y$20,22,FALSE)*VLOOKUP(AD133,'[2]스케줄 분석_20260109'!$B$3:$Y$20,2,FALSE)*1.5*BI133,0),0)</f>
        <v>1993163</v>
      </c>
      <c r="BQ133" s="217" t="str">
        <f t="shared" si="48"/>
        <v>적합</v>
      </c>
      <c r="BR133" s="213"/>
      <c r="BS133" s="218">
        <f t="shared" si="49"/>
        <v>1100435</v>
      </c>
      <c r="BT133" s="219">
        <f t="shared" si="50"/>
        <v>2576802.9166666665</v>
      </c>
      <c r="BU133" s="175">
        <f t="shared" si="51"/>
        <v>1302507</v>
      </c>
      <c r="BV133" s="175">
        <f t="shared" si="52"/>
        <v>1116876.4444799998</v>
      </c>
      <c r="BW133" s="175">
        <f t="shared" si="53"/>
        <v>425028.6</v>
      </c>
      <c r="BX133" s="175">
        <f t="shared" si="54"/>
        <v>180979.92</v>
      </c>
      <c r="BY133" s="213">
        <f t="shared" si="42"/>
        <v>3106375</v>
      </c>
      <c r="BZ133" s="220">
        <f t="shared" si="55"/>
        <v>33498437.916666668</v>
      </c>
      <c r="CA133" s="213">
        <f t="shared" si="56"/>
        <v>3025391.9644800001</v>
      </c>
      <c r="CB133" s="221">
        <f t="shared" si="57"/>
        <v>37276500</v>
      </c>
      <c r="CC133" s="222">
        <f t="shared" si="58"/>
        <v>9967772.7699999996</v>
      </c>
      <c r="CD133" s="223">
        <f t="shared" si="41"/>
        <v>20.073652267601094</v>
      </c>
      <c r="CE133" s="283"/>
      <c r="CF133" s="283"/>
      <c r="CG133" s="23" t="s">
        <v>1733</v>
      </c>
      <c r="CH133" s="23" t="s">
        <v>1680</v>
      </c>
      <c r="CJ133" s="79"/>
      <c r="CK133" s="187"/>
      <c r="CL133" s="188"/>
      <c r="CM133" s="79"/>
      <c r="CN133" s="79"/>
      <c r="CO133" s="79"/>
      <c r="CP133" s="79"/>
      <c r="CQ133" s="79"/>
      <c r="CR133" s="79"/>
      <c r="CS133" s="79"/>
      <c r="CT133" s="79"/>
      <c r="CU133" s="79"/>
      <c r="CV133" s="79"/>
      <c r="CW133" s="79"/>
      <c r="CX133" s="79"/>
      <c r="CY133" s="79"/>
      <c r="CZ133" s="79"/>
      <c r="DA133" s="79"/>
      <c r="DB133" s="79"/>
      <c r="DC133" s="79"/>
      <c r="DD133" s="79"/>
      <c r="DE133" s="79"/>
      <c r="DF133" s="79"/>
      <c r="DG133" s="79"/>
      <c r="DH133" s="79"/>
      <c r="DI133" s="79"/>
      <c r="DJ133" s="79"/>
      <c r="DK133" s="79"/>
      <c r="DL133" s="79"/>
      <c r="DM133" s="79"/>
    </row>
    <row r="134" spans="1:117" ht="17.25" customHeight="1">
      <c r="A134" s="23">
        <f t="shared" si="62"/>
        <v>131</v>
      </c>
      <c r="B134" s="23" t="s">
        <v>439</v>
      </c>
      <c r="C134" s="190">
        <v>2023005</v>
      </c>
      <c r="D134" s="194" t="s">
        <v>1837</v>
      </c>
      <c r="E134" s="227" t="s">
        <v>990</v>
      </c>
      <c r="F134" s="227" t="s">
        <v>1838</v>
      </c>
      <c r="G134" s="23" t="s">
        <v>1701</v>
      </c>
      <c r="H134" s="238" t="s">
        <v>992</v>
      </c>
      <c r="I134" s="227" t="s">
        <v>741</v>
      </c>
      <c r="J134" s="194" t="s">
        <v>207</v>
      </c>
      <c r="K134" s="79" t="s">
        <v>1601</v>
      </c>
      <c r="L134" s="227" t="s">
        <v>1839</v>
      </c>
      <c r="M134" s="227"/>
      <c r="N134" s="228" t="s">
        <v>1840</v>
      </c>
      <c r="O134" t="s">
        <v>1841</v>
      </c>
      <c r="P134" s="229" t="s">
        <v>1842</v>
      </c>
      <c r="Q134" s="214">
        <v>43497</v>
      </c>
      <c r="R134" s="214">
        <v>44935</v>
      </c>
      <c r="S134" s="214"/>
      <c r="T134" s="231" t="s">
        <v>1843</v>
      </c>
      <c r="U134" s="231" t="s">
        <v>1844</v>
      </c>
      <c r="V134" s="201" t="s">
        <v>1210</v>
      </c>
      <c r="W134" s="200"/>
      <c r="X134" s="200"/>
      <c r="Y134" s="200"/>
      <c r="Z134" s="203">
        <f t="shared" ca="1" si="60"/>
        <v>2664</v>
      </c>
      <c r="AA134" s="203">
        <f t="shared" ca="1" si="61"/>
        <v>1226</v>
      </c>
      <c r="AB134" s="232"/>
      <c r="AC134" s="232"/>
      <c r="AD134" s="78" t="s">
        <v>1845</v>
      </c>
      <c r="AE134" s="78" t="s">
        <v>190</v>
      </c>
      <c r="AF134" s="78" t="s">
        <v>218</v>
      </c>
      <c r="AG134" s="78" t="s">
        <v>218</v>
      </c>
      <c r="AH134" s="23" t="s">
        <v>161</v>
      </c>
      <c r="AI134" s="23" t="s">
        <v>162</v>
      </c>
      <c r="AJ134" s="23" t="s">
        <v>1600</v>
      </c>
      <c r="AK134" s="244" t="s">
        <v>1846</v>
      </c>
      <c r="AL134" s="78" t="s">
        <v>1847</v>
      </c>
      <c r="AM134" s="206" t="s">
        <v>1848</v>
      </c>
      <c r="AN134" s="207" t="s">
        <v>1849</v>
      </c>
      <c r="AO134" s="78" t="s">
        <v>613</v>
      </c>
      <c r="AP134" s="201" t="s">
        <v>1609</v>
      </c>
      <c r="AQ134" s="201" t="s">
        <v>1610</v>
      </c>
      <c r="AR134" s="201" t="s">
        <v>1850</v>
      </c>
      <c r="AS134" s="209" t="s">
        <v>1851</v>
      </c>
      <c r="AT134" s="23" t="s">
        <v>201</v>
      </c>
      <c r="AU134" s="23" t="s">
        <v>435</v>
      </c>
      <c r="AV134" s="210" t="s">
        <v>454</v>
      </c>
      <c r="AW134" s="211">
        <v>4498000</v>
      </c>
      <c r="AX134" s="175">
        <v>4498000</v>
      </c>
      <c r="AY134" s="212">
        <v>12</v>
      </c>
      <c r="AZ134" s="213">
        <f t="shared" si="40"/>
        <v>53976000</v>
      </c>
      <c r="BC134" s="214">
        <v>45839</v>
      </c>
      <c r="BD134" s="215">
        <v>34608000</v>
      </c>
      <c r="BE134" s="215">
        <v>35808000</v>
      </c>
      <c r="BF134" s="215">
        <f t="shared" si="44"/>
        <v>35808000</v>
      </c>
      <c r="BG134" s="215">
        <f t="shared" si="45"/>
        <v>2984000</v>
      </c>
      <c r="BH134" s="215">
        <v>2493900</v>
      </c>
      <c r="BI134" s="216">
        <f t="shared" si="59"/>
        <v>12889.47</v>
      </c>
      <c r="BJ134" s="216">
        <f>IF(AT134="통상",209,VLOOKUP(AD134,'[2]스케줄 분석_20260109'!$B$3:$F$20,5,FALSE))</f>
        <v>209</v>
      </c>
      <c r="BK134" s="216">
        <f>IF(AT134="통상",15,VLOOKUP(AD134,'[2]스케줄 분석_20260109'!$B$3:$P$20,10,FALSE))</f>
        <v>15</v>
      </c>
      <c r="BL134" s="216">
        <f>IF(AT134="통상",0,VLOOKUP(AD134,'[2]스케줄 분석_20260109'!$B$3:$P$20,11,FALSE))</f>
        <v>0</v>
      </c>
      <c r="BM134" s="215">
        <f t="shared" si="46"/>
        <v>290100</v>
      </c>
      <c r="BN134" s="175">
        <f t="shared" si="47"/>
        <v>0</v>
      </c>
      <c r="BO134" s="213">
        <v>200000</v>
      </c>
      <c r="BP134" s="175">
        <f>IF(OR(AT134="스케줄",AT134="스케줄_파라"),ROUNDUP(VLOOKUP(AD134,'[2]스케줄 분석_20260109'!$B$3:$Y$20,23,FALSE)*(VLOOKUP(AD134,'[2]스케줄 분석_20260109'!$B$3:$Y$20,21,FALSE)/VLOOKUP(AD134,'[2]스케줄 분석_20260109'!$B$3:$Y$20,20,FALSE))*VLOOKUP(AD134,'[2]스케줄 분석_20260109'!$B$3:$Y$20,22,FALSE)*VLOOKUP(AD134,'[2]스케줄 분석_20260109'!$B$3:$Y$20,2,FALSE)*1.5*BI134,0),0)</f>
        <v>0</v>
      </c>
      <c r="BQ134" s="217" t="str">
        <f t="shared" si="48"/>
        <v>적합</v>
      </c>
      <c r="BR134" s="213"/>
      <c r="BS134" s="218">
        <f t="shared" si="49"/>
        <v>515578.8</v>
      </c>
      <c r="BT134" s="219">
        <f t="shared" si="50"/>
        <v>3026964.9</v>
      </c>
      <c r="BU134" s="175">
        <f t="shared" si="51"/>
        <v>1586880</v>
      </c>
      <c r="BV134" s="175">
        <f t="shared" si="52"/>
        <v>1360721.2031999999</v>
      </c>
      <c r="BW134" s="175">
        <f t="shared" si="53"/>
        <v>517824</v>
      </c>
      <c r="BX134" s="175">
        <f t="shared" si="54"/>
        <v>220492.79999999999</v>
      </c>
      <c r="BY134" s="213">
        <f t="shared" si="42"/>
        <v>3730000</v>
      </c>
      <c r="BZ134" s="220">
        <f t="shared" si="55"/>
        <v>39350543.699999996</v>
      </c>
      <c r="CA134" s="213">
        <f t="shared" si="56"/>
        <v>3685918.0031999997</v>
      </c>
      <c r="CB134" s="221">
        <f t="shared" si="57"/>
        <v>44760000</v>
      </c>
      <c r="CC134" s="222">
        <f t="shared" si="58"/>
        <v>9216000</v>
      </c>
      <c r="CD134" s="223">
        <f t="shared" si="41"/>
        <v>17.074255224544242</v>
      </c>
      <c r="CG134" s="23" t="s">
        <v>1744</v>
      </c>
      <c r="CH134" s="23" t="s">
        <v>1710</v>
      </c>
      <c r="CK134" s="187"/>
      <c r="CL134" s="188"/>
      <c r="DL134" s="121"/>
      <c r="DM134" s="121"/>
    </row>
    <row r="135" spans="1:117" s="121" customFormat="1" ht="17.25" customHeight="1">
      <c r="A135" s="23">
        <f t="shared" si="62"/>
        <v>132</v>
      </c>
      <c r="B135" s="23" t="s">
        <v>439</v>
      </c>
      <c r="C135" s="190">
        <v>2023007</v>
      </c>
      <c r="D135" s="194" t="s">
        <v>655</v>
      </c>
      <c r="E135" s="227" t="s">
        <v>656</v>
      </c>
      <c r="F135" s="23" t="s">
        <v>1852</v>
      </c>
      <c r="G135" s="23" t="s">
        <v>1853</v>
      </c>
      <c r="H135" s="227" t="s">
        <v>992</v>
      </c>
      <c r="I135" s="227" t="s">
        <v>1204</v>
      </c>
      <c r="J135" s="194" t="s">
        <v>207</v>
      </c>
      <c r="K135" s="79" t="s">
        <v>841</v>
      </c>
      <c r="L135" s="227" t="s">
        <v>1854</v>
      </c>
      <c r="M135" s="227"/>
      <c r="N135" s="228" t="s">
        <v>1855</v>
      </c>
      <c r="O135" t="s">
        <v>1856</v>
      </c>
      <c r="P135" s="229" t="s">
        <v>1857</v>
      </c>
      <c r="Q135" s="214">
        <v>44951</v>
      </c>
      <c r="R135" s="214">
        <v>44951</v>
      </c>
      <c r="S135" s="214"/>
      <c r="T135" s="231" t="s">
        <v>1858</v>
      </c>
      <c r="U135" s="200"/>
      <c r="V135" s="201" t="s">
        <v>186</v>
      </c>
      <c r="W135" s="231" t="s">
        <v>684</v>
      </c>
      <c r="X135" s="200" t="s">
        <v>1244</v>
      </c>
      <c r="Y135" s="200"/>
      <c r="Z135" s="203">
        <f t="shared" ca="1" si="60"/>
        <v>1210</v>
      </c>
      <c r="AA135" s="203">
        <f t="shared" ca="1" si="61"/>
        <v>1210</v>
      </c>
      <c r="AB135" s="232"/>
      <c r="AC135" s="232"/>
      <c r="AD135" s="78" t="s">
        <v>675</v>
      </c>
      <c r="AE135" s="78" t="s">
        <v>217</v>
      </c>
      <c r="AF135" s="78" t="s">
        <v>160</v>
      </c>
      <c r="AG135" s="78" t="s">
        <v>160</v>
      </c>
      <c r="AH135" s="23" t="s">
        <v>161</v>
      </c>
      <c r="AI135" s="23" t="s">
        <v>162</v>
      </c>
      <c r="AJ135" s="23" t="s">
        <v>483</v>
      </c>
      <c r="AK135" s="23">
        <v>13486</v>
      </c>
      <c r="AL135" s="78" t="s">
        <v>163</v>
      </c>
      <c r="AM135" s="206" t="s">
        <v>1859</v>
      </c>
      <c r="AN135" s="207" t="s">
        <v>1860</v>
      </c>
      <c r="AO135" s="78" t="s">
        <v>166</v>
      </c>
      <c r="AP135" s="78" t="s">
        <v>1143</v>
      </c>
      <c r="AQ135" s="201" t="s">
        <v>1144</v>
      </c>
      <c r="AR135" s="201"/>
      <c r="AS135" s="209" t="s">
        <v>488</v>
      </c>
      <c r="AT135" s="23" t="s">
        <v>434</v>
      </c>
      <c r="AU135" s="23" t="s">
        <v>435</v>
      </c>
      <c r="AV135" s="210" t="s">
        <v>454</v>
      </c>
      <c r="AW135" s="251">
        <v>4335000</v>
      </c>
      <c r="AX135" s="175">
        <v>4335000</v>
      </c>
      <c r="AY135" s="212">
        <v>12</v>
      </c>
      <c r="AZ135" s="213">
        <f t="shared" ref="AZ135:AZ198" si="63">AX135*AY135</f>
        <v>52020000</v>
      </c>
      <c r="BA135" s="213"/>
      <c r="BB135" s="213"/>
      <c r="BC135" s="214">
        <v>45839</v>
      </c>
      <c r="BD135" s="215">
        <v>29040720</v>
      </c>
      <c r="BE135" s="215">
        <v>30121200</v>
      </c>
      <c r="BF135" s="215">
        <f t="shared" si="44"/>
        <v>30121200</v>
      </c>
      <c r="BG135" s="215">
        <f t="shared" si="45"/>
        <v>2510100</v>
      </c>
      <c r="BH135" s="215">
        <v>1965600</v>
      </c>
      <c r="BI135" s="216">
        <f t="shared" si="59"/>
        <v>11322.81</v>
      </c>
      <c r="BJ135" s="216">
        <f>IF(AT135="통상",209,VLOOKUP(AD135,'[2]스케줄 분석_20260109'!$B$3:$F$20,5,FALSE))</f>
        <v>191.26</v>
      </c>
      <c r="BK135" s="216">
        <f>IF(AT135="통상",15,VLOOKUP(AD135,'[2]스케줄 분석_20260109'!$B$3:$P$20,10,FALSE))</f>
        <v>27.88</v>
      </c>
      <c r="BL135" s="216">
        <f>IF(AT135="통상",0,VLOOKUP(AD135,'[2]스케줄 분석_20260109'!$B$3:$P$20,11,FALSE))</f>
        <v>32.950000000000003</v>
      </c>
      <c r="BM135" s="215">
        <f t="shared" si="46"/>
        <v>157900</v>
      </c>
      <c r="BN135" s="175">
        <f t="shared" si="47"/>
        <v>186600</v>
      </c>
      <c r="BO135" s="213">
        <v>200000</v>
      </c>
      <c r="BP135" s="175">
        <f>IF(OR(AT135="스케줄",AT135="스케줄_파라"),ROUNDUP(VLOOKUP(AD135,'[2]스케줄 분석_20260109'!$B$3:$Y$20,23,FALSE)*(VLOOKUP(AD135,'[2]스케줄 분석_20260109'!$B$3:$Y$20,21,FALSE)/VLOOKUP(AD135,'[2]스케줄 분석_20260109'!$B$3:$Y$20,20,FALSE))*VLOOKUP(AD135,'[2]스케줄 분석_20260109'!$B$3:$Y$20,22,FALSE)*VLOOKUP(AD135,'[2]스케줄 분석_20260109'!$B$3:$Y$20,2,FALSE)*1.5*BI135,0),0)</f>
        <v>651398</v>
      </c>
      <c r="BQ135" s="217" t="str">
        <f t="shared" si="48"/>
        <v>적합</v>
      </c>
      <c r="BR135" s="253">
        <v>250000</v>
      </c>
      <c r="BS135" s="218">
        <f t="shared" si="49"/>
        <v>1132281</v>
      </c>
      <c r="BT135" s="219">
        <f t="shared" si="50"/>
        <v>2604456.75</v>
      </c>
      <c r="BU135" s="175">
        <f t="shared" si="51"/>
        <v>1316757</v>
      </c>
      <c r="BV135" s="175">
        <f t="shared" si="52"/>
        <v>1129095.5644799999</v>
      </c>
      <c r="BW135" s="175">
        <f t="shared" si="53"/>
        <v>429678.6</v>
      </c>
      <c r="BX135" s="175">
        <f t="shared" si="54"/>
        <v>182959.92</v>
      </c>
      <c r="BY135" s="213">
        <f t="shared" si="42"/>
        <v>3137625</v>
      </c>
      <c r="BZ135" s="220">
        <f t="shared" si="55"/>
        <v>33857937.75</v>
      </c>
      <c r="CA135" s="213">
        <f t="shared" si="56"/>
        <v>3058491.0844800002</v>
      </c>
      <c r="CB135" s="221">
        <f t="shared" si="57"/>
        <v>37651500</v>
      </c>
      <c r="CC135" s="222">
        <f t="shared" si="58"/>
        <v>13580308.42</v>
      </c>
      <c r="CD135" s="223">
        <f t="shared" ref="CD135:CD198" si="64">IFERROR((CC135/AZ135)*100,0)</f>
        <v>26.105936985774704</v>
      </c>
      <c r="CE135" s="283"/>
      <c r="CF135" s="283"/>
      <c r="CG135" s="23" t="s">
        <v>1733</v>
      </c>
      <c r="CH135" s="23" t="s">
        <v>1861</v>
      </c>
      <c r="CI135" s="78"/>
      <c r="CJ135" s="78"/>
      <c r="CK135" s="187"/>
      <c r="CL135" s="188"/>
      <c r="CM135" s="78"/>
      <c r="CN135" s="78"/>
      <c r="CO135" s="78"/>
      <c r="CP135" s="78"/>
      <c r="CQ135" s="78"/>
      <c r="CR135" s="78"/>
      <c r="CS135" s="78"/>
      <c r="CT135" s="78"/>
      <c r="CU135" s="78"/>
      <c r="CV135" s="78"/>
      <c r="CW135" s="78"/>
      <c r="CX135" s="78"/>
      <c r="CY135" s="78"/>
      <c r="CZ135" s="78"/>
      <c r="DA135" s="78"/>
      <c r="DB135" s="78"/>
      <c r="DC135" s="78"/>
      <c r="DD135" s="78"/>
      <c r="DE135" s="78"/>
      <c r="DF135" s="78"/>
      <c r="DG135" s="78"/>
      <c r="DH135" s="78"/>
      <c r="DI135" s="78"/>
      <c r="DJ135" s="78"/>
      <c r="DK135" s="78"/>
      <c r="DL135" s="78"/>
      <c r="DM135" s="78"/>
    </row>
    <row r="136" spans="1:117" ht="17.25" customHeight="1">
      <c r="A136" s="23">
        <f t="shared" si="62"/>
        <v>133</v>
      </c>
      <c r="B136" s="23" t="s">
        <v>439</v>
      </c>
      <c r="C136" s="190">
        <v>2023010</v>
      </c>
      <c r="D136" s="201" t="s">
        <v>1862</v>
      </c>
      <c r="E136" s="23" t="s">
        <v>1863</v>
      </c>
      <c r="F136" s="23" t="s">
        <v>1864</v>
      </c>
      <c r="G136" s="23" t="s">
        <v>1853</v>
      </c>
      <c r="H136" s="23" t="s">
        <v>992</v>
      </c>
      <c r="I136" s="227" t="s">
        <v>1204</v>
      </c>
      <c r="J136" s="194" t="s">
        <v>178</v>
      </c>
      <c r="K136" s="78" t="s">
        <v>179</v>
      </c>
      <c r="L136" s="23" t="s">
        <v>1865</v>
      </c>
      <c r="N136" s="229" t="s">
        <v>1866</v>
      </c>
      <c r="O136" t="s">
        <v>1867</v>
      </c>
      <c r="P136" s="229" t="s">
        <v>1868</v>
      </c>
      <c r="Q136" s="214">
        <v>44963</v>
      </c>
      <c r="R136" s="214">
        <v>44963</v>
      </c>
      <c r="T136" s="231" t="s">
        <v>1869</v>
      </c>
      <c r="U136" s="231" t="s">
        <v>1870</v>
      </c>
      <c r="V136" s="201" t="s">
        <v>1210</v>
      </c>
      <c r="W136" s="231" t="s">
        <v>684</v>
      </c>
      <c r="Z136" s="203">
        <f t="shared" ca="1" si="60"/>
        <v>1198</v>
      </c>
      <c r="AA136" s="203">
        <f t="shared" ca="1" si="61"/>
        <v>1198</v>
      </c>
      <c r="AB136" s="232"/>
      <c r="AC136" s="300"/>
      <c r="AD136" s="78" t="s">
        <v>1367</v>
      </c>
      <c r="AE136" s="78" t="s">
        <v>190</v>
      </c>
      <c r="AF136" s="78" t="s">
        <v>160</v>
      </c>
      <c r="AG136" s="78" t="s">
        <v>160</v>
      </c>
      <c r="AH136" s="23" t="s">
        <v>161</v>
      </c>
      <c r="AI136" s="23" t="s">
        <v>1560</v>
      </c>
      <c r="AJ136" s="23" t="s">
        <v>149</v>
      </c>
      <c r="AK136" s="244" t="s">
        <v>1871</v>
      </c>
      <c r="AL136" s="78" t="s">
        <v>1368</v>
      </c>
      <c r="AM136" s="269" t="s">
        <v>1872</v>
      </c>
      <c r="AN136" s="78" t="s">
        <v>1873</v>
      </c>
      <c r="AO136" s="78" t="s">
        <v>166</v>
      </c>
      <c r="AP136" s="78" t="s">
        <v>1874</v>
      </c>
      <c r="AQ136" s="201" t="s">
        <v>1875</v>
      </c>
      <c r="AS136" s="209" t="s">
        <v>1876</v>
      </c>
      <c r="AT136" s="23" t="s">
        <v>201</v>
      </c>
      <c r="AU136" s="23" t="s">
        <v>435</v>
      </c>
      <c r="AV136" s="210" t="s">
        <v>454</v>
      </c>
      <c r="AW136" s="265">
        <v>5000000</v>
      </c>
      <c r="AX136" s="175">
        <v>5000000</v>
      </c>
      <c r="AY136" s="23">
        <v>12</v>
      </c>
      <c r="AZ136" s="213">
        <f t="shared" si="63"/>
        <v>60000000</v>
      </c>
      <c r="BC136" s="214">
        <v>45839</v>
      </c>
      <c r="BD136" s="235">
        <v>35004000</v>
      </c>
      <c r="BE136" s="215">
        <v>35005200</v>
      </c>
      <c r="BF136" s="215">
        <f t="shared" si="44"/>
        <v>35005200</v>
      </c>
      <c r="BG136" s="215">
        <f t="shared" si="45"/>
        <v>2917100</v>
      </c>
      <c r="BH136" s="215">
        <v>2433500</v>
      </c>
      <c r="BI136" s="216">
        <f t="shared" si="59"/>
        <v>12600.48</v>
      </c>
      <c r="BJ136" s="216">
        <f>IF(AT136="통상",209,VLOOKUP(AD136,'[2]스케줄 분석_20260109'!$B$3:$F$20,5,FALSE))</f>
        <v>209</v>
      </c>
      <c r="BK136" s="216">
        <f>IF(AT136="통상",15,VLOOKUP(AD136,'[2]스케줄 분석_20260109'!$B$3:$P$20,10,FALSE))</f>
        <v>15</v>
      </c>
      <c r="BL136" s="216">
        <f>IF(AT136="통상",0,VLOOKUP(AD136,'[2]스케줄 분석_20260109'!$B$3:$P$20,11,FALSE))</f>
        <v>0</v>
      </c>
      <c r="BM136" s="215">
        <f t="shared" si="46"/>
        <v>283600</v>
      </c>
      <c r="BN136" s="175">
        <f t="shared" si="47"/>
        <v>0</v>
      </c>
      <c r="BO136" s="213">
        <v>200000</v>
      </c>
      <c r="BP136" s="175">
        <f>IF(OR(AT136="스케줄",AT136="스케줄_파라"),ROUNDUP(VLOOKUP(AD136,'[2]스케줄 분석_20260109'!$B$3:$Y$20,23,FALSE)*(VLOOKUP(AD136,'[2]스케줄 분석_20260109'!$B$3:$Y$20,21,FALSE)/VLOOKUP(AD136,'[2]스케줄 분석_20260109'!$B$3:$Y$20,20,FALSE))*VLOOKUP(AD136,'[2]스케줄 분석_20260109'!$B$3:$Y$20,22,FALSE)*VLOOKUP(AD136,'[2]스케줄 분석_20260109'!$B$3:$Y$20,2,FALSE)*1.5*BI136,0),0)</f>
        <v>0</v>
      </c>
      <c r="BQ136" s="217" t="str">
        <f t="shared" si="48"/>
        <v>적합</v>
      </c>
      <c r="BS136" s="218">
        <f t="shared" si="49"/>
        <v>504019.19999999995</v>
      </c>
      <c r="BT136" s="219">
        <f t="shared" si="50"/>
        <v>2959101.6</v>
      </c>
      <c r="BU136" s="175">
        <f t="shared" si="51"/>
        <v>1548747</v>
      </c>
      <c r="BV136" s="175">
        <f t="shared" si="52"/>
        <v>1328022.8380799999</v>
      </c>
      <c r="BW136" s="175">
        <f t="shared" si="53"/>
        <v>505380.6</v>
      </c>
      <c r="BX136" s="175">
        <f t="shared" si="54"/>
        <v>215194.32</v>
      </c>
      <c r="BY136" s="213">
        <f t="shared" si="42"/>
        <v>3646375</v>
      </c>
      <c r="BZ136" s="220">
        <f t="shared" si="55"/>
        <v>38468320.800000004</v>
      </c>
      <c r="CA136" s="213">
        <f t="shared" si="56"/>
        <v>3597344.7580800001</v>
      </c>
      <c r="CB136" s="221">
        <f t="shared" si="57"/>
        <v>43756500</v>
      </c>
      <c r="CC136" s="222">
        <f t="shared" si="58"/>
        <v>16243500</v>
      </c>
      <c r="CD136" s="223">
        <f t="shared" si="64"/>
        <v>27.072499999999998</v>
      </c>
      <c r="CG136" s="23" t="s">
        <v>1733</v>
      </c>
      <c r="CH136" s="299" t="s">
        <v>1877</v>
      </c>
      <c r="CK136" s="187"/>
      <c r="CL136" s="188"/>
    </row>
    <row r="137" spans="1:117" ht="17.25" customHeight="1">
      <c r="A137" s="23">
        <f t="shared" si="62"/>
        <v>134</v>
      </c>
      <c r="B137" s="23" t="s">
        <v>439</v>
      </c>
      <c r="C137" s="190">
        <v>2023023</v>
      </c>
      <c r="D137" s="191" t="s">
        <v>409</v>
      </c>
      <c r="E137" s="227" t="s">
        <v>410</v>
      </c>
      <c r="F137" s="227" t="s">
        <v>1878</v>
      </c>
      <c r="G137" s="23" t="s">
        <v>412</v>
      </c>
      <c r="H137" s="227" t="s">
        <v>413</v>
      </c>
      <c r="I137" s="227" t="s">
        <v>414</v>
      </c>
      <c r="J137" s="194" t="s">
        <v>178</v>
      </c>
      <c r="K137" s="79" t="s">
        <v>1401</v>
      </c>
      <c r="L137" s="227" t="s">
        <v>1879</v>
      </c>
      <c r="M137" s="192" t="s">
        <v>417</v>
      </c>
      <c r="N137" s="228" t="s">
        <v>1880</v>
      </c>
      <c r="O137" t="s">
        <v>1881</v>
      </c>
      <c r="P137" s="229" t="s">
        <v>1882</v>
      </c>
      <c r="Q137" s="214">
        <v>45035</v>
      </c>
      <c r="R137" s="214">
        <v>45035</v>
      </c>
      <c r="S137" s="214"/>
      <c r="T137" s="231" t="s">
        <v>1883</v>
      </c>
      <c r="U137" s="231" t="s">
        <v>1884</v>
      </c>
      <c r="V137" s="201" t="s">
        <v>278</v>
      </c>
      <c r="W137" s="200"/>
      <c r="X137" s="200"/>
      <c r="Y137" s="200"/>
      <c r="Z137" s="203">
        <f t="shared" ca="1" si="60"/>
        <v>1126</v>
      </c>
      <c r="AA137" s="203">
        <f t="shared" ca="1" si="61"/>
        <v>1126</v>
      </c>
      <c r="AB137" s="232"/>
      <c r="AC137" s="232"/>
      <c r="AD137" s="78" t="s">
        <v>426</v>
      </c>
      <c r="AE137" s="78" t="s">
        <v>217</v>
      </c>
      <c r="AF137" s="78" t="s">
        <v>218</v>
      </c>
      <c r="AG137" s="78" t="s">
        <v>218</v>
      </c>
      <c r="AH137" s="23" t="s">
        <v>161</v>
      </c>
      <c r="AI137" s="23" t="s">
        <v>162</v>
      </c>
      <c r="AJ137" s="23" t="s">
        <v>427</v>
      </c>
      <c r="AK137" s="23">
        <v>13486</v>
      </c>
      <c r="AL137" s="78" t="s">
        <v>428</v>
      </c>
      <c r="AM137" s="206" t="s">
        <v>1885</v>
      </c>
      <c r="AN137" s="207" t="s">
        <v>1886</v>
      </c>
      <c r="AO137" s="78" t="s">
        <v>431</v>
      </c>
      <c r="AP137" s="208" t="s">
        <v>432</v>
      </c>
      <c r="AQ137" s="201" t="s">
        <v>433</v>
      </c>
      <c r="AS137" s="209" t="s">
        <v>453</v>
      </c>
      <c r="AT137" s="23" t="s">
        <v>434</v>
      </c>
      <c r="AU137" s="23" t="s">
        <v>435</v>
      </c>
      <c r="AV137" s="210" t="s">
        <v>454</v>
      </c>
      <c r="AW137" s="211">
        <v>4243000</v>
      </c>
      <c r="AX137" s="175">
        <v>4243000</v>
      </c>
      <c r="AY137" s="212">
        <v>12</v>
      </c>
      <c r="AZ137" s="213">
        <f t="shared" si="63"/>
        <v>50916000</v>
      </c>
      <c r="BA137" s="213"/>
      <c r="BB137" s="213"/>
      <c r="BC137" s="214">
        <v>45839</v>
      </c>
      <c r="BD137" s="215">
        <v>29041560</v>
      </c>
      <c r="BE137" s="215">
        <v>29917200</v>
      </c>
      <c r="BF137" s="215">
        <f t="shared" si="44"/>
        <v>29917200</v>
      </c>
      <c r="BG137" s="215">
        <f t="shared" si="45"/>
        <v>2493100</v>
      </c>
      <c r="BH137" s="215">
        <v>1814300</v>
      </c>
      <c r="BI137" s="216">
        <f t="shared" si="59"/>
        <v>10947.28</v>
      </c>
      <c r="BJ137" s="216">
        <f>IF(AT137="통상",209,VLOOKUP(AD137,'[2]스케줄 분석_20260109'!$B$3:$F$20,5,FALSE))</f>
        <v>184</v>
      </c>
      <c r="BK137" s="216">
        <f>IF(AT137="통상",15,VLOOKUP(AD137,'[2]스케줄 분석_20260109'!$B$3:$P$20,10,FALSE))</f>
        <v>38.020000000000003</v>
      </c>
      <c r="BL137" s="216">
        <f>IF(AT137="통상",0,VLOOKUP(AD137,'[2]스케줄 분석_20260109'!$B$3:$P$20,11,FALSE))</f>
        <v>49.43</v>
      </c>
      <c r="BM137" s="215">
        <f t="shared" si="46"/>
        <v>208200</v>
      </c>
      <c r="BN137" s="175">
        <f t="shared" si="47"/>
        <v>270600</v>
      </c>
      <c r="BO137" s="213">
        <v>200000</v>
      </c>
      <c r="BP137" s="175">
        <f>IF(OR(AT137="스케줄",AT137="스케줄_파라"),ROUNDUP(VLOOKUP(AD137,'[2]스케줄 분석_20260109'!$B$3:$Y$20,23,FALSE)*(VLOOKUP(AD137,'[2]스케줄 분석_20260109'!$B$3:$Y$20,21,FALSE)/VLOOKUP(AD137,'[2]스케줄 분석_20260109'!$B$3:$Y$20,20,FALSE))*VLOOKUP(AD137,'[2]스케줄 분석_20260109'!$B$3:$Y$20,22,FALSE)*VLOOKUP(AD137,'[2]스케줄 분석_20260109'!$B$3:$Y$20,2,FALSE)*1.5*BI137,0),0)</f>
        <v>1982827</v>
      </c>
      <c r="BQ137" s="217" t="str">
        <f t="shared" si="48"/>
        <v>적합</v>
      </c>
      <c r="BR137" s="213"/>
      <c r="BS137" s="218">
        <f t="shared" si="49"/>
        <v>1094728</v>
      </c>
      <c r="BT137" s="219">
        <f t="shared" si="50"/>
        <v>2584327.3333333335</v>
      </c>
      <c r="BU137" s="175">
        <f t="shared" si="51"/>
        <v>1307067</v>
      </c>
      <c r="BV137" s="175">
        <f t="shared" si="52"/>
        <v>1120786.5628799999</v>
      </c>
      <c r="BW137" s="175">
        <f t="shared" si="53"/>
        <v>426516.6</v>
      </c>
      <c r="BX137" s="175">
        <f t="shared" si="54"/>
        <v>181613.52</v>
      </c>
      <c r="BY137" s="213">
        <f t="shared" si="42"/>
        <v>3116375</v>
      </c>
      <c r="BZ137" s="220">
        <f t="shared" si="55"/>
        <v>33596255.333333336</v>
      </c>
      <c r="CA137" s="213">
        <f t="shared" si="56"/>
        <v>3035983.6828800002</v>
      </c>
      <c r="CB137" s="221">
        <f t="shared" si="57"/>
        <v>37396500</v>
      </c>
      <c r="CC137" s="222">
        <f t="shared" si="58"/>
        <v>11120279.33</v>
      </c>
      <c r="CD137" s="223">
        <f t="shared" si="64"/>
        <v>21.840441766831646</v>
      </c>
      <c r="CG137" s="23" t="s">
        <v>1887</v>
      </c>
      <c r="CH137" s="23" t="s">
        <v>1888</v>
      </c>
      <c r="CJ137" s="210"/>
      <c r="CK137" s="187"/>
      <c r="CL137" s="188"/>
      <c r="CM137" s="210"/>
      <c r="CN137" s="210"/>
      <c r="CO137" s="210"/>
      <c r="CP137" s="210"/>
      <c r="CQ137" s="210"/>
      <c r="CR137" s="210"/>
      <c r="CS137" s="210"/>
      <c r="CT137" s="210"/>
      <c r="CU137" s="210"/>
      <c r="CV137" s="210"/>
      <c r="CW137" s="210"/>
      <c r="CX137" s="210"/>
      <c r="CY137" s="210"/>
      <c r="CZ137" s="210"/>
      <c r="DA137" s="210"/>
      <c r="DB137" s="210"/>
      <c r="DC137" s="210"/>
      <c r="DD137" s="210"/>
      <c r="DE137" s="210"/>
      <c r="DF137" s="210"/>
      <c r="DG137" s="210"/>
      <c r="DH137" s="210"/>
      <c r="DI137" s="210"/>
      <c r="DJ137" s="210"/>
      <c r="DK137" s="210"/>
    </row>
    <row r="138" spans="1:117" s="79" customFormat="1" ht="17.25" customHeight="1">
      <c r="A138" s="23">
        <f t="shared" si="62"/>
        <v>135</v>
      </c>
      <c r="B138" s="23" t="s">
        <v>439</v>
      </c>
      <c r="C138" s="190">
        <v>2024035</v>
      </c>
      <c r="D138" s="191" t="s">
        <v>409</v>
      </c>
      <c r="E138" s="227" t="s">
        <v>410</v>
      </c>
      <c r="F138" s="227" t="s">
        <v>1889</v>
      </c>
      <c r="G138" s="23" t="s">
        <v>412</v>
      </c>
      <c r="H138" s="227" t="s">
        <v>413</v>
      </c>
      <c r="I138" s="227" t="s">
        <v>414</v>
      </c>
      <c r="J138" s="194" t="s">
        <v>178</v>
      </c>
      <c r="K138" s="79" t="s">
        <v>1401</v>
      </c>
      <c r="L138" s="227" t="s">
        <v>1890</v>
      </c>
      <c r="M138" s="192" t="s">
        <v>417</v>
      </c>
      <c r="N138" s="228" t="s">
        <v>1891</v>
      </c>
      <c r="O138" t="s">
        <v>1892</v>
      </c>
      <c r="P138" s="229" t="s">
        <v>1893</v>
      </c>
      <c r="Q138" s="214">
        <v>45554</v>
      </c>
      <c r="R138" s="214">
        <v>45554</v>
      </c>
      <c r="S138" s="214"/>
      <c r="T138" s="231" t="s">
        <v>1894</v>
      </c>
      <c r="U138" s="231"/>
      <c r="V138" s="201" t="s">
        <v>215</v>
      </c>
      <c r="W138" s="200"/>
      <c r="X138" s="200"/>
      <c r="Y138" s="200"/>
      <c r="Z138" s="203">
        <f t="shared" ca="1" si="60"/>
        <v>607</v>
      </c>
      <c r="AA138" s="203">
        <f t="shared" ca="1" si="61"/>
        <v>607</v>
      </c>
      <c r="AB138" s="232"/>
      <c r="AC138" s="232"/>
      <c r="AD138" s="78" t="s">
        <v>426</v>
      </c>
      <c r="AE138" s="78" t="s">
        <v>217</v>
      </c>
      <c r="AF138" s="78" t="s">
        <v>218</v>
      </c>
      <c r="AG138" s="78" t="s">
        <v>218</v>
      </c>
      <c r="AH138" s="23" t="s">
        <v>161</v>
      </c>
      <c r="AI138" s="23" t="s">
        <v>162</v>
      </c>
      <c r="AJ138" s="23" t="s">
        <v>427</v>
      </c>
      <c r="AK138" s="23">
        <v>13486</v>
      </c>
      <c r="AL138" s="78" t="s">
        <v>428</v>
      </c>
      <c r="AM138" s="206" t="s">
        <v>1895</v>
      </c>
      <c r="AN138" s="207" t="s">
        <v>1896</v>
      </c>
      <c r="AO138" s="78" t="s">
        <v>431</v>
      </c>
      <c r="AP138" s="264" t="s">
        <v>432</v>
      </c>
      <c r="AQ138" s="201" t="s">
        <v>433</v>
      </c>
      <c r="AR138" s="201"/>
      <c r="AS138" s="209" t="s">
        <v>453</v>
      </c>
      <c r="AT138" s="23" t="s">
        <v>434</v>
      </c>
      <c r="AU138" s="23" t="s">
        <v>435</v>
      </c>
      <c r="AV138" s="210" t="s">
        <v>454</v>
      </c>
      <c r="AW138" s="265">
        <v>4159000</v>
      </c>
      <c r="AX138" s="175">
        <v>4159000</v>
      </c>
      <c r="AY138" s="236">
        <v>12</v>
      </c>
      <c r="AZ138" s="175">
        <f t="shared" si="63"/>
        <v>49908000</v>
      </c>
      <c r="BA138" s="175"/>
      <c r="BB138" s="175"/>
      <c r="BC138" s="230">
        <v>46023</v>
      </c>
      <c r="BD138" s="22">
        <v>27500040</v>
      </c>
      <c r="BE138" s="215">
        <v>28099200</v>
      </c>
      <c r="BF138" s="261">
        <f t="shared" si="44"/>
        <v>28202400</v>
      </c>
      <c r="BG138" s="215">
        <f t="shared" si="45"/>
        <v>2350200</v>
      </c>
      <c r="BH138" s="215">
        <v>1698900</v>
      </c>
      <c r="BI138" s="216">
        <f t="shared" si="59"/>
        <v>10320.11</v>
      </c>
      <c r="BJ138" s="216">
        <f>IF(AT138="통상",209,VLOOKUP(AD138,'[2]스케줄 분석_20260109'!$B$3:$F$20,5,FALSE))</f>
        <v>184</v>
      </c>
      <c r="BK138" s="216">
        <f>IF(AT138="통상",15,VLOOKUP(AD138,'[2]스케줄 분석_20260109'!$B$3:$P$20,10,FALSE))</f>
        <v>38.020000000000003</v>
      </c>
      <c r="BL138" s="216">
        <f>IF(AT138="통상",0,VLOOKUP(AD138,'[2]스케줄 분석_20260109'!$B$3:$P$20,11,FALSE))</f>
        <v>49.43</v>
      </c>
      <c r="BM138" s="215">
        <f t="shared" si="46"/>
        <v>196200</v>
      </c>
      <c r="BN138" s="175">
        <f t="shared" si="47"/>
        <v>255100</v>
      </c>
      <c r="BO138" s="175">
        <v>200000</v>
      </c>
      <c r="BP138" s="175">
        <f>IF(OR(AT138="스케줄",AT138="스케줄_파라"),ROUNDUP(VLOOKUP(AD138,'[2]스케줄 분석_20260109'!$B$3:$Y$20,23,FALSE)*(VLOOKUP(AD138,'[2]스케줄 분석_20260109'!$B$3:$Y$20,21,FALSE)/VLOOKUP(AD138,'[2]스케줄 분석_20260109'!$B$3:$Y$20,20,FALSE))*VLOOKUP(AD138,'[2]스케줄 분석_20260109'!$B$3:$Y$20,22,FALSE)*VLOOKUP(AD138,'[2]스케줄 분석_20260109'!$B$3:$Y$20,2,FALSE)*1.5*BI138,0),0)</f>
        <v>1869230</v>
      </c>
      <c r="BQ138" s="217" t="str">
        <f t="shared" si="48"/>
        <v>적합</v>
      </c>
      <c r="BR138" s="175"/>
      <c r="BS138" s="218">
        <f t="shared" si="49"/>
        <v>1032011</v>
      </c>
      <c r="BT138" s="219">
        <f t="shared" si="50"/>
        <v>2436200.9166666665</v>
      </c>
      <c r="BU138" s="175">
        <f t="shared" si="51"/>
        <v>1225614</v>
      </c>
      <c r="BV138" s="175">
        <f t="shared" si="52"/>
        <v>1050942.0729599998</v>
      </c>
      <c r="BW138" s="175">
        <f t="shared" si="53"/>
        <v>399937.2</v>
      </c>
      <c r="BX138" s="175">
        <f t="shared" si="54"/>
        <v>170295.84</v>
      </c>
      <c r="BY138" s="213">
        <f t="shared" si="42"/>
        <v>2937750</v>
      </c>
      <c r="BZ138" s="220">
        <f t="shared" si="55"/>
        <v>31670611.916666668</v>
      </c>
      <c r="CA138" s="175">
        <f t="shared" si="56"/>
        <v>2846789.1129599996</v>
      </c>
      <c r="CB138" s="292">
        <f t="shared" si="57"/>
        <v>35253000</v>
      </c>
      <c r="CC138" s="294">
        <f t="shared" si="58"/>
        <v>12393231.699999999</v>
      </c>
      <c r="CD138" s="301">
        <f t="shared" si="64"/>
        <v>24.832154564398493</v>
      </c>
      <c r="CE138" s="77"/>
      <c r="CF138" s="77"/>
      <c r="CG138" s="23" t="s">
        <v>339</v>
      </c>
      <c r="CH138" s="23" t="s">
        <v>1888</v>
      </c>
      <c r="CI138" s="78"/>
      <c r="CJ138" s="78"/>
      <c r="CK138" s="187"/>
      <c r="CL138" s="188"/>
      <c r="CM138" s="78"/>
      <c r="CN138" s="78"/>
      <c r="CO138" s="78"/>
      <c r="CP138" s="78"/>
      <c r="CQ138" s="78"/>
      <c r="CR138" s="78"/>
      <c r="CS138" s="78"/>
      <c r="CT138" s="78"/>
      <c r="CU138" s="78"/>
      <c r="CV138" s="78"/>
      <c r="CW138" s="78"/>
      <c r="CX138" s="78"/>
      <c r="CY138" s="78"/>
      <c r="CZ138" s="78"/>
      <c r="DA138" s="78"/>
      <c r="DB138" s="78"/>
      <c r="DC138" s="78"/>
      <c r="DD138" s="78"/>
      <c r="DE138" s="78"/>
      <c r="DF138" s="78"/>
      <c r="DG138" s="78"/>
      <c r="DH138" s="78"/>
      <c r="DI138" s="78"/>
      <c r="DJ138" s="78"/>
      <c r="DK138" s="78"/>
    </row>
    <row r="139" spans="1:117" ht="17.25" customHeight="1">
      <c r="A139" s="23">
        <f t="shared" si="62"/>
        <v>136</v>
      </c>
      <c r="B139" s="23" t="s">
        <v>439</v>
      </c>
      <c r="C139" s="190">
        <v>2024041</v>
      </c>
      <c r="D139" s="302" t="s">
        <v>409</v>
      </c>
      <c r="E139" s="227" t="s">
        <v>410</v>
      </c>
      <c r="F139" s="227" t="s">
        <v>1897</v>
      </c>
      <c r="G139" s="23" t="s">
        <v>412</v>
      </c>
      <c r="H139" s="227" t="s">
        <v>413</v>
      </c>
      <c r="I139" s="227" t="s">
        <v>414</v>
      </c>
      <c r="J139" s="194" t="s">
        <v>178</v>
      </c>
      <c r="K139" s="79" t="s">
        <v>1401</v>
      </c>
      <c r="L139" s="227" t="s">
        <v>1898</v>
      </c>
      <c r="M139" s="227" t="s">
        <v>1899</v>
      </c>
      <c r="N139" s="228" t="s">
        <v>1900</v>
      </c>
      <c r="O139" s="303" t="s">
        <v>1901</v>
      </c>
      <c r="P139" s="229" t="s">
        <v>1902</v>
      </c>
      <c r="Q139" s="214">
        <v>45600</v>
      </c>
      <c r="R139" s="214">
        <v>45600</v>
      </c>
      <c r="S139" s="214"/>
      <c r="T139" s="231" t="s">
        <v>1903</v>
      </c>
      <c r="U139" s="231" t="s">
        <v>1904</v>
      </c>
      <c r="V139" s="201" t="s">
        <v>1905</v>
      </c>
      <c r="W139" s="200" t="s">
        <v>1408</v>
      </c>
      <c r="X139" s="200"/>
      <c r="Y139" s="200"/>
      <c r="Z139" s="203">
        <f t="shared" ca="1" si="60"/>
        <v>561</v>
      </c>
      <c r="AA139" s="203">
        <f t="shared" ca="1" si="61"/>
        <v>561</v>
      </c>
      <c r="AB139" s="232"/>
      <c r="AC139" s="232"/>
      <c r="AD139" s="78" t="s">
        <v>426</v>
      </c>
      <c r="AE139" s="78" t="s">
        <v>217</v>
      </c>
      <c r="AF139" s="78" t="s">
        <v>218</v>
      </c>
      <c r="AG139" s="78" t="s">
        <v>218</v>
      </c>
      <c r="AH139" s="23" t="s">
        <v>161</v>
      </c>
      <c r="AI139" s="23" t="s">
        <v>162</v>
      </c>
      <c r="AJ139" s="23" t="s">
        <v>427</v>
      </c>
      <c r="AK139" s="23">
        <v>13486</v>
      </c>
      <c r="AL139" s="78" t="s">
        <v>428</v>
      </c>
      <c r="AM139" s="206" t="s">
        <v>1906</v>
      </c>
      <c r="AN139" s="207" t="s">
        <v>1907</v>
      </c>
      <c r="AO139" s="78" t="s">
        <v>431</v>
      </c>
      <c r="AP139" s="264" t="s">
        <v>432</v>
      </c>
      <c r="AQ139" s="201" t="s">
        <v>433</v>
      </c>
      <c r="AS139" s="209" t="s">
        <v>453</v>
      </c>
      <c r="AT139" s="23" t="s">
        <v>434</v>
      </c>
      <c r="AU139" s="23" t="s">
        <v>435</v>
      </c>
      <c r="AV139" s="210" t="s">
        <v>454</v>
      </c>
      <c r="AW139" s="265">
        <v>4159000</v>
      </c>
      <c r="AX139" s="175">
        <v>4159000</v>
      </c>
      <c r="AY139" s="236">
        <v>12</v>
      </c>
      <c r="AZ139" s="175">
        <f t="shared" si="63"/>
        <v>49908000</v>
      </c>
      <c r="BA139" s="175"/>
      <c r="BB139" s="175"/>
      <c r="BC139" s="230">
        <v>46023</v>
      </c>
      <c r="BD139" s="304">
        <v>27500040</v>
      </c>
      <c r="BE139" s="215">
        <v>28099200</v>
      </c>
      <c r="BF139" s="261">
        <f t="shared" si="44"/>
        <v>28202400</v>
      </c>
      <c r="BG139" s="215">
        <f t="shared" si="45"/>
        <v>2350200</v>
      </c>
      <c r="BH139" s="215">
        <v>1698900</v>
      </c>
      <c r="BI139" s="216">
        <f t="shared" si="59"/>
        <v>10320.11</v>
      </c>
      <c r="BJ139" s="216">
        <f>IF(AT139="통상",209,VLOOKUP(AD139,'[2]스케줄 분석_20260109'!$B$3:$F$20,5,FALSE))</f>
        <v>184</v>
      </c>
      <c r="BK139" s="216">
        <f>IF(AT139="통상",15,VLOOKUP(AD139,'[2]스케줄 분석_20260109'!$B$3:$P$20,10,FALSE))</f>
        <v>38.020000000000003</v>
      </c>
      <c r="BL139" s="216">
        <f>IF(AT139="통상",0,VLOOKUP(AD139,'[2]스케줄 분석_20260109'!$B$3:$P$20,11,FALSE))</f>
        <v>49.43</v>
      </c>
      <c r="BM139" s="215">
        <f t="shared" si="46"/>
        <v>196200</v>
      </c>
      <c r="BN139" s="175">
        <f t="shared" si="47"/>
        <v>255100</v>
      </c>
      <c r="BO139" s="175">
        <v>200000</v>
      </c>
      <c r="BP139" s="175">
        <f>IF(OR(AT139="스케줄",AT139="스케줄_파라"),ROUNDUP(VLOOKUP(AD139,'[2]스케줄 분석_20260109'!$B$3:$Y$20,23,FALSE)*(VLOOKUP(AD139,'[2]스케줄 분석_20260109'!$B$3:$Y$20,21,FALSE)/VLOOKUP(AD139,'[2]스케줄 분석_20260109'!$B$3:$Y$20,20,FALSE))*VLOOKUP(AD139,'[2]스케줄 분석_20260109'!$B$3:$Y$20,22,FALSE)*VLOOKUP(AD139,'[2]스케줄 분석_20260109'!$B$3:$Y$20,2,FALSE)*1.5*BI139,0),0)</f>
        <v>1869230</v>
      </c>
      <c r="BQ139" s="217" t="str">
        <f t="shared" si="48"/>
        <v>적합</v>
      </c>
      <c r="BR139" s="175"/>
      <c r="BS139" s="218">
        <f t="shared" si="49"/>
        <v>1032011</v>
      </c>
      <c r="BT139" s="218">
        <f t="shared" si="50"/>
        <v>2436200.9166666665</v>
      </c>
      <c r="BU139" s="175">
        <f t="shared" si="51"/>
        <v>1225614</v>
      </c>
      <c r="BV139" s="175">
        <f t="shared" si="52"/>
        <v>1050942.0729599998</v>
      </c>
      <c r="BW139" s="175">
        <f t="shared" si="53"/>
        <v>399937.2</v>
      </c>
      <c r="BX139" s="175">
        <f t="shared" si="54"/>
        <v>170295.84</v>
      </c>
      <c r="BY139" s="175">
        <f t="shared" si="42"/>
        <v>2937750</v>
      </c>
      <c r="BZ139" s="292">
        <f t="shared" si="55"/>
        <v>31670611.916666668</v>
      </c>
      <c r="CA139" s="175">
        <f t="shared" si="56"/>
        <v>2846789.1129599996</v>
      </c>
      <c r="CB139" s="292">
        <f t="shared" si="57"/>
        <v>35253000</v>
      </c>
      <c r="CC139" s="294">
        <f t="shared" si="58"/>
        <v>12393231.699999999</v>
      </c>
      <c r="CD139" s="301">
        <f t="shared" si="64"/>
        <v>24.832154564398493</v>
      </c>
      <c r="CG139" s="23" t="s">
        <v>437</v>
      </c>
      <c r="CH139" s="23" t="s">
        <v>438</v>
      </c>
      <c r="CK139" s="187"/>
      <c r="CL139" s="188"/>
    </row>
    <row r="140" spans="1:117" ht="17.25" customHeight="1">
      <c r="A140" s="23">
        <f t="shared" si="62"/>
        <v>137</v>
      </c>
      <c r="B140" s="23" t="s">
        <v>439</v>
      </c>
      <c r="C140" s="286">
        <v>2023026</v>
      </c>
      <c r="D140" s="194" t="s">
        <v>1373</v>
      </c>
      <c r="E140" s="227" t="s">
        <v>353</v>
      </c>
      <c r="F140" s="227" t="s">
        <v>1908</v>
      </c>
      <c r="G140" s="23" t="s">
        <v>412</v>
      </c>
      <c r="H140" s="227" t="s">
        <v>1167</v>
      </c>
      <c r="I140" s="227" t="s">
        <v>741</v>
      </c>
      <c r="J140" s="194" t="s">
        <v>178</v>
      </c>
      <c r="K140" s="79" t="s">
        <v>627</v>
      </c>
      <c r="L140" s="248" t="s">
        <v>1909</v>
      </c>
      <c r="M140" s="227"/>
      <c r="N140" s="228" t="s">
        <v>1910</v>
      </c>
      <c r="O140" t="s">
        <v>1911</v>
      </c>
      <c r="P140" s="229" t="s">
        <v>1912</v>
      </c>
      <c r="Q140" s="214">
        <v>45054</v>
      </c>
      <c r="R140" s="214">
        <v>45054</v>
      </c>
      <c r="S140" s="214"/>
      <c r="T140" s="231" t="s">
        <v>1913</v>
      </c>
      <c r="U140" s="231" t="s">
        <v>1914</v>
      </c>
      <c r="V140" s="201" t="s">
        <v>1791</v>
      </c>
      <c r="W140" s="201" t="s">
        <v>425</v>
      </c>
      <c r="Z140" s="203">
        <f t="shared" ca="1" si="60"/>
        <v>1107</v>
      </c>
      <c r="AA140" s="203">
        <f t="shared" ca="1" si="61"/>
        <v>1107</v>
      </c>
      <c r="AB140" s="232"/>
      <c r="AC140" s="232"/>
      <c r="AD140" s="78" t="s">
        <v>381</v>
      </c>
      <c r="AE140" s="78" t="s">
        <v>217</v>
      </c>
      <c r="AF140" s="78" t="s">
        <v>191</v>
      </c>
      <c r="AG140" s="78" t="s">
        <v>191</v>
      </c>
      <c r="AH140" s="23" t="s">
        <v>161</v>
      </c>
      <c r="AI140" s="23" t="s">
        <v>365</v>
      </c>
      <c r="AJ140" s="23" t="s">
        <v>990</v>
      </c>
      <c r="AK140" s="23" t="s">
        <v>1000</v>
      </c>
      <c r="AL140" s="78" t="s">
        <v>1001</v>
      </c>
      <c r="AM140" s="206" t="s">
        <v>1915</v>
      </c>
      <c r="AN140" s="207" t="s">
        <v>1916</v>
      </c>
      <c r="AO140" s="78" t="s">
        <v>401</v>
      </c>
      <c r="AP140" s="201" t="s">
        <v>1038</v>
      </c>
      <c r="AQ140" s="201" t="s">
        <v>921</v>
      </c>
      <c r="AS140" s="209" t="s">
        <v>1382</v>
      </c>
      <c r="AT140" s="23" t="s">
        <v>201</v>
      </c>
      <c r="AU140" s="23" t="s">
        <v>435</v>
      </c>
      <c r="AV140" s="210" t="s">
        <v>454</v>
      </c>
      <c r="AW140" s="251">
        <v>5200000</v>
      </c>
      <c r="AX140" s="175">
        <v>5200000</v>
      </c>
      <c r="AY140" s="212">
        <v>12</v>
      </c>
      <c r="AZ140" s="213">
        <f t="shared" si="63"/>
        <v>62400000</v>
      </c>
      <c r="BA140" s="251"/>
      <c r="BB140" s="251"/>
      <c r="BC140" s="214">
        <v>45839</v>
      </c>
      <c r="BD140" s="215">
        <v>32200080</v>
      </c>
      <c r="BE140" s="215">
        <v>35079600</v>
      </c>
      <c r="BF140" s="215">
        <f t="shared" si="44"/>
        <v>35079600</v>
      </c>
      <c r="BG140" s="215">
        <f t="shared" si="45"/>
        <v>2923300</v>
      </c>
      <c r="BH140" s="215">
        <v>2439100</v>
      </c>
      <c r="BI140" s="216">
        <f t="shared" si="59"/>
        <v>12627.27</v>
      </c>
      <c r="BJ140" s="216">
        <f>IF(AT140="통상",209,VLOOKUP(AD140,'[2]스케줄 분석_20260109'!$B$3:$F$20,5,FALSE))</f>
        <v>209</v>
      </c>
      <c r="BK140" s="216">
        <f>IF(AT140="통상",15,VLOOKUP(AD140,'[2]스케줄 분석_20260109'!$B$3:$P$20,10,FALSE))</f>
        <v>15</v>
      </c>
      <c r="BL140" s="216">
        <f>IF(AT140="통상",0,VLOOKUP(AD140,'[2]스케줄 분석_20260109'!$B$3:$P$20,11,FALSE))</f>
        <v>0</v>
      </c>
      <c r="BM140" s="215">
        <f t="shared" si="46"/>
        <v>284200</v>
      </c>
      <c r="BN140" s="175">
        <f t="shared" si="47"/>
        <v>0</v>
      </c>
      <c r="BO140" s="213">
        <v>200000</v>
      </c>
      <c r="BP140" s="175">
        <f>IF(OR(AT140="스케줄",AT140="스케줄_파라"),ROUNDUP(VLOOKUP(AD140,'[2]스케줄 분석_20260109'!$B$3:$Y$20,23,FALSE)*(VLOOKUP(AD140,'[2]스케줄 분석_20260109'!$B$3:$Y$20,21,FALSE)/VLOOKUP(AD140,'[2]스케줄 분석_20260109'!$B$3:$Y$20,20,FALSE))*VLOOKUP(AD140,'[2]스케줄 분석_20260109'!$B$3:$Y$20,22,FALSE)*VLOOKUP(AD140,'[2]스케줄 분석_20260109'!$B$3:$Y$20,2,FALSE)*1.5*BI140,0),0)</f>
        <v>0</v>
      </c>
      <c r="BQ140" s="217" t="str">
        <f t="shared" si="48"/>
        <v>적합</v>
      </c>
      <c r="BR140" s="213"/>
      <c r="BS140" s="218">
        <f t="shared" si="49"/>
        <v>505090.80000000005</v>
      </c>
      <c r="BT140" s="219">
        <f t="shared" si="50"/>
        <v>2965390.9</v>
      </c>
      <c r="BU140" s="175">
        <f t="shared" si="51"/>
        <v>1552281</v>
      </c>
      <c r="BV140" s="175">
        <f t="shared" si="52"/>
        <v>1331053.1798399999</v>
      </c>
      <c r="BW140" s="175">
        <f t="shared" si="53"/>
        <v>506533.8</v>
      </c>
      <c r="BX140" s="175">
        <f t="shared" si="54"/>
        <v>215685.36</v>
      </c>
      <c r="BY140" s="213">
        <f t="shared" si="42"/>
        <v>3654125</v>
      </c>
      <c r="BZ140" s="220">
        <f t="shared" si="55"/>
        <v>38550081.699999996</v>
      </c>
      <c r="CA140" s="213">
        <f t="shared" si="56"/>
        <v>3605553.3398399996</v>
      </c>
      <c r="CB140" s="221">
        <f t="shared" si="57"/>
        <v>43849500</v>
      </c>
      <c r="CC140" s="222">
        <f t="shared" si="58"/>
        <v>18550500</v>
      </c>
      <c r="CD140" s="223">
        <f t="shared" si="64"/>
        <v>29.728365384615387</v>
      </c>
      <c r="CE140" s="299"/>
      <c r="CF140" s="299"/>
      <c r="CG140" s="23" t="s">
        <v>1917</v>
      </c>
      <c r="CH140" s="23" t="s">
        <v>1918</v>
      </c>
      <c r="CI140" s="111"/>
      <c r="CK140" s="187"/>
      <c r="CL140" s="188"/>
      <c r="DL140" s="121"/>
      <c r="DM140" s="121"/>
    </row>
    <row r="141" spans="1:117" ht="17.25" customHeight="1">
      <c r="A141" s="23">
        <f t="shared" si="62"/>
        <v>138</v>
      </c>
      <c r="B141" s="23" t="s">
        <v>439</v>
      </c>
      <c r="C141" s="190">
        <v>2023028</v>
      </c>
      <c r="D141" s="194" t="s">
        <v>1599</v>
      </c>
      <c r="E141" s="23" t="s">
        <v>1600</v>
      </c>
      <c r="F141" s="23" t="s">
        <v>1919</v>
      </c>
      <c r="G141" s="23" t="s">
        <v>1400</v>
      </c>
      <c r="H141" s="227" t="s">
        <v>1920</v>
      </c>
      <c r="I141" s="23" t="s">
        <v>1784</v>
      </c>
      <c r="J141" s="194" t="s">
        <v>207</v>
      </c>
      <c r="K141" s="79" t="s">
        <v>1601</v>
      </c>
      <c r="L141" s="227" t="s">
        <v>1169</v>
      </c>
      <c r="N141" s="229" t="s">
        <v>1921</v>
      </c>
      <c r="O141" t="s">
        <v>1922</v>
      </c>
      <c r="P141" s="247" t="s">
        <v>1923</v>
      </c>
      <c r="Q141" s="214">
        <v>43586</v>
      </c>
      <c r="R141" s="214">
        <v>45054</v>
      </c>
      <c r="T141" s="201" t="s">
        <v>1924</v>
      </c>
      <c r="V141" s="201" t="s">
        <v>186</v>
      </c>
      <c r="Z141" s="203">
        <f t="shared" ca="1" si="60"/>
        <v>2575</v>
      </c>
      <c r="AA141" s="203">
        <f t="shared" ca="1" si="61"/>
        <v>1107</v>
      </c>
      <c r="AD141" s="78" t="s">
        <v>610</v>
      </c>
      <c r="AE141" s="78" t="s">
        <v>217</v>
      </c>
      <c r="AF141" s="78" t="s">
        <v>218</v>
      </c>
      <c r="AG141" s="78" t="s">
        <v>218</v>
      </c>
      <c r="AH141" s="23" t="s">
        <v>161</v>
      </c>
      <c r="AI141" s="23" t="s">
        <v>162</v>
      </c>
      <c r="AJ141" s="23" t="s">
        <v>1600</v>
      </c>
      <c r="AK141" s="23">
        <v>13558</v>
      </c>
      <c r="AL141" s="78" t="s">
        <v>1606</v>
      </c>
      <c r="AM141" s="269" t="s">
        <v>1925</v>
      </c>
      <c r="AN141" s="78" t="s">
        <v>1926</v>
      </c>
      <c r="AO141" s="78" t="s">
        <v>613</v>
      </c>
      <c r="AP141" s="201" t="s">
        <v>1609</v>
      </c>
      <c r="AQ141" s="201" t="s">
        <v>1610</v>
      </c>
      <c r="AR141" s="201" t="s">
        <v>1927</v>
      </c>
      <c r="AS141" s="209" t="s">
        <v>616</v>
      </c>
      <c r="AT141" s="23" t="s">
        <v>201</v>
      </c>
      <c r="AU141" s="23" t="s">
        <v>435</v>
      </c>
      <c r="AV141" s="210" t="s">
        <v>454</v>
      </c>
      <c r="AW141" s="306">
        <v>4590000</v>
      </c>
      <c r="AX141" s="148">
        <v>4590000</v>
      </c>
      <c r="AY141" s="23">
        <v>12</v>
      </c>
      <c r="AZ141" s="213">
        <f t="shared" si="63"/>
        <v>55080000</v>
      </c>
      <c r="BC141" s="214">
        <v>45839</v>
      </c>
      <c r="BD141" s="215">
        <v>30600000</v>
      </c>
      <c r="BE141" s="215">
        <v>31800000</v>
      </c>
      <c r="BF141" s="215">
        <f t="shared" si="44"/>
        <v>31800000</v>
      </c>
      <c r="BG141" s="215">
        <f t="shared" si="45"/>
        <v>2650000</v>
      </c>
      <c r="BH141" s="215">
        <v>2192400</v>
      </c>
      <c r="BI141" s="216">
        <f t="shared" si="59"/>
        <v>11446.89</v>
      </c>
      <c r="BJ141" s="216">
        <f>IF(AT141="통상",209,VLOOKUP(AD141,'[2]스케줄 분석_20260109'!$B$3:$F$20,5,FALSE))</f>
        <v>209</v>
      </c>
      <c r="BK141" s="216">
        <f>IF(AT141="통상",15,VLOOKUP(AD141,'[2]스케줄 분석_20260109'!$B$3:$P$20,10,FALSE))</f>
        <v>15</v>
      </c>
      <c r="BL141" s="216">
        <f>IF(AT141="통상",0,VLOOKUP(AD141,'[2]스케줄 분석_20260109'!$B$3:$P$20,11,FALSE))</f>
        <v>0</v>
      </c>
      <c r="BM141" s="215">
        <f t="shared" si="46"/>
        <v>257600</v>
      </c>
      <c r="BN141" s="175">
        <f t="shared" si="47"/>
        <v>0</v>
      </c>
      <c r="BO141" s="213">
        <v>200000</v>
      </c>
      <c r="BP141" s="175">
        <f>IF(OR(AT141="스케줄",AT141="스케줄_파라"),ROUNDUP(VLOOKUP(AD141,'[2]스케줄 분석_20260109'!$B$3:$Y$20,23,FALSE)*(VLOOKUP(AD141,'[2]스케줄 분석_20260109'!$B$3:$Y$20,21,FALSE)/VLOOKUP(AD141,'[2]스케줄 분석_20260109'!$B$3:$Y$20,20,FALSE))*VLOOKUP(AD141,'[2]스케줄 분석_20260109'!$B$3:$Y$20,22,FALSE)*VLOOKUP(AD141,'[2]스케줄 분석_20260109'!$B$3:$Y$20,2,FALSE)*1.5*BI141,0),0)</f>
        <v>0</v>
      </c>
      <c r="BQ141" s="217" t="str">
        <f t="shared" si="48"/>
        <v>적합</v>
      </c>
      <c r="BR141" s="213"/>
      <c r="BS141" s="218">
        <f t="shared" si="49"/>
        <v>457875.6</v>
      </c>
      <c r="BT141" s="219">
        <f t="shared" si="50"/>
        <v>2688156.3</v>
      </c>
      <c r="BU141" s="175">
        <f t="shared" si="51"/>
        <v>1396500</v>
      </c>
      <c r="BV141" s="175">
        <f t="shared" si="52"/>
        <v>1197473.76</v>
      </c>
      <c r="BW141" s="175">
        <f t="shared" si="53"/>
        <v>455700</v>
      </c>
      <c r="BX141" s="175">
        <f t="shared" si="54"/>
        <v>194040</v>
      </c>
      <c r="BY141" s="213">
        <f t="shared" si="42"/>
        <v>3312500</v>
      </c>
      <c r="BZ141" s="220">
        <f t="shared" si="55"/>
        <v>34946031.899999999</v>
      </c>
      <c r="CA141" s="213">
        <f t="shared" si="56"/>
        <v>3243713.76</v>
      </c>
      <c r="CB141" s="221">
        <f t="shared" si="57"/>
        <v>39750000</v>
      </c>
      <c r="CC141" s="222">
        <f t="shared" si="58"/>
        <v>15330000</v>
      </c>
      <c r="CD141" s="223">
        <f t="shared" si="64"/>
        <v>27.832244008714596</v>
      </c>
      <c r="CG141" s="23" t="s">
        <v>1733</v>
      </c>
      <c r="CH141" s="23" t="s">
        <v>1710</v>
      </c>
      <c r="CK141" s="187"/>
      <c r="CL141" s="188"/>
    </row>
    <row r="142" spans="1:117" ht="17.25" customHeight="1">
      <c r="A142" s="23">
        <f t="shared" si="62"/>
        <v>139</v>
      </c>
      <c r="B142" s="23" t="s">
        <v>439</v>
      </c>
      <c r="C142" s="286">
        <v>2023033</v>
      </c>
      <c r="D142" s="194" t="s">
        <v>1837</v>
      </c>
      <c r="E142" s="227" t="s">
        <v>1928</v>
      </c>
      <c r="F142" s="227" t="s">
        <v>1928</v>
      </c>
      <c r="G142" s="23" t="s">
        <v>1701</v>
      </c>
      <c r="H142" s="227" t="s">
        <v>992</v>
      </c>
      <c r="I142" s="227" t="s">
        <v>741</v>
      </c>
      <c r="J142" s="194" t="s">
        <v>207</v>
      </c>
      <c r="K142" s="79" t="s">
        <v>1601</v>
      </c>
      <c r="L142" s="227" t="s">
        <v>1929</v>
      </c>
      <c r="M142" s="227"/>
      <c r="N142" s="228" t="s">
        <v>1930</v>
      </c>
      <c r="O142" s="197" t="s">
        <v>1931</v>
      </c>
      <c r="P142" s="229" t="s">
        <v>1932</v>
      </c>
      <c r="Q142" s="214">
        <v>42095</v>
      </c>
      <c r="R142" s="214">
        <v>45117</v>
      </c>
      <c r="S142" s="214"/>
      <c r="T142" s="231" t="s">
        <v>1933</v>
      </c>
      <c r="U142" s="200" t="s">
        <v>1934</v>
      </c>
      <c r="V142" s="201" t="s">
        <v>186</v>
      </c>
      <c r="W142" s="200" t="s">
        <v>1935</v>
      </c>
      <c r="X142" s="200"/>
      <c r="Y142" s="200"/>
      <c r="Z142" s="203">
        <f t="shared" ca="1" si="60"/>
        <v>4066</v>
      </c>
      <c r="AA142" s="203">
        <f t="shared" ca="1" si="61"/>
        <v>1044</v>
      </c>
      <c r="AB142" s="232"/>
      <c r="AC142" s="232"/>
      <c r="AD142" s="78" t="s">
        <v>1845</v>
      </c>
      <c r="AE142" s="78" t="s">
        <v>190</v>
      </c>
      <c r="AF142" s="78" t="s">
        <v>218</v>
      </c>
      <c r="AG142" s="78" t="s">
        <v>218</v>
      </c>
      <c r="AH142" s="23" t="s">
        <v>161</v>
      </c>
      <c r="AI142" s="23" t="s">
        <v>162</v>
      </c>
      <c r="AJ142" s="23" t="s">
        <v>1600</v>
      </c>
      <c r="AK142" s="244" t="s">
        <v>1846</v>
      </c>
      <c r="AL142" s="78" t="s">
        <v>1847</v>
      </c>
      <c r="AM142" s="206" t="s">
        <v>1936</v>
      </c>
      <c r="AN142" s="207" t="s">
        <v>1937</v>
      </c>
      <c r="AO142" s="78" t="s">
        <v>613</v>
      </c>
      <c r="AP142" s="201" t="s">
        <v>1609</v>
      </c>
      <c r="AQ142" s="201" t="s">
        <v>1610</v>
      </c>
      <c r="AR142" s="201" t="s">
        <v>1850</v>
      </c>
      <c r="AS142" s="209" t="s">
        <v>1851</v>
      </c>
      <c r="AT142" s="23" t="s">
        <v>201</v>
      </c>
      <c r="AU142" s="23" t="s">
        <v>435</v>
      </c>
      <c r="AV142" s="210" t="s">
        <v>454</v>
      </c>
      <c r="AW142" s="211">
        <v>4590000</v>
      </c>
      <c r="AX142" s="175">
        <v>4590000</v>
      </c>
      <c r="AY142" s="212">
        <v>12</v>
      </c>
      <c r="AZ142" s="213">
        <f t="shared" si="63"/>
        <v>55080000</v>
      </c>
      <c r="BC142" s="214">
        <v>45839</v>
      </c>
      <c r="BD142" s="215">
        <v>35604000</v>
      </c>
      <c r="BE142" s="215">
        <v>36804000</v>
      </c>
      <c r="BF142" s="215">
        <f t="shared" si="44"/>
        <v>36804000</v>
      </c>
      <c r="BG142" s="215">
        <f t="shared" si="45"/>
        <v>3067000</v>
      </c>
      <c r="BH142" s="215">
        <v>2568900</v>
      </c>
      <c r="BI142" s="216">
        <f t="shared" si="59"/>
        <v>13248.33</v>
      </c>
      <c r="BJ142" s="216">
        <f>IF(AT142="통상",209,VLOOKUP(AD142,'[2]스케줄 분석_20260109'!$B$3:$F$20,5,FALSE))</f>
        <v>209</v>
      </c>
      <c r="BK142" s="216">
        <f>IF(AT142="통상",15,VLOOKUP(AD142,'[2]스케줄 분석_20260109'!$B$3:$P$20,10,FALSE))</f>
        <v>15</v>
      </c>
      <c r="BL142" s="216">
        <f>IF(AT142="통상",0,VLOOKUP(AD142,'[2]스케줄 분석_20260109'!$B$3:$P$20,11,FALSE))</f>
        <v>0</v>
      </c>
      <c r="BM142" s="215">
        <f t="shared" si="46"/>
        <v>298100</v>
      </c>
      <c r="BN142" s="175">
        <f t="shared" si="47"/>
        <v>0</v>
      </c>
      <c r="BO142" s="213">
        <v>200000</v>
      </c>
      <c r="BP142" s="175">
        <f>IF(OR(AT142="스케줄",AT142="스케줄_파라"),ROUNDUP(VLOOKUP(AD142,'[2]스케줄 분석_20260109'!$B$3:$Y$20,23,FALSE)*(VLOOKUP(AD142,'[2]스케줄 분석_20260109'!$B$3:$Y$20,21,FALSE)/VLOOKUP(AD142,'[2]스케줄 분석_20260109'!$B$3:$Y$20,20,FALSE))*VLOOKUP(AD142,'[2]스케줄 분석_20260109'!$B$3:$Y$20,22,FALSE)*VLOOKUP(AD142,'[2]스케줄 분석_20260109'!$B$3:$Y$20,2,FALSE)*1.5*BI142,0),0)</f>
        <v>0</v>
      </c>
      <c r="BQ142" s="217" t="str">
        <f t="shared" si="48"/>
        <v>적합</v>
      </c>
      <c r="BR142" s="213"/>
      <c r="BS142" s="218">
        <f t="shared" si="49"/>
        <v>529933.19999999995</v>
      </c>
      <c r="BT142" s="219">
        <f t="shared" si="50"/>
        <v>3111161.1</v>
      </c>
      <c r="BU142" s="175">
        <f t="shared" si="51"/>
        <v>1634190</v>
      </c>
      <c r="BV142" s="175">
        <f t="shared" si="52"/>
        <v>1401288.6816</v>
      </c>
      <c r="BW142" s="175">
        <f t="shared" si="53"/>
        <v>533262</v>
      </c>
      <c r="BX142" s="175">
        <f t="shared" si="54"/>
        <v>227066.4</v>
      </c>
      <c r="BY142" s="213">
        <f t="shared" si="42"/>
        <v>3833750</v>
      </c>
      <c r="BZ142" s="220">
        <f t="shared" si="55"/>
        <v>40445094.300000004</v>
      </c>
      <c r="CA142" s="213">
        <f t="shared" si="56"/>
        <v>3795807.0815999997</v>
      </c>
      <c r="CB142" s="221">
        <f t="shared" si="57"/>
        <v>46005000</v>
      </c>
      <c r="CC142" s="222">
        <f t="shared" si="58"/>
        <v>9075000</v>
      </c>
      <c r="CD142" s="223">
        <f t="shared" si="64"/>
        <v>16.476034858387798</v>
      </c>
      <c r="CG142" s="23" t="s">
        <v>1733</v>
      </c>
      <c r="CH142" s="23" t="s">
        <v>1710</v>
      </c>
      <c r="CK142" s="187"/>
      <c r="CL142" s="188"/>
    </row>
    <row r="143" spans="1:117" ht="17.25" customHeight="1">
      <c r="A143" s="23">
        <f t="shared" si="62"/>
        <v>140</v>
      </c>
      <c r="B143" s="23" t="s">
        <v>439</v>
      </c>
      <c r="C143" s="190">
        <v>2023034</v>
      </c>
      <c r="D143" s="194" t="s">
        <v>1373</v>
      </c>
      <c r="E143" s="227" t="s">
        <v>353</v>
      </c>
      <c r="F143" s="227" t="s">
        <v>1938</v>
      </c>
      <c r="G143" s="23" t="s">
        <v>1192</v>
      </c>
      <c r="H143" s="227" t="s">
        <v>1167</v>
      </c>
      <c r="I143" s="227" t="s">
        <v>741</v>
      </c>
      <c r="J143" s="194" t="s">
        <v>178</v>
      </c>
      <c r="K143" s="79" t="s">
        <v>627</v>
      </c>
      <c r="L143" s="227" t="s">
        <v>1939</v>
      </c>
      <c r="M143" s="227"/>
      <c r="N143" s="228" t="s">
        <v>1940</v>
      </c>
      <c r="O143" t="s">
        <v>1941</v>
      </c>
      <c r="P143" s="229" t="s">
        <v>1942</v>
      </c>
      <c r="Q143" s="255">
        <v>43617</v>
      </c>
      <c r="R143" s="255">
        <v>45124</v>
      </c>
      <c r="S143" s="214"/>
      <c r="T143" s="231" t="s">
        <v>1943</v>
      </c>
      <c r="U143" s="231" t="s">
        <v>1944</v>
      </c>
      <c r="V143" s="201" t="s">
        <v>1210</v>
      </c>
      <c r="W143" s="201" t="s">
        <v>425</v>
      </c>
      <c r="X143" s="201" t="s">
        <v>1244</v>
      </c>
      <c r="Z143" s="203">
        <f t="shared" ca="1" si="60"/>
        <v>2544</v>
      </c>
      <c r="AA143" s="203">
        <f t="shared" ca="1" si="61"/>
        <v>1037</v>
      </c>
      <c r="AB143" s="232"/>
      <c r="AC143" s="232"/>
      <c r="AD143" s="78" t="s">
        <v>381</v>
      </c>
      <c r="AE143" s="78" t="s">
        <v>217</v>
      </c>
      <c r="AF143" s="78" t="s">
        <v>191</v>
      </c>
      <c r="AG143" s="78" t="s">
        <v>191</v>
      </c>
      <c r="AH143" s="23" t="s">
        <v>161</v>
      </c>
      <c r="AI143" s="23" t="s">
        <v>365</v>
      </c>
      <c r="AJ143" s="23" t="s">
        <v>353</v>
      </c>
      <c r="AK143" s="23" t="s">
        <v>1000</v>
      </c>
      <c r="AL143" s="78" t="s">
        <v>1001</v>
      </c>
      <c r="AM143" s="206" t="s">
        <v>1945</v>
      </c>
      <c r="AN143" s="207" t="s">
        <v>1946</v>
      </c>
      <c r="AO143" s="78" t="s">
        <v>401</v>
      </c>
      <c r="AP143" s="78" t="s">
        <v>1038</v>
      </c>
      <c r="AQ143" s="201" t="s">
        <v>921</v>
      </c>
      <c r="AS143" s="209" t="s">
        <v>1382</v>
      </c>
      <c r="AT143" s="23" t="s">
        <v>201</v>
      </c>
      <c r="AU143" s="23" t="s">
        <v>435</v>
      </c>
      <c r="AV143" s="210" t="s">
        <v>454</v>
      </c>
      <c r="AW143" s="211">
        <v>5100000</v>
      </c>
      <c r="AX143" s="175">
        <v>5100000</v>
      </c>
      <c r="AY143" s="212">
        <v>12</v>
      </c>
      <c r="AZ143" s="213">
        <f t="shared" si="63"/>
        <v>61200000</v>
      </c>
      <c r="BA143" s="251"/>
      <c r="BB143" s="251"/>
      <c r="BC143" s="214">
        <v>45839</v>
      </c>
      <c r="BD143" s="215">
        <v>41004000</v>
      </c>
      <c r="BE143" s="215">
        <v>41604000</v>
      </c>
      <c r="BF143" s="215">
        <f t="shared" si="44"/>
        <v>41604000</v>
      </c>
      <c r="BG143" s="215">
        <f t="shared" si="45"/>
        <v>3467000</v>
      </c>
      <c r="BH143" s="215">
        <v>2930000</v>
      </c>
      <c r="BI143" s="216">
        <f t="shared" si="59"/>
        <v>14976.08</v>
      </c>
      <c r="BJ143" s="216">
        <f>IF(AT143="통상",209,VLOOKUP(AD143,'[2]스케줄 분석_20260109'!$B$3:$F$20,5,FALSE))</f>
        <v>209</v>
      </c>
      <c r="BK143" s="216">
        <f>IF(AT143="통상",15,VLOOKUP(AD143,'[2]스케줄 분석_20260109'!$B$3:$P$20,10,FALSE))</f>
        <v>15</v>
      </c>
      <c r="BL143" s="216">
        <f>IF(AT143="통상",0,VLOOKUP(AD143,'[2]스케줄 분석_20260109'!$B$3:$P$20,11,FALSE))</f>
        <v>0</v>
      </c>
      <c r="BM143" s="215">
        <f t="shared" si="46"/>
        <v>337000</v>
      </c>
      <c r="BN143" s="175">
        <f t="shared" si="47"/>
        <v>0</v>
      </c>
      <c r="BO143" s="213">
        <v>200000</v>
      </c>
      <c r="BP143" s="175">
        <f>IF(OR(AT143="스케줄",AT143="스케줄_파라"),ROUNDUP(VLOOKUP(AD143,'[2]스케줄 분석_20260109'!$B$3:$Y$20,23,FALSE)*(VLOOKUP(AD143,'[2]스케줄 분석_20260109'!$B$3:$Y$20,21,FALSE)/VLOOKUP(AD143,'[2]스케줄 분석_20260109'!$B$3:$Y$20,20,FALSE))*VLOOKUP(AD143,'[2]스케줄 분석_20260109'!$B$3:$Y$20,22,FALSE)*VLOOKUP(AD143,'[2]스케줄 분석_20260109'!$B$3:$Y$20,2,FALSE)*1.5*BI143,0),0)</f>
        <v>0</v>
      </c>
      <c r="BQ143" s="217" t="str">
        <f t="shared" si="48"/>
        <v>적합</v>
      </c>
      <c r="BR143" s="213"/>
      <c r="BS143" s="218">
        <f t="shared" si="49"/>
        <v>599043.19999999995</v>
      </c>
      <c r="BT143" s="219">
        <f t="shared" si="50"/>
        <v>3516920.2666666666</v>
      </c>
      <c r="BU143" s="175">
        <f t="shared" si="51"/>
        <v>1862190</v>
      </c>
      <c r="BV143" s="175">
        <f t="shared" si="52"/>
        <v>1596794.6015999999</v>
      </c>
      <c r="BW143" s="175">
        <f t="shared" si="53"/>
        <v>607662</v>
      </c>
      <c r="BX143" s="175">
        <f t="shared" si="54"/>
        <v>258746.4</v>
      </c>
      <c r="BY143" s="213">
        <f t="shared" ref="BY143:BY206" si="65">CB143/AY143</f>
        <v>4333750</v>
      </c>
      <c r="BZ143" s="220">
        <f t="shared" si="55"/>
        <v>45719963.466666669</v>
      </c>
      <c r="CA143" s="213">
        <f t="shared" si="56"/>
        <v>4325393.0016000001</v>
      </c>
      <c r="CB143" s="221">
        <f t="shared" si="57"/>
        <v>52005000</v>
      </c>
      <c r="CC143" s="222">
        <f t="shared" si="58"/>
        <v>9195000</v>
      </c>
      <c r="CD143" s="223">
        <f t="shared" si="64"/>
        <v>15.024509803921568</v>
      </c>
      <c r="CE143" s="299"/>
      <c r="CF143" s="299"/>
      <c r="CG143" s="23" t="s">
        <v>1827</v>
      </c>
      <c r="CH143" s="23" t="s">
        <v>1888</v>
      </c>
      <c r="CI143" s="111"/>
      <c r="CK143" s="187"/>
      <c r="CL143" s="188"/>
    </row>
    <row r="144" spans="1:117" ht="17.25" customHeight="1">
      <c r="A144" s="23">
        <f t="shared" si="62"/>
        <v>141</v>
      </c>
      <c r="B144" s="23" t="s">
        <v>439</v>
      </c>
      <c r="C144" s="190">
        <v>2023040</v>
      </c>
      <c r="D144" s="194" t="s">
        <v>455</v>
      </c>
      <c r="E144" s="227" t="s">
        <v>1947</v>
      </c>
      <c r="F144" s="227" t="s">
        <v>1948</v>
      </c>
      <c r="G144" s="23" t="s">
        <v>1853</v>
      </c>
      <c r="H144" s="227" t="s">
        <v>1541</v>
      </c>
      <c r="I144" s="227" t="s">
        <v>414</v>
      </c>
      <c r="J144" s="194" t="s">
        <v>1530</v>
      </c>
      <c r="K144" s="79" t="s">
        <v>1401</v>
      </c>
      <c r="L144" s="227" t="s">
        <v>1949</v>
      </c>
      <c r="M144" s="227" t="s">
        <v>1543</v>
      </c>
      <c r="N144" s="228" t="s">
        <v>1950</v>
      </c>
      <c r="O144" t="s">
        <v>1951</v>
      </c>
      <c r="P144" s="229" t="s">
        <v>1952</v>
      </c>
      <c r="Q144" s="214">
        <v>45167</v>
      </c>
      <c r="R144" s="214">
        <v>45167</v>
      </c>
      <c r="S144" s="214"/>
      <c r="T144" s="231" t="s">
        <v>1953</v>
      </c>
      <c r="U144" s="231" t="s">
        <v>1954</v>
      </c>
      <c r="V144" s="201" t="s">
        <v>278</v>
      </c>
      <c r="W144" s="201" t="s">
        <v>1244</v>
      </c>
      <c r="X144" s="201" t="s">
        <v>425</v>
      </c>
      <c r="Z144" s="203">
        <f t="shared" ca="1" si="60"/>
        <v>994</v>
      </c>
      <c r="AA144" s="203">
        <f t="shared" ca="1" si="61"/>
        <v>994</v>
      </c>
      <c r="AB144" s="232"/>
      <c r="AC144" s="232"/>
      <c r="AD144" s="78" t="s">
        <v>1549</v>
      </c>
      <c r="AE144" s="78" t="s">
        <v>190</v>
      </c>
      <c r="AF144" s="78" t="s">
        <v>263</v>
      </c>
      <c r="AG144" s="78" t="s">
        <v>263</v>
      </c>
      <c r="AH144" s="23" t="s">
        <v>161</v>
      </c>
      <c r="AI144" s="23" t="s">
        <v>465</v>
      </c>
      <c r="AJ144" s="23" t="s">
        <v>1947</v>
      </c>
      <c r="AK144" s="233" t="s">
        <v>467</v>
      </c>
      <c r="AL144" s="78" t="s">
        <v>1645</v>
      </c>
      <c r="AM144" s="206" t="s">
        <v>1955</v>
      </c>
      <c r="AN144" s="207" t="s">
        <v>1956</v>
      </c>
      <c r="AO144" s="78" t="s">
        <v>222</v>
      </c>
      <c r="AP144" s="201" t="s">
        <v>1552</v>
      </c>
      <c r="AQ144" s="201" t="s">
        <v>433</v>
      </c>
      <c r="AS144" s="209" t="s">
        <v>473</v>
      </c>
      <c r="AT144" s="23" t="s">
        <v>434</v>
      </c>
      <c r="AU144" s="23" t="s">
        <v>435</v>
      </c>
      <c r="AV144" s="210" t="s">
        <v>454</v>
      </c>
      <c r="AW144" s="211">
        <v>4078000</v>
      </c>
      <c r="AX144" s="175">
        <v>4078000</v>
      </c>
      <c r="AY144" s="212">
        <v>12</v>
      </c>
      <c r="AZ144" s="213">
        <f t="shared" si="63"/>
        <v>48936000</v>
      </c>
      <c r="BC144" s="214">
        <v>45839</v>
      </c>
      <c r="BD144" s="215">
        <v>29041320</v>
      </c>
      <c r="BE144" s="215">
        <v>29809200</v>
      </c>
      <c r="BF144" s="215">
        <f t="shared" ref="BF144:BF197" si="66">BG144*12</f>
        <v>29809200</v>
      </c>
      <c r="BG144" s="215">
        <f t="shared" ref="BG144:BG207" si="67">BH144+BM144+BN144+BO144</f>
        <v>2484100</v>
      </c>
      <c r="BH144" s="215">
        <v>1693000</v>
      </c>
      <c r="BI144" s="216">
        <f t="shared" si="59"/>
        <v>12000.76</v>
      </c>
      <c r="BJ144" s="216">
        <f>IF(AT144="통상",209,VLOOKUP(AD144,'[2]스케줄 분석_20260109'!$B$3:$F$20,5,FALSE))</f>
        <v>157.74</v>
      </c>
      <c r="BK144" s="216">
        <f>IF(AT144="통상",15,VLOOKUP(AD144,'[2]스케줄 분석_20260109'!$B$3:$P$20,10,FALSE))</f>
        <v>32.590000000000003</v>
      </c>
      <c r="BL144" s="216">
        <f>IF(AT144="통상",0,VLOOKUP(AD144,'[2]스케줄 분석_20260109'!$B$3:$P$20,11,FALSE))</f>
        <v>65.900000000000006</v>
      </c>
      <c r="BM144" s="215">
        <f t="shared" ref="BM144:BM207" si="68">IF(OR(AT144="통상",AT144="스케줄_파라"),ROUNDUP(BI144*BK144*1.5,-2),IF(OR(AT144="스케줄",AT144="휴직_스케줄"),ROUNDUP(BI144*BK144*0.5,-2),"확인바람"))</f>
        <v>195600</v>
      </c>
      <c r="BN144" s="175">
        <f t="shared" ref="BN144:BN195" si="69">ROUNDUP(BI144*BL144*0.5,-2)</f>
        <v>395500</v>
      </c>
      <c r="BO144" s="213">
        <v>200000</v>
      </c>
      <c r="BP144" s="175">
        <f>IF(OR(AT144="스케줄",AT144="스케줄_파라"),ROUNDUP(VLOOKUP(AD144,'[2]스케줄 분석_20260109'!$B$3:$Y$20,23,FALSE)*(VLOOKUP(AD144,'[2]스케줄 분석_20260109'!$B$3:$Y$20,21,FALSE)/VLOOKUP(AD144,'[2]스케줄 분석_20260109'!$B$3:$Y$20,20,FALSE))*VLOOKUP(AD144,'[2]스케줄 분석_20260109'!$B$3:$Y$20,22,FALSE)*VLOOKUP(AD144,'[2]스케줄 분석_20260109'!$B$3:$Y$20,2,FALSE)*1.5*BI144,0),0)</f>
        <v>2898184</v>
      </c>
      <c r="BQ144" s="217" t="str">
        <f t="shared" ref="BQ144:BQ207" si="70">IF(BI144&gt;=$D$1,"적합","미달")</f>
        <v>적합</v>
      </c>
      <c r="BR144" s="213"/>
      <c r="BS144" s="218">
        <f t="shared" ref="BS144:BS207" si="71">IF(AT144="통상",BI144*8*5,IF(OR(AT144="스케줄",AT144="스케줄_파라"),BI144*100,"확인"))</f>
        <v>1200076</v>
      </c>
      <c r="BT144" s="219">
        <f t="shared" ref="BT144:BT207" si="72">BG144+BS144/12</f>
        <v>2584106.3333333335</v>
      </c>
      <c r="BU144" s="175">
        <f t="shared" ref="BU144:BU207" si="73">(BF144-BO144*12)*0.0475</f>
        <v>1301937</v>
      </c>
      <c r="BV144" s="175">
        <f t="shared" ref="BV144:BV207" si="74">(BF144-BO144*12)*0.036+(BF144-BO144*12)*0.036*0.1314</f>
        <v>1116387.6796800001</v>
      </c>
      <c r="BW144" s="175">
        <f t="shared" ref="BW144:BW207" si="75">(BF144-BO144*12)*(0.009+0.0065)</f>
        <v>424842.6</v>
      </c>
      <c r="BX144" s="175">
        <f t="shared" ref="BX144:BX207" si="76">(BF144-BO144*12)*0.0066</f>
        <v>180900.72</v>
      </c>
      <c r="BY144" s="213">
        <f t="shared" si="65"/>
        <v>3105125</v>
      </c>
      <c r="BZ144" s="220">
        <f t="shared" ref="BZ144:BZ207" si="77">SUM(BF144,BS144:BT144)</f>
        <v>33593382.333333336</v>
      </c>
      <c r="CA144" s="213">
        <f t="shared" ref="CA144:CA154" si="78">SUM(BU144:BX144)</f>
        <v>3024067.9996800004</v>
      </c>
      <c r="CB144" s="221">
        <f t="shared" ref="CB144:CB207" si="79">BF144*1.25</f>
        <v>37261500</v>
      </c>
      <c r="CC144" s="222">
        <f t="shared" ref="CC144:CC207" si="80">AZ144-CB144-BP144*1.21</f>
        <v>8167697.3600000003</v>
      </c>
      <c r="CD144" s="223">
        <f t="shared" si="64"/>
        <v>16.690570050678438</v>
      </c>
      <c r="CE144" s="258">
        <v>44776</v>
      </c>
      <c r="CF144" s="258"/>
      <c r="CG144" s="23" t="s">
        <v>1887</v>
      </c>
      <c r="CH144" s="23" t="s">
        <v>1680</v>
      </c>
      <c r="CK144" s="187"/>
      <c r="CL144" s="188"/>
    </row>
    <row r="145" spans="1:117" ht="17.25" customHeight="1">
      <c r="A145" s="23">
        <f t="shared" si="62"/>
        <v>142</v>
      </c>
      <c r="B145" s="23" t="s">
        <v>439</v>
      </c>
      <c r="C145" s="190">
        <v>2023042</v>
      </c>
      <c r="D145" s="194" t="s">
        <v>989</v>
      </c>
      <c r="E145" s="227" t="s">
        <v>990</v>
      </c>
      <c r="F145" s="23" t="s">
        <v>1957</v>
      </c>
      <c r="G145" s="23" t="s">
        <v>1682</v>
      </c>
      <c r="H145" s="227" t="s">
        <v>1167</v>
      </c>
      <c r="I145" s="227" t="s">
        <v>1204</v>
      </c>
      <c r="J145" s="194" t="s">
        <v>178</v>
      </c>
      <c r="K145" s="79" t="s">
        <v>1401</v>
      </c>
      <c r="L145" s="23" t="s">
        <v>1958</v>
      </c>
      <c r="N145" s="23" t="s">
        <v>1959</v>
      </c>
      <c r="O145" t="s">
        <v>1960</v>
      </c>
      <c r="P145" s="247" t="s">
        <v>1961</v>
      </c>
      <c r="Q145" s="214">
        <v>45187</v>
      </c>
      <c r="R145" s="214">
        <v>45187</v>
      </c>
      <c r="T145" s="307" t="s">
        <v>1962</v>
      </c>
      <c r="U145" s="241" t="s">
        <v>1963</v>
      </c>
      <c r="V145" s="201" t="s">
        <v>1210</v>
      </c>
      <c r="Z145" s="203">
        <v>673</v>
      </c>
      <c r="AA145" s="203">
        <f t="shared" ca="1" si="61"/>
        <v>974</v>
      </c>
      <c r="AB145" s="308">
        <v>46173</v>
      </c>
      <c r="AC145" s="232" t="s">
        <v>1964</v>
      </c>
      <c r="AD145" s="78" t="s">
        <v>1835</v>
      </c>
      <c r="AE145" s="78" t="s">
        <v>217</v>
      </c>
      <c r="AF145" s="78" t="s">
        <v>191</v>
      </c>
      <c r="AG145" s="78" t="s">
        <v>191</v>
      </c>
      <c r="AH145" s="23" t="s">
        <v>161</v>
      </c>
      <c r="AI145" s="23" t="s">
        <v>365</v>
      </c>
      <c r="AJ145" s="23" t="s">
        <v>990</v>
      </c>
      <c r="AK145" s="23" t="s">
        <v>1000</v>
      </c>
      <c r="AL145" s="78" t="s">
        <v>1001</v>
      </c>
      <c r="AM145" s="269" t="s">
        <v>1965</v>
      </c>
      <c r="AN145" s="78" t="s">
        <v>1966</v>
      </c>
      <c r="AO145" s="78" t="s">
        <v>401</v>
      </c>
      <c r="AP145" s="78" t="s">
        <v>1038</v>
      </c>
      <c r="AQ145" s="201" t="s">
        <v>433</v>
      </c>
      <c r="AS145" s="209" t="s">
        <v>1006</v>
      </c>
      <c r="AT145" s="23" t="s">
        <v>434</v>
      </c>
      <c r="AU145" s="23" t="s">
        <v>435</v>
      </c>
      <c r="AV145" s="210" t="s">
        <v>454</v>
      </c>
      <c r="AW145" s="211">
        <v>4138000</v>
      </c>
      <c r="AX145" s="175">
        <v>4138000</v>
      </c>
      <c r="AY145" s="212">
        <v>12</v>
      </c>
      <c r="AZ145" s="213">
        <f t="shared" si="63"/>
        <v>49656000</v>
      </c>
      <c r="BC145" s="214">
        <v>45839</v>
      </c>
      <c r="BD145" s="215">
        <v>29041080</v>
      </c>
      <c r="BE145" s="215">
        <v>29820000</v>
      </c>
      <c r="BF145" s="215">
        <f t="shared" si="66"/>
        <v>29820000</v>
      </c>
      <c r="BG145" s="215">
        <f t="shared" si="67"/>
        <v>2485000</v>
      </c>
      <c r="BH145" s="215">
        <v>1824700</v>
      </c>
      <c r="BI145" s="216">
        <f t="shared" ref="BI145:BI208" si="81">ROUND((BH145+BO145)/BJ145,2)</f>
        <v>11003.8</v>
      </c>
      <c r="BJ145" s="216">
        <f>IF(AT145="통상",209,VLOOKUP(AD145,'[2]스케줄 분석_20260109'!$B$3:$F$20,5,FALSE))</f>
        <v>184</v>
      </c>
      <c r="BK145" s="216">
        <f>IF(AT145="통상",15,VLOOKUP(AD145,'[2]스케줄 분석_20260109'!$B$3:$P$20,10,FALSE))</f>
        <v>38.020000000000003</v>
      </c>
      <c r="BL145" s="216">
        <f>IF(AT145="통상",0,VLOOKUP(AD145,'[2]스케줄 분석_20260109'!$B$3:$P$20,11,FALSE))</f>
        <v>45.63</v>
      </c>
      <c r="BM145" s="215">
        <f t="shared" si="68"/>
        <v>209200</v>
      </c>
      <c r="BN145" s="175">
        <f t="shared" si="69"/>
        <v>251100</v>
      </c>
      <c r="BO145" s="213">
        <v>200000</v>
      </c>
      <c r="BP145" s="175">
        <f>IF(OR(AT145="스케줄",AT145="스케줄_파라"),ROUNDUP(VLOOKUP(AD145,'[2]스케줄 분석_20260109'!$B$3:$Y$20,23,FALSE)*(VLOOKUP(AD145,'[2]스케줄 분석_20260109'!$B$3:$Y$20,21,FALSE)/VLOOKUP(AD145,'[2]스케줄 분석_20260109'!$B$3:$Y$20,20,FALSE))*VLOOKUP(AD145,'[2]스케줄 분석_20260109'!$B$3:$Y$20,22,FALSE)*VLOOKUP(AD145,'[2]스케줄 분석_20260109'!$B$3:$Y$20,2,FALSE)*1.5*BI145,0),0)</f>
        <v>1993064</v>
      </c>
      <c r="BQ145" s="217" t="str">
        <f t="shared" si="70"/>
        <v>적합</v>
      </c>
      <c r="BR145" s="213"/>
      <c r="BS145" s="218">
        <f t="shared" si="71"/>
        <v>1100380</v>
      </c>
      <c r="BT145" s="219">
        <f t="shared" si="72"/>
        <v>2576698.3333333335</v>
      </c>
      <c r="BU145" s="175">
        <f t="shared" si="73"/>
        <v>1302450</v>
      </c>
      <c r="BV145" s="175">
        <f t="shared" si="74"/>
        <v>1116827.568</v>
      </c>
      <c r="BW145" s="175">
        <f t="shared" si="75"/>
        <v>425010</v>
      </c>
      <c r="BX145" s="175">
        <f t="shared" si="76"/>
        <v>180972</v>
      </c>
      <c r="BY145" s="213">
        <f t="shared" si="65"/>
        <v>3106250</v>
      </c>
      <c r="BZ145" s="220">
        <f t="shared" si="77"/>
        <v>33497078.333333332</v>
      </c>
      <c r="CA145" s="213">
        <f t="shared" si="78"/>
        <v>3025259.568</v>
      </c>
      <c r="CB145" s="221">
        <f t="shared" si="79"/>
        <v>37275000</v>
      </c>
      <c r="CC145" s="222">
        <f t="shared" si="80"/>
        <v>9969392.5600000005</v>
      </c>
      <c r="CD145" s="223">
        <f t="shared" si="64"/>
        <v>20.076914290317387</v>
      </c>
      <c r="CG145" s="23" t="s">
        <v>1679</v>
      </c>
      <c r="CH145" s="23" t="s">
        <v>1918</v>
      </c>
      <c r="CK145" s="187"/>
      <c r="CL145" s="188"/>
    </row>
    <row r="146" spans="1:117" ht="17.25" customHeight="1">
      <c r="A146" s="23">
        <f t="shared" si="62"/>
        <v>143</v>
      </c>
      <c r="B146" s="23" t="s">
        <v>439</v>
      </c>
      <c r="C146" s="190">
        <v>2023044</v>
      </c>
      <c r="D146" s="194" t="s">
        <v>1599</v>
      </c>
      <c r="E146" s="227" t="s">
        <v>1600</v>
      </c>
      <c r="F146" s="227" t="s">
        <v>1967</v>
      </c>
      <c r="G146" s="23" t="s">
        <v>1010</v>
      </c>
      <c r="H146" s="227" t="s">
        <v>992</v>
      </c>
      <c r="I146" s="227" t="s">
        <v>741</v>
      </c>
      <c r="J146" s="194" t="s">
        <v>207</v>
      </c>
      <c r="K146" s="79" t="s">
        <v>1601</v>
      </c>
      <c r="L146" s="227" t="s">
        <v>1968</v>
      </c>
      <c r="M146" s="227"/>
      <c r="N146" s="228" t="s">
        <v>1969</v>
      </c>
      <c r="O146" t="s">
        <v>1970</v>
      </c>
      <c r="P146" s="229" t="s">
        <v>1971</v>
      </c>
      <c r="Q146" s="214">
        <v>41365</v>
      </c>
      <c r="R146" s="214">
        <v>45194</v>
      </c>
      <c r="S146" s="214"/>
      <c r="T146" s="231" t="s">
        <v>1972</v>
      </c>
      <c r="U146" s="200" t="s">
        <v>1973</v>
      </c>
      <c r="V146" s="201" t="s">
        <v>316</v>
      </c>
      <c r="W146" s="200" t="s">
        <v>425</v>
      </c>
      <c r="X146" s="200"/>
      <c r="Y146" s="200"/>
      <c r="Z146" s="203">
        <f ca="1">IF(Q146&lt;&gt;"",$A$1-Q146,"")</f>
        <v>4796</v>
      </c>
      <c r="AA146" s="203">
        <f t="shared" ca="1" si="61"/>
        <v>967</v>
      </c>
      <c r="AB146" s="232"/>
      <c r="AC146" s="232"/>
      <c r="AD146" s="78" t="s">
        <v>610</v>
      </c>
      <c r="AE146" s="78" t="s">
        <v>217</v>
      </c>
      <c r="AF146" s="78" t="s">
        <v>218</v>
      </c>
      <c r="AG146" s="78" t="s">
        <v>218</v>
      </c>
      <c r="AH146" s="23" t="s">
        <v>161</v>
      </c>
      <c r="AI146" s="23" t="s">
        <v>162</v>
      </c>
      <c r="AJ146" s="23" t="s">
        <v>1600</v>
      </c>
      <c r="AK146" s="23">
        <v>13558</v>
      </c>
      <c r="AL146" s="78" t="s">
        <v>1606</v>
      </c>
      <c r="AM146" s="206" t="s">
        <v>1974</v>
      </c>
      <c r="AN146" s="207" t="s">
        <v>1975</v>
      </c>
      <c r="AO146" s="78" t="s">
        <v>613</v>
      </c>
      <c r="AP146" s="201" t="s">
        <v>1609</v>
      </c>
      <c r="AQ146" s="201" t="s">
        <v>1610</v>
      </c>
      <c r="AR146" s="201" t="s">
        <v>1611</v>
      </c>
      <c r="AS146" s="209" t="s">
        <v>616</v>
      </c>
      <c r="AT146" s="23" t="s">
        <v>201</v>
      </c>
      <c r="AU146" s="23" t="s">
        <v>435</v>
      </c>
      <c r="AV146" s="210" t="s">
        <v>454</v>
      </c>
      <c r="AW146" s="211">
        <v>4882000</v>
      </c>
      <c r="AX146" s="175">
        <v>4882000</v>
      </c>
      <c r="AY146" s="212">
        <v>12</v>
      </c>
      <c r="AZ146" s="213">
        <f t="shared" si="63"/>
        <v>58584000</v>
      </c>
      <c r="BC146" s="230">
        <v>46023</v>
      </c>
      <c r="BD146" s="215">
        <v>35604000</v>
      </c>
      <c r="BE146" s="215">
        <v>37044000</v>
      </c>
      <c r="BF146" s="261">
        <f t="shared" si="66"/>
        <v>38044800</v>
      </c>
      <c r="BG146" s="215">
        <f t="shared" si="67"/>
        <v>3170400</v>
      </c>
      <c r="BH146" s="215">
        <v>2662200</v>
      </c>
      <c r="BI146" s="216">
        <f t="shared" si="81"/>
        <v>13694.74</v>
      </c>
      <c r="BJ146" s="216">
        <f>IF(AT146="통상",209,VLOOKUP(AD146,'[2]스케줄 분석_20260109'!$B$3:$F$20,5,FALSE))</f>
        <v>209</v>
      </c>
      <c r="BK146" s="216">
        <f>IF(AT146="통상",15,VLOOKUP(AD146,'[2]스케줄 분석_20260109'!$B$3:$P$20,10,FALSE))</f>
        <v>15</v>
      </c>
      <c r="BL146" s="216">
        <f>IF(AT146="통상",0,VLOOKUP(AD146,'[2]스케줄 분석_20260109'!$B$3:$P$20,11,FALSE))</f>
        <v>0</v>
      </c>
      <c r="BM146" s="215">
        <f t="shared" si="68"/>
        <v>308200</v>
      </c>
      <c r="BN146" s="175">
        <f t="shared" si="69"/>
        <v>0</v>
      </c>
      <c r="BO146" s="213">
        <v>200000</v>
      </c>
      <c r="BP146" s="175">
        <f>IF(OR(AT146="스케줄",AT146="스케줄_파라"),ROUNDUP(VLOOKUP(AD146,'[2]스케줄 분석_20260109'!$B$3:$Y$20,23,FALSE)*(VLOOKUP(AD146,'[2]스케줄 분석_20260109'!$B$3:$Y$20,21,FALSE)/VLOOKUP(AD146,'[2]스케줄 분석_20260109'!$B$3:$Y$20,20,FALSE))*VLOOKUP(AD146,'[2]스케줄 분석_20260109'!$B$3:$Y$20,22,FALSE)*VLOOKUP(AD146,'[2]스케줄 분석_20260109'!$B$3:$Y$20,2,FALSE)*1.5*BI146,0),0)</f>
        <v>0</v>
      </c>
      <c r="BQ146" s="217" t="str">
        <f t="shared" si="70"/>
        <v>적합</v>
      </c>
      <c r="BR146" s="213"/>
      <c r="BS146" s="218">
        <f t="shared" si="71"/>
        <v>547789.6</v>
      </c>
      <c r="BT146" s="219">
        <f t="shared" si="72"/>
        <v>3216049.1333333333</v>
      </c>
      <c r="BU146" s="175">
        <f t="shared" si="73"/>
        <v>1693128</v>
      </c>
      <c r="BV146" s="175">
        <f t="shared" si="74"/>
        <v>1451826.9619199997</v>
      </c>
      <c r="BW146" s="175">
        <f t="shared" si="75"/>
        <v>552494.4</v>
      </c>
      <c r="BX146" s="175">
        <f t="shared" si="76"/>
        <v>235255.67999999999</v>
      </c>
      <c r="BY146" s="213">
        <f t="shared" si="65"/>
        <v>3963000</v>
      </c>
      <c r="BZ146" s="220">
        <f t="shared" si="77"/>
        <v>41808638.733333334</v>
      </c>
      <c r="CA146" s="213">
        <f t="shared" si="78"/>
        <v>3932705.0419199998</v>
      </c>
      <c r="CB146" s="221">
        <f t="shared" si="79"/>
        <v>47556000</v>
      </c>
      <c r="CC146" s="222">
        <f t="shared" si="80"/>
        <v>11028000</v>
      </c>
      <c r="CD146" s="223">
        <f t="shared" si="64"/>
        <v>18.82425235559197</v>
      </c>
      <c r="CE146" s="309">
        <v>44737</v>
      </c>
      <c r="CF146" s="309"/>
      <c r="CG146" s="23" t="s">
        <v>1679</v>
      </c>
      <c r="CH146" s="23" t="s">
        <v>1680</v>
      </c>
      <c r="CK146" s="187"/>
      <c r="CL146" s="188"/>
    </row>
    <row r="147" spans="1:117" ht="17.25" customHeight="1">
      <c r="A147" s="23">
        <f t="shared" si="62"/>
        <v>144</v>
      </c>
      <c r="B147" s="23" t="s">
        <v>439</v>
      </c>
      <c r="C147" s="190">
        <v>2023047</v>
      </c>
      <c r="D147" s="194" t="s">
        <v>1976</v>
      </c>
      <c r="E147" s="227" t="s">
        <v>1977</v>
      </c>
      <c r="F147" s="227" t="s">
        <v>1978</v>
      </c>
      <c r="G147" s="23" t="s">
        <v>1853</v>
      </c>
      <c r="H147" s="227" t="s">
        <v>826</v>
      </c>
      <c r="I147" s="227" t="s">
        <v>741</v>
      </c>
      <c r="J147" s="194" t="s">
        <v>178</v>
      </c>
      <c r="K147" s="79" t="s">
        <v>179</v>
      </c>
      <c r="L147" s="227" t="s">
        <v>1384</v>
      </c>
      <c r="M147" s="227"/>
      <c r="N147" s="228" t="s">
        <v>1979</v>
      </c>
      <c r="O147" t="s">
        <v>1980</v>
      </c>
      <c r="P147" s="229" t="s">
        <v>1981</v>
      </c>
      <c r="Q147" s="214">
        <v>44317</v>
      </c>
      <c r="R147" s="214">
        <v>45217</v>
      </c>
      <c r="S147" s="214"/>
      <c r="T147" s="231" t="s">
        <v>1982</v>
      </c>
      <c r="U147" s="231" t="s">
        <v>1983</v>
      </c>
      <c r="V147" s="201" t="s">
        <v>1791</v>
      </c>
      <c r="W147" s="201" t="s">
        <v>425</v>
      </c>
      <c r="Z147" s="203">
        <f ca="1">IF(Q147&lt;&gt;"",$A$1-Q147,"")</f>
        <v>1844</v>
      </c>
      <c r="AA147" s="203">
        <f t="shared" ca="1" si="61"/>
        <v>944</v>
      </c>
      <c r="AB147" s="232"/>
      <c r="AC147" s="232"/>
      <c r="AD147" s="78" t="s">
        <v>381</v>
      </c>
      <c r="AE147" s="78" t="s">
        <v>217</v>
      </c>
      <c r="AF147" s="78" t="s">
        <v>191</v>
      </c>
      <c r="AG147" s="78" t="s">
        <v>191</v>
      </c>
      <c r="AH147" s="23" t="s">
        <v>161</v>
      </c>
      <c r="AI147" s="23" t="s">
        <v>365</v>
      </c>
      <c r="AJ147" s="23" t="s">
        <v>353</v>
      </c>
      <c r="AK147" s="23" t="s">
        <v>1000</v>
      </c>
      <c r="AL147" s="78" t="s">
        <v>1001</v>
      </c>
      <c r="AM147" s="269" t="s">
        <v>1984</v>
      </c>
      <c r="AN147" s="79" t="s">
        <v>1985</v>
      </c>
      <c r="AO147" s="78" t="s">
        <v>401</v>
      </c>
      <c r="AP147" s="78" t="s">
        <v>1986</v>
      </c>
      <c r="AQ147" s="201" t="s">
        <v>1987</v>
      </c>
      <c r="AR147" s="201" t="s">
        <v>1988</v>
      </c>
      <c r="AS147" s="209" t="s">
        <v>1382</v>
      </c>
      <c r="AT147" s="23" t="s">
        <v>201</v>
      </c>
      <c r="AU147" s="23" t="s">
        <v>435</v>
      </c>
      <c r="AV147" s="210" t="s">
        <v>454</v>
      </c>
      <c r="AW147" s="211">
        <v>5100000</v>
      </c>
      <c r="AX147" s="175">
        <v>5100000</v>
      </c>
      <c r="AY147" s="212">
        <v>12</v>
      </c>
      <c r="AZ147" s="213">
        <f t="shared" si="63"/>
        <v>61200000</v>
      </c>
      <c r="BC147" s="214">
        <v>45839</v>
      </c>
      <c r="BD147" s="215">
        <v>31200000</v>
      </c>
      <c r="BE147" s="215">
        <v>33600000</v>
      </c>
      <c r="BF147" s="215">
        <f t="shared" si="66"/>
        <v>33600000</v>
      </c>
      <c r="BG147" s="215">
        <f t="shared" si="67"/>
        <v>2800000</v>
      </c>
      <c r="BH147" s="215">
        <v>2327800</v>
      </c>
      <c r="BI147" s="216">
        <f t="shared" si="81"/>
        <v>12094.74</v>
      </c>
      <c r="BJ147" s="216">
        <f>IF(AT147="통상",209,VLOOKUP(AD147,'[2]스케줄 분석_20260109'!$B$3:$F$20,5,FALSE))</f>
        <v>209</v>
      </c>
      <c r="BK147" s="216">
        <f>IF(AT147="통상",15,VLOOKUP(AD147,'[2]스케줄 분석_20260109'!$B$3:$P$20,10,FALSE))</f>
        <v>15</v>
      </c>
      <c r="BL147" s="216">
        <f>IF(AT147="통상",0,VLOOKUP(AD147,'[2]스케줄 분석_20260109'!$B$3:$P$20,11,FALSE))</f>
        <v>0</v>
      </c>
      <c r="BM147" s="215">
        <f t="shared" si="68"/>
        <v>272200</v>
      </c>
      <c r="BN147" s="175">
        <f t="shared" si="69"/>
        <v>0</v>
      </c>
      <c r="BO147" s="213">
        <v>200000</v>
      </c>
      <c r="BP147" s="175">
        <f>IF(OR(AT147="스케줄",AT147="스케줄_파라"),ROUNDUP(VLOOKUP(AD147,'[2]스케줄 분석_20260109'!$B$3:$Y$20,23,FALSE)*(VLOOKUP(AD147,'[2]스케줄 분석_20260109'!$B$3:$Y$20,21,FALSE)/VLOOKUP(AD147,'[2]스케줄 분석_20260109'!$B$3:$Y$20,20,FALSE))*VLOOKUP(AD147,'[2]스케줄 분석_20260109'!$B$3:$Y$20,22,FALSE)*VLOOKUP(AD147,'[2]스케줄 분석_20260109'!$B$3:$Y$20,2,FALSE)*1.5*BI147,0),0)</f>
        <v>0</v>
      </c>
      <c r="BQ147" s="217" t="str">
        <f t="shared" si="70"/>
        <v>적합</v>
      </c>
      <c r="BR147" s="213"/>
      <c r="BS147" s="218">
        <f t="shared" si="71"/>
        <v>483789.6</v>
      </c>
      <c r="BT147" s="219">
        <f t="shared" si="72"/>
        <v>2840315.8</v>
      </c>
      <c r="BU147" s="175">
        <f t="shared" si="73"/>
        <v>1482000</v>
      </c>
      <c r="BV147" s="175">
        <f t="shared" si="74"/>
        <v>1270788.48</v>
      </c>
      <c r="BW147" s="175">
        <f t="shared" si="75"/>
        <v>483600</v>
      </c>
      <c r="BX147" s="175">
        <f t="shared" si="76"/>
        <v>205920</v>
      </c>
      <c r="BY147" s="213">
        <f t="shared" si="65"/>
        <v>3500000</v>
      </c>
      <c r="BZ147" s="220">
        <f t="shared" si="77"/>
        <v>36924105.399999999</v>
      </c>
      <c r="CA147" s="213">
        <f t="shared" si="78"/>
        <v>3442308.48</v>
      </c>
      <c r="CB147" s="221">
        <f t="shared" si="79"/>
        <v>42000000</v>
      </c>
      <c r="CC147" s="222">
        <f t="shared" si="80"/>
        <v>19200000</v>
      </c>
      <c r="CD147" s="223">
        <f t="shared" si="64"/>
        <v>31.372549019607842</v>
      </c>
      <c r="CE147" s="281"/>
      <c r="CF147" s="281"/>
      <c r="CG147" s="23" t="s">
        <v>1679</v>
      </c>
      <c r="CH147" s="23" t="s">
        <v>1810</v>
      </c>
      <c r="CK147" s="187"/>
      <c r="CL147" s="188"/>
      <c r="DL147" s="79"/>
      <c r="DM147" s="79"/>
    </row>
    <row r="148" spans="1:117" ht="17.25" customHeight="1">
      <c r="A148" s="23">
        <f t="shared" si="62"/>
        <v>145</v>
      </c>
      <c r="B148" s="23" t="s">
        <v>439</v>
      </c>
      <c r="C148" s="190">
        <v>2023052</v>
      </c>
      <c r="D148" s="194" t="s">
        <v>989</v>
      </c>
      <c r="E148" s="227" t="s">
        <v>990</v>
      </c>
      <c r="F148" s="227" t="s">
        <v>1989</v>
      </c>
      <c r="G148" s="23" t="s">
        <v>412</v>
      </c>
      <c r="H148" s="227" t="s">
        <v>992</v>
      </c>
      <c r="I148" s="227" t="s">
        <v>741</v>
      </c>
      <c r="J148" s="194" t="s">
        <v>178</v>
      </c>
      <c r="K148" s="79" t="s">
        <v>1990</v>
      </c>
      <c r="L148" s="227" t="s">
        <v>1991</v>
      </c>
      <c r="M148" s="227"/>
      <c r="N148" s="228" t="s">
        <v>1992</v>
      </c>
      <c r="O148" t="s">
        <v>1993</v>
      </c>
      <c r="P148" s="229" t="s">
        <v>1994</v>
      </c>
      <c r="Q148" s="214">
        <v>45261</v>
      </c>
      <c r="R148" s="214">
        <v>45261</v>
      </c>
      <c r="S148" s="214"/>
      <c r="T148" s="231" t="s">
        <v>1995</v>
      </c>
      <c r="U148" s="231" t="s">
        <v>1996</v>
      </c>
      <c r="V148" s="201" t="s">
        <v>334</v>
      </c>
      <c r="Z148" s="203">
        <f ca="1">IF(Q148&lt;&gt;"",$A$1-Q148,"")</f>
        <v>900</v>
      </c>
      <c r="AA148" s="203">
        <f t="shared" ca="1" si="61"/>
        <v>900</v>
      </c>
      <c r="AB148" s="232"/>
      <c r="AC148" s="232"/>
      <c r="AD148" s="78" t="s">
        <v>999</v>
      </c>
      <c r="AE148" s="78" t="s">
        <v>217</v>
      </c>
      <c r="AF148" s="78" t="s">
        <v>191</v>
      </c>
      <c r="AG148" s="78" t="s">
        <v>191</v>
      </c>
      <c r="AH148" s="23" t="s">
        <v>161</v>
      </c>
      <c r="AI148" s="23" t="s">
        <v>365</v>
      </c>
      <c r="AJ148" s="23" t="s">
        <v>990</v>
      </c>
      <c r="AK148" s="23" t="s">
        <v>1000</v>
      </c>
      <c r="AL148" s="78" t="s">
        <v>1001</v>
      </c>
      <c r="AM148" s="269" t="s">
        <v>1997</v>
      </c>
      <c r="AN148" s="79" t="s">
        <v>1998</v>
      </c>
      <c r="AO148" s="78" t="s">
        <v>401</v>
      </c>
      <c r="AP148" s="201" t="s">
        <v>1004</v>
      </c>
      <c r="AQ148" s="201" t="s">
        <v>1005</v>
      </c>
      <c r="AS148" s="209" t="s">
        <v>1006</v>
      </c>
      <c r="AT148" s="23" t="s">
        <v>434</v>
      </c>
      <c r="AU148" s="23" t="s">
        <v>435</v>
      </c>
      <c r="AV148" s="210" t="s">
        <v>454</v>
      </c>
      <c r="AW148" s="211">
        <v>5151000</v>
      </c>
      <c r="AX148" s="175">
        <v>5151000</v>
      </c>
      <c r="AY148" s="212">
        <v>12</v>
      </c>
      <c r="AZ148" s="213">
        <f t="shared" si="63"/>
        <v>61812000</v>
      </c>
      <c r="BC148" s="214">
        <v>45839</v>
      </c>
      <c r="BD148" s="215">
        <v>29042280</v>
      </c>
      <c r="BE148" s="215">
        <v>31922400</v>
      </c>
      <c r="BF148" s="215">
        <f t="shared" si="66"/>
        <v>31922400</v>
      </c>
      <c r="BG148" s="215">
        <f t="shared" si="67"/>
        <v>2660200</v>
      </c>
      <c r="BH148" s="215">
        <v>1887200</v>
      </c>
      <c r="BI148" s="216">
        <f t="shared" si="81"/>
        <v>13352.1</v>
      </c>
      <c r="BJ148" s="216">
        <f>IF(AT148="통상",209,VLOOKUP(AD148,'[2]스케줄 분석_20260109'!$B$3:$F$20,5,FALSE))</f>
        <v>156.32000000000002</v>
      </c>
      <c r="BK148" s="216">
        <f>IF(AT148="통상",15,VLOOKUP(AD148,'[2]스케줄 분석_20260109'!$B$3:$P$20,10,FALSE))</f>
        <v>36.39</v>
      </c>
      <c r="BL148" s="216">
        <f>IF(AT148="통상",0,VLOOKUP(AD148,'[2]스케줄 분석_20260109'!$B$3:$P$20,11,FALSE))</f>
        <v>49.43</v>
      </c>
      <c r="BM148" s="215">
        <f t="shared" si="68"/>
        <v>243000</v>
      </c>
      <c r="BN148" s="175">
        <f t="shared" si="69"/>
        <v>330000</v>
      </c>
      <c r="BO148" s="213">
        <v>200000</v>
      </c>
      <c r="BP148" s="175">
        <f>IF(OR(AT148="스케줄",AT148="스케줄_파라"),ROUNDUP(VLOOKUP(AD148,'[2]스케줄 분석_20260109'!$B$3:$Y$20,23,FALSE)*(VLOOKUP(AD148,'[2]스케줄 분석_20260109'!$B$3:$Y$20,21,FALSE)/VLOOKUP(AD148,'[2]스케줄 분석_20260109'!$B$3:$Y$20,20,FALSE))*VLOOKUP(AD148,'[2]스케줄 분석_20260109'!$B$3:$Y$20,22,FALSE)*VLOOKUP(AD148,'[2]스케줄 분석_20260109'!$B$3:$Y$20,2,FALSE)*1.5*BI148,0),0)</f>
        <v>2513533</v>
      </c>
      <c r="BQ148" s="217" t="str">
        <f t="shared" si="70"/>
        <v>적합</v>
      </c>
      <c r="BR148" s="213"/>
      <c r="BS148" s="218">
        <f t="shared" si="71"/>
        <v>1335210</v>
      </c>
      <c r="BT148" s="219">
        <f t="shared" si="72"/>
        <v>2771467.5</v>
      </c>
      <c r="BU148" s="175">
        <f t="shared" si="73"/>
        <v>1402314</v>
      </c>
      <c r="BV148" s="175">
        <f t="shared" si="74"/>
        <v>1202459.16096</v>
      </c>
      <c r="BW148" s="175">
        <f t="shared" si="75"/>
        <v>457597.2</v>
      </c>
      <c r="BX148" s="175">
        <f t="shared" si="76"/>
        <v>194847.84</v>
      </c>
      <c r="BY148" s="213">
        <f t="shared" si="65"/>
        <v>3325250</v>
      </c>
      <c r="BZ148" s="220">
        <f t="shared" si="77"/>
        <v>36029077.5</v>
      </c>
      <c r="CA148" s="213">
        <f t="shared" si="78"/>
        <v>3257218.20096</v>
      </c>
      <c r="CB148" s="221">
        <f t="shared" si="79"/>
        <v>39903000</v>
      </c>
      <c r="CC148" s="222">
        <f t="shared" si="80"/>
        <v>18867625.07</v>
      </c>
      <c r="CD148" s="223">
        <f t="shared" si="64"/>
        <v>30.524210622532845</v>
      </c>
      <c r="CE148" s="281"/>
      <c r="CF148" s="281"/>
      <c r="CG148" s="23" t="s">
        <v>1679</v>
      </c>
      <c r="CH148" s="23" t="s">
        <v>1810</v>
      </c>
      <c r="CK148" s="187"/>
      <c r="CL148" s="188"/>
    </row>
    <row r="149" spans="1:117" ht="17.25" customHeight="1">
      <c r="A149" s="23">
        <f t="shared" si="62"/>
        <v>146</v>
      </c>
      <c r="B149" s="23" t="s">
        <v>439</v>
      </c>
      <c r="C149" s="190">
        <v>2024002</v>
      </c>
      <c r="D149" s="194" t="s">
        <v>655</v>
      </c>
      <c r="E149" s="227" t="s">
        <v>656</v>
      </c>
      <c r="F149" s="227" t="s">
        <v>1999</v>
      </c>
      <c r="G149" s="23" t="s">
        <v>412</v>
      </c>
      <c r="H149" s="227" t="s">
        <v>992</v>
      </c>
      <c r="I149" s="227" t="s">
        <v>741</v>
      </c>
      <c r="J149" s="194" t="s">
        <v>207</v>
      </c>
      <c r="K149" s="79" t="s">
        <v>841</v>
      </c>
      <c r="L149" s="227" t="s">
        <v>2000</v>
      </c>
      <c r="M149" s="227"/>
      <c r="N149" s="228" t="s">
        <v>2001</v>
      </c>
      <c r="O149" t="s">
        <v>2002</v>
      </c>
      <c r="P149" s="229" t="s">
        <v>2003</v>
      </c>
      <c r="Q149" s="214">
        <v>45292</v>
      </c>
      <c r="R149" s="214">
        <v>45292</v>
      </c>
      <c r="S149" s="214"/>
      <c r="T149" s="231" t="s">
        <v>2004</v>
      </c>
      <c r="U149" s="231" t="s">
        <v>2005</v>
      </c>
      <c r="V149" s="201" t="s">
        <v>278</v>
      </c>
      <c r="W149" s="231" t="s">
        <v>2006</v>
      </c>
      <c r="X149" s="200"/>
      <c r="Y149" s="200"/>
      <c r="Z149" s="203">
        <f t="shared" ref="Z149:Z157" ca="1" si="82">IF(Q149&lt;&gt;"",$A$1-Q149,"")</f>
        <v>869</v>
      </c>
      <c r="AA149" s="203">
        <f t="shared" ca="1" si="61"/>
        <v>869</v>
      </c>
      <c r="AB149" s="230"/>
      <c r="AC149" s="230"/>
      <c r="AD149" s="78" t="s">
        <v>675</v>
      </c>
      <c r="AE149" s="78" t="s">
        <v>217</v>
      </c>
      <c r="AF149" s="78" t="s">
        <v>160</v>
      </c>
      <c r="AG149" s="78" t="s">
        <v>160</v>
      </c>
      <c r="AH149" s="23" t="s">
        <v>161</v>
      </c>
      <c r="AI149" s="23" t="s">
        <v>162</v>
      </c>
      <c r="AJ149" s="23" t="s">
        <v>483</v>
      </c>
      <c r="AK149" s="23">
        <v>13486</v>
      </c>
      <c r="AL149" s="78" t="s">
        <v>163</v>
      </c>
      <c r="AM149" s="206" t="s">
        <v>2007</v>
      </c>
      <c r="AN149" s="207" t="s">
        <v>2008</v>
      </c>
      <c r="AO149" s="78" t="s">
        <v>166</v>
      </c>
      <c r="AP149" s="78" t="s">
        <v>1143</v>
      </c>
      <c r="AQ149" s="201" t="s">
        <v>1144</v>
      </c>
      <c r="AS149" s="209" t="s">
        <v>488</v>
      </c>
      <c r="AT149" s="23" t="s">
        <v>434</v>
      </c>
      <c r="AU149" s="23" t="s">
        <v>435</v>
      </c>
      <c r="AV149" s="210" t="s">
        <v>454</v>
      </c>
      <c r="AW149" s="211">
        <v>4413000</v>
      </c>
      <c r="AX149" s="175">
        <v>4413000</v>
      </c>
      <c r="AY149" s="212">
        <v>12</v>
      </c>
      <c r="AZ149" s="213">
        <f t="shared" si="63"/>
        <v>52956000</v>
      </c>
      <c r="BA149" s="213"/>
      <c r="BB149" s="213"/>
      <c r="BC149" s="214">
        <v>45839</v>
      </c>
      <c r="BD149" s="215">
        <v>29040720</v>
      </c>
      <c r="BE149" s="215">
        <v>29869200</v>
      </c>
      <c r="BF149" s="215">
        <f t="shared" si="66"/>
        <v>29869200</v>
      </c>
      <c r="BG149" s="215">
        <f t="shared" si="67"/>
        <v>2489100</v>
      </c>
      <c r="BH149" s="215">
        <v>1947500</v>
      </c>
      <c r="BI149" s="216">
        <f t="shared" si="81"/>
        <v>11228.17</v>
      </c>
      <c r="BJ149" s="216">
        <f>IF(AT149="통상",209,VLOOKUP(AD149,'[2]스케줄 분석_20260109'!$B$3:$F$20,5,FALSE))</f>
        <v>191.26</v>
      </c>
      <c r="BK149" s="216">
        <f>IF(AT149="통상",15,VLOOKUP(AD149,'[2]스케줄 분석_20260109'!$B$3:$P$20,10,FALSE))</f>
        <v>27.88</v>
      </c>
      <c r="BL149" s="216">
        <f>IF(AT149="통상",0,VLOOKUP(AD149,'[2]스케줄 분석_20260109'!$B$3:$P$20,11,FALSE))</f>
        <v>32.950000000000003</v>
      </c>
      <c r="BM149" s="215">
        <f t="shared" si="68"/>
        <v>156600</v>
      </c>
      <c r="BN149" s="175">
        <f t="shared" si="69"/>
        <v>185000</v>
      </c>
      <c r="BO149" s="213">
        <v>200000</v>
      </c>
      <c r="BP149" s="175">
        <f>IF(OR(AT149="스케줄",AT149="스케줄_파라"),ROUNDUP(VLOOKUP(AD149,'[2]스케줄 분석_20260109'!$B$3:$Y$20,23,FALSE)*(VLOOKUP(AD149,'[2]스케줄 분석_20260109'!$B$3:$Y$20,21,FALSE)/VLOOKUP(AD149,'[2]스케줄 분석_20260109'!$B$3:$Y$20,20,FALSE))*VLOOKUP(AD149,'[2]스케줄 분석_20260109'!$B$3:$Y$20,22,FALSE)*VLOOKUP(AD149,'[2]스케줄 분석_20260109'!$B$3:$Y$20,2,FALSE)*1.5*BI149,0),0)</f>
        <v>645953</v>
      </c>
      <c r="BQ149" s="217" t="str">
        <f t="shared" si="70"/>
        <v>적합</v>
      </c>
      <c r="BR149" s="253">
        <v>250000</v>
      </c>
      <c r="BS149" s="218">
        <f t="shared" si="71"/>
        <v>1122817</v>
      </c>
      <c r="BT149" s="219">
        <f t="shared" si="72"/>
        <v>2582668.0833333335</v>
      </c>
      <c r="BU149" s="175">
        <f t="shared" si="73"/>
        <v>1304787</v>
      </c>
      <c r="BV149" s="175">
        <f t="shared" si="74"/>
        <v>1118831.5036799998</v>
      </c>
      <c r="BW149" s="175">
        <f t="shared" si="75"/>
        <v>425772.6</v>
      </c>
      <c r="BX149" s="175">
        <f t="shared" si="76"/>
        <v>181296.72</v>
      </c>
      <c r="BY149" s="213">
        <f t="shared" si="65"/>
        <v>3111375</v>
      </c>
      <c r="BZ149" s="220">
        <f t="shared" si="77"/>
        <v>33574685.083333336</v>
      </c>
      <c r="CA149" s="213">
        <f t="shared" si="78"/>
        <v>3030687.8236800004</v>
      </c>
      <c r="CB149" s="221">
        <f t="shared" si="79"/>
        <v>37336500</v>
      </c>
      <c r="CC149" s="222">
        <f t="shared" si="80"/>
        <v>14837896.869999999</v>
      </c>
      <c r="CD149" s="223">
        <f t="shared" si="64"/>
        <v>28.01929313014578</v>
      </c>
      <c r="CE149" s="283"/>
      <c r="CF149" s="283"/>
      <c r="CG149" s="23" t="s">
        <v>1887</v>
      </c>
      <c r="CH149" s="23" t="s">
        <v>1810</v>
      </c>
      <c r="CJ149" s="111"/>
      <c r="CK149" s="187"/>
      <c r="CL149" s="188"/>
      <c r="CM149" s="111"/>
      <c r="CN149" s="111"/>
      <c r="CO149" s="111"/>
      <c r="CP149" s="111"/>
      <c r="CQ149" s="111"/>
      <c r="CR149" s="111"/>
      <c r="CS149" s="111"/>
      <c r="CT149" s="111"/>
      <c r="CU149" s="111"/>
      <c r="CV149" s="111"/>
      <c r="CW149" s="111"/>
      <c r="CX149" s="111"/>
      <c r="CY149" s="111"/>
      <c r="CZ149" s="111"/>
      <c r="DA149" s="111"/>
      <c r="DB149" s="111"/>
      <c r="DC149" s="111"/>
      <c r="DD149" s="111"/>
      <c r="DE149" s="111"/>
      <c r="DF149" s="111"/>
      <c r="DG149" s="111"/>
      <c r="DH149" s="111"/>
      <c r="DI149" s="111"/>
      <c r="DJ149" s="111"/>
      <c r="DK149" s="111"/>
    </row>
    <row r="150" spans="1:117" s="79" customFormat="1" ht="17.25" customHeight="1">
      <c r="A150" s="23">
        <f t="shared" si="62"/>
        <v>147</v>
      </c>
      <c r="B150" s="23" t="s">
        <v>439</v>
      </c>
      <c r="C150" s="190">
        <v>2024004</v>
      </c>
      <c r="D150" s="194" t="s">
        <v>1007</v>
      </c>
      <c r="E150" s="227" t="s">
        <v>1008</v>
      </c>
      <c r="F150" s="227" t="s">
        <v>2009</v>
      </c>
      <c r="G150" s="23" t="s">
        <v>412</v>
      </c>
      <c r="H150" s="227" t="s">
        <v>1167</v>
      </c>
      <c r="I150" s="227" t="s">
        <v>741</v>
      </c>
      <c r="J150" s="194" t="s">
        <v>178</v>
      </c>
      <c r="K150" s="79" t="s">
        <v>1401</v>
      </c>
      <c r="L150" s="227" t="s">
        <v>2010</v>
      </c>
      <c r="M150" s="227"/>
      <c r="N150" s="277" t="s">
        <v>2011</v>
      </c>
      <c r="O150" t="s">
        <v>2012</v>
      </c>
      <c r="P150" s="229" t="s">
        <v>2013</v>
      </c>
      <c r="Q150" s="214">
        <v>45306</v>
      </c>
      <c r="R150" s="214">
        <v>45306</v>
      </c>
      <c r="S150" s="214"/>
      <c r="T150" s="231" t="s">
        <v>2014</v>
      </c>
      <c r="U150" s="231" t="s">
        <v>2015</v>
      </c>
      <c r="V150" s="201" t="s">
        <v>334</v>
      </c>
      <c r="W150" s="201" t="s">
        <v>1408</v>
      </c>
      <c r="X150" s="201"/>
      <c r="Y150" s="201"/>
      <c r="Z150" s="203">
        <f t="shared" ca="1" si="82"/>
        <v>855</v>
      </c>
      <c r="AA150" s="203">
        <f t="shared" ca="1" si="61"/>
        <v>855</v>
      </c>
      <c r="AB150" s="232"/>
      <c r="AC150" s="232"/>
      <c r="AD150" s="78" t="s">
        <v>1470</v>
      </c>
      <c r="AE150" s="78" t="s">
        <v>833</v>
      </c>
      <c r="AF150" s="78" t="s">
        <v>191</v>
      </c>
      <c r="AG150" s="78" t="s">
        <v>191</v>
      </c>
      <c r="AH150" s="23" t="s">
        <v>161</v>
      </c>
      <c r="AI150" s="23" t="s">
        <v>1021</v>
      </c>
      <c r="AJ150" s="23" t="s">
        <v>1008</v>
      </c>
      <c r="AK150" s="23" t="s">
        <v>1022</v>
      </c>
      <c r="AL150" s="78" t="s">
        <v>1023</v>
      </c>
      <c r="AM150" s="227">
        <v>34308</v>
      </c>
      <c r="AN150" s="79" t="s">
        <v>2016</v>
      </c>
      <c r="AO150" s="78" t="s">
        <v>401</v>
      </c>
      <c r="AP150" s="78" t="s">
        <v>1025</v>
      </c>
      <c r="AQ150" s="201" t="s">
        <v>433</v>
      </c>
      <c r="AR150" s="201"/>
      <c r="AS150" s="209" t="s">
        <v>1006</v>
      </c>
      <c r="AT150" s="23" t="s">
        <v>434</v>
      </c>
      <c r="AU150" s="23" t="s">
        <v>435</v>
      </c>
      <c r="AV150" s="210" t="s">
        <v>454</v>
      </c>
      <c r="AW150" s="211">
        <v>4179000</v>
      </c>
      <c r="AX150" s="175">
        <v>4179000</v>
      </c>
      <c r="AY150" s="212">
        <v>12</v>
      </c>
      <c r="AZ150" s="213">
        <f t="shared" si="63"/>
        <v>50148000</v>
      </c>
      <c r="BA150" s="78"/>
      <c r="BB150" s="78"/>
      <c r="BC150" s="214">
        <v>45839</v>
      </c>
      <c r="BD150" s="215">
        <v>29040600</v>
      </c>
      <c r="BE150" s="215">
        <v>29809200</v>
      </c>
      <c r="BF150" s="215">
        <f t="shared" si="66"/>
        <v>29809200</v>
      </c>
      <c r="BG150" s="215">
        <f t="shared" si="67"/>
        <v>2484100</v>
      </c>
      <c r="BH150" s="215">
        <v>1976700</v>
      </c>
      <c r="BI150" s="216">
        <f t="shared" si="81"/>
        <v>11094.86</v>
      </c>
      <c r="BJ150" s="216">
        <f>IF(AT150="통상",209,VLOOKUP(AD150,'[2]스케줄 분석_20260109'!$B$3:$F$20,5,FALSE))</f>
        <v>196.19</v>
      </c>
      <c r="BK150" s="216">
        <f>IF(AT150="통상",15,VLOOKUP(AD150,'[2]스케줄 분석_20260109'!$B$3:$P$20,10,FALSE))</f>
        <v>2.17</v>
      </c>
      <c r="BL150" s="216">
        <f>IF(AT150="통상",0,VLOOKUP(AD150,'[2]스케줄 분석_20260109'!$B$3:$P$20,11,FALSE))</f>
        <v>53.23</v>
      </c>
      <c r="BM150" s="215">
        <f t="shared" si="68"/>
        <v>12100</v>
      </c>
      <c r="BN150" s="175">
        <f t="shared" si="69"/>
        <v>295300</v>
      </c>
      <c r="BO150" s="213">
        <v>200000</v>
      </c>
      <c r="BP150" s="175">
        <f>IF(OR(AT150="스케줄",AT150="스케줄_파라"),ROUNDUP(VLOOKUP(AD150,'[2]스케줄 분석_20260109'!$B$3:$Y$20,23,FALSE)*(VLOOKUP(AD150,'[2]스케줄 분석_20260109'!$B$3:$Y$20,21,FALSE)/VLOOKUP(AD150,'[2]스케줄 분석_20260109'!$B$3:$Y$20,20,FALSE))*VLOOKUP(AD150,'[2]스케줄 분석_20260109'!$B$3:$Y$20,22,FALSE)*VLOOKUP(AD150,'[2]스케줄 분석_20260109'!$B$3:$Y$20,2,FALSE)*1.5*BI150,0),0)</f>
        <v>2009557</v>
      </c>
      <c r="BQ150" s="217" t="str">
        <f t="shared" si="70"/>
        <v>적합</v>
      </c>
      <c r="BR150" s="213"/>
      <c r="BS150" s="218">
        <f t="shared" si="71"/>
        <v>1109486</v>
      </c>
      <c r="BT150" s="219">
        <f t="shared" si="72"/>
        <v>2576557.1666666665</v>
      </c>
      <c r="BU150" s="175">
        <f t="shared" si="73"/>
        <v>1301937</v>
      </c>
      <c r="BV150" s="175">
        <f t="shared" si="74"/>
        <v>1116387.6796800001</v>
      </c>
      <c r="BW150" s="175">
        <f t="shared" si="75"/>
        <v>424842.6</v>
      </c>
      <c r="BX150" s="175">
        <f t="shared" si="76"/>
        <v>180900.72</v>
      </c>
      <c r="BY150" s="213">
        <f t="shared" si="65"/>
        <v>3105125</v>
      </c>
      <c r="BZ150" s="220">
        <f t="shared" si="77"/>
        <v>33495243.166666668</v>
      </c>
      <c r="CA150" s="213">
        <f t="shared" si="78"/>
        <v>3024067.9996800004</v>
      </c>
      <c r="CB150" s="221">
        <f t="shared" si="79"/>
        <v>37261500</v>
      </c>
      <c r="CC150" s="222">
        <f t="shared" si="80"/>
        <v>10454936.030000001</v>
      </c>
      <c r="CD150" s="223">
        <f t="shared" si="64"/>
        <v>20.84816150195422</v>
      </c>
      <c r="CE150" s="283"/>
      <c r="CF150" s="283"/>
      <c r="CG150" s="23" t="s">
        <v>1917</v>
      </c>
      <c r="CH150" s="23" t="s">
        <v>1810</v>
      </c>
      <c r="CI150" s="78"/>
      <c r="CJ150" s="111"/>
      <c r="CK150" s="187"/>
      <c r="CL150" s="188"/>
      <c r="CM150" s="111"/>
      <c r="CN150" s="111"/>
      <c r="CO150" s="111"/>
      <c r="CP150" s="111"/>
      <c r="CQ150" s="111"/>
      <c r="CR150" s="111"/>
      <c r="CS150" s="111"/>
      <c r="CT150" s="111"/>
      <c r="CU150" s="111"/>
      <c r="CV150" s="111"/>
      <c r="CW150" s="111"/>
      <c r="CX150" s="111"/>
      <c r="CY150" s="111"/>
      <c r="CZ150" s="111"/>
      <c r="DA150" s="111"/>
      <c r="DB150" s="111"/>
      <c r="DC150" s="111"/>
      <c r="DD150" s="111"/>
      <c r="DE150" s="111"/>
      <c r="DF150" s="111"/>
      <c r="DG150" s="111"/>
      <c r="DH150" s="111"/>
      <c r="DI150" s="111"/>
      <c r="DJ150" s="111"/>
      <c r="DK150" s="111"/>
      <c r="DL150" s="78"/>
      <c r="DM150" s="78"/>
    </row>
    <row r="151" spans="1:117" ht="17.25" customHeight="1">
      <c r="A151" s="23">
        <f t="shared" si="62"/>
        <v>148</v>
      </c>
      <c r="B151" s="23" t="s">
        <v>439</v>
      </c>
      <c r="C151" s="190">
        <v>2024005</v>
      </c>
      <c r="D151" s="194" t="s">
        <v>655</v>
      </c>
      <c r="E151" s="227" t="s">
        <v>686</v>
      </c>
      <c r="F151" s="227" t="s">
        <v>2017</v>
      </c>
      <c r="G151" s="23" t="s">
        <v>1682</v>
      </c>
      <c r="H151" s="227" t="s">
        <v>740</v>
      </c>
      <c r="I151" s="227" t="s">
        <v>1204</v>
      </c>
      <c r="J151" s="194" t="s">
        <v>207</v>
      </c>
      <c r="K151" s="78" t="s">
        <v>179</v>
      </c>
      <c r="L151" s="23" t="s">
        <v>2018</v>
      </c>
      <c r="M151" s="227"/>
      <c r="N151" s="229" t="s">
        <v>2019</v>
      </c>
      <c r="O151" t="s">
        <v>2020</v>
      </c>
      <c r="P151" s="229" t="s">
        <v>2021</v>
      </c>
      <c r="Q151" s="214">
        <v>45315</v>
      </c>
      <c r="R151" s="214">
        <v>45315</v>
      </c>
      <c r="S151" s="214"/>
      <c r="T151" s="231" t="s">
        <v>2022</v>
      </c>
      <c r="U151" s="231" t="s">
        <v>2023</v>
      </c>
      <c r="V151" s="201" t="s">
        <v>290</v>
      </c>
      <c r="W151" s="231" t="s">
        <v>2024</v>
      </c>
      <c r="X151" s="200" t="s">
        <v>425</v>
      </c>
      <c r="Y151" s="200" t="s">
        <v>1244</v>
      </c>
      <c r="Z151" s="203">
        <f t="shared" ca="1" si="82"/>
        <v>846</v>
      </c>
      <c r="AA151" s="203">
        <f t="shared" ca="1" si="61"/>
        <v>846</v>
      </c>
      <c r="AB151" s="232"/>
      <c r="AC151" s="232"/>
      <c r="AD151" s="78" t="s">
        <v>694</v>
      </c>
      <c r="AE151" s="78" t="s">
        <v>190</v>
      </c>
      <c r="AF151" s="78" t="s">
        <v>160</v>
      </c>
      <c r="AG151" s="78" t="s">
        <v>160</v>
      </c>
      <c r="AH151" s="23" t="s">
        <v>161</v>
      </c>
      <c r="AI151" s="23" t="s">
        <v>503</v>
      </c>
      <c r="AJ151" s="23" t="s">
        <v>1758</v>
      </c>
      <c r="AK151" s="23" t="s">
        <v>505</v>
      </c>
      <c r="AL151" s="78" t="s">
        <v>891</v>
      </c>
      <c r="AM151" s="206" t="s">
        <v>2025</v>
      </c>
      <c r="AN151" s="207" t="s">
        <v>2026</v>
      </c>
      <c r="AO151" s="78" t="s">
        <v>166</v>
      </c>
      <c r="AP151" s="78" t="s">
        <v>1143</v>
      </c>
      <c r="AQ151" s="201" t="s">
        <v>678</v>
      </c>
      <c r="AS151" s="209" t="s">
        <v>488</v>
      </c>
      <c r="AT151" s="23" t="s">
        <v>201</v>
      </c>
      <c r="AU151" s="23" t="s">
        <v>435</v>
      </c>
      <c r="AV151" s="210" t="s">
        <v>454</v>
      </c>
      <c r="AW151" s="211">
        <v>3993000</v>
      </c>
      <c r="AX151" s="175">
        <v>3993000</v>
      </c>
      <c r="AY151" s="212">
        <v>12</v>
      </c>
      <c r="AZ151" s="213">
        <f t="shared" si="63"/>
        <v>47916000</v>
      </c>
      <c r="BA151" s="251"/>
      <c r="BB151" s="251"/>
      <c r="BC151" s="214">
        <v>45839</v>
      </c>
      <c r="BD151" s="215">
        <v>29041080</v>
      </c>
      <c r="BE151" s="215">
        <v>30001200</v>
      </c>
      <c r="BF151" s="215">
        <f t="shared" si="66"/>
        <v>30001200</v>
      </c>
      <c r="BG151" s="215">
        <f t="shared" si="67"/>
        <v>2500100</v>
      </c>
      <c r="BH151" s="215">
        <v>2057100</v>
      </c>
      <c r="BI151" s="216">
        <f t="shared" si="81"/>
        <v>10799.52</v>
      </c>
      <c r="BJ151" s="216">
        <f>IF(AT151="통상",209,VLOOKUP(AD151,'[2]스케줄 분석_20260109'!$B$3:$F$20,5,FALSE))</f>
        <v>209</v>
      </c>
      <c r="BK151" s="216">
        <f>IF(AT151="통상",15,VLOOKUP(AD151,'[2]스케줄 분석_20260109'!$B$3:$P$20,10,FALSE))</f>
        <v>15</v>
      </c>
      <c r="BL151" s="216">
        <f>IF(AT151="통상",0,VLOOKUP(AD151,'[2]스케줄 분석_20260109'!$B$3:$P$20,11,FALSE))</f>
        <v>0</v>
      </c>
      <c r="BM151" s="215">
        <f t="shared" si="68"/>
        <v>243000</v>
      </c>
      <c r="BN151" s="175">
        <f t="shared" si="69"/>
        <v>0</v>
      </c>
      <c r="BO151" s="213">
        <v>200000</v>
      </c>
      <c r="BP151" s="175">
        <f>IF(OR(AT151="스케줄",AT151="스케줄_파라"),ROUNDUP(VLOOKUP(AD151,'[2]스케줄 분석_20260109'!$B$3:$Y$20,23,FALSE)*(VLOOKUP(AD151,'[2]스케줄 분석_20260109'!$B$3:$Y$20,21,FALSE)/VLOOKUP(AD151,'[2]스케줄 분석_20260109'!$B$3:$Y$20,20,FALSE))*VLOOKUP(AD151,'[2]스케줄 분석_20260109'!$B$3:$Y$20,22,FALSE)*VLOOKUP(AD151,'[2]스케줄 분석_20260109'!$B$3:$Y$20,2,FALSE)*1.5*BI151,0),0)</f>
        <v>0</v>
      </c>
      <c r="BQ151" s="217" t="str">
        <f t="shared" si="70"/>
        <v>적합</v>
      </c>
      <c r="BR151" s="213">
        <v>250000</v>
      </c>
      <c r="BS151" s="218">
        <f t="shared" si="71"/>
        <v>431980.80000000005</v>
      </c>
      <c r="BT151" s="219">
        <f t="shared" si="72"/>
        <v>2536098.4</v>
      </c>
      <c r="BU151" s="175">
        <f t="shared" si="73"/>
        <v>1311057</v>
      </c>
      <c r="BV151" s="175">
        <f t="shared" si="74"/>
        <v>1124207.9164799999</v>
      </c>
      <c r="BW151" s="175">
        <f t="shared" si="75"/>
        <v>427818.6</v>
      </c>
      <c r="BX151" s="175">
        <f t="shared" si="76"/>
        <v>182167.92</v>
      </c>
      <c r="BY151" s="213">
        <f t="shared" si="65"/>
        <v>3125125</v>
      </c>
      <c r="BZ151" s="220">
        <f t="shared" si="77"/>
        <v>32969279.199999999</v>
      </c>
      <c r="CA151" s="213">
        <f t="shared" si="78"/>
        <v>3045251.4364800001</v>
      </c>
      <c r="CB151" s="221">
        <f t="shared" si="79"/>
        <v>37501500</v>
      </c>
      <c r="CC151" s="222">
        <f t="shared" si="80"/>
        <v>10414500</v>
      </c>
      <c r="CD151" s="223">
        <f t="shared" si="64"/>
        <v>21.734911094415228</v>
      </c>
      <c r="CE151" s="273">
        <v>44660</v>
      </c>
      <c r="CF151" s="273"/>
      <c r="CG151" s="23" t="s">
        <v>1744</v>
      </c>
      <c r="CH151" s="23" t="s">
        <v>1810</v>
      </c>
      <c r="CK151" s="187"/>
      <c r="CL151" s="188"/>
    </row>
    <row r="152" spans="1:117" s="79" customFormat="1" ht="17.25" customHeight="1">
      <c r="A152" s="23">
        <f t="shared" si="62"/>
        <v>149</v>
      </c>
      <c r="B152" s="23" t="s">
        <v>439</v>
      </c>
      <c r="C152" s="190">
        <v>2024008</v>
      </c>
      <c r="D152" s="194" t="s">
        <v>989</v>
      </c>
      <c r="E152" s="227" t="s">
        <v>990</v>
      </c>
      <c r="F152" s="227" t="s">
        <v>2027</v>
      </c>
      <c r="G152" s="23" t="s">
        <v>412</v>
      </c>
      <c r="H152" s="227" t="s">
        <v>826</v>
      </c>
      <c r="I152" s="227" t="s">
        <v>741</v>
      </c>
      <c r="J152" s="194" t="s">
        <v>178</v>
      </c>
      <c r="K152" s="79" t="s">
        <v>1401</v>
      </c>
      <c r="L152" s="227" t="s">
        <v>2028</v>
      </c>
      <c r="M152" s="227"/>
      <c r="N152" s="228" t="s">
        <v>2029</v>
      </c>
      <c r="O152" t="s">
        <v>2030</v>
      </c>
      <c r="P152" s="229" t="s">
        <v>2031</v>
      </c>
      <c r="Q152" s="214">
        <v>44682</v>
      </c>
      <c r="R152" s="214">
        <v>45327</v>
      </c>
      <c r="S152" s="214"/>
      <c r="T152" s="231" t="s">
        <v>1377</v>
      </c>
      <c r="U152" s="231" t="s">
        <v>1378</v>
      </c>
      <c r="V152" s="201" t="s">
        <v>278</v>
      </c>
      <c r="W152" s="201"/>
      <c r="X152" s="201"/>
      <c r="Y152" s="201"/>
      <c r="Z152" s="203">
        <f t="shared" ca="1" si="82"/>
        <v>1479</v>
      </c>
      <c r="AA152" s="203">
        <f t="shared" ca="1" si="61"/>
        <v>834</v>
      </c>
      <c r="AB152" s="232"/>
      <c r="AC152" s="232"/>
      <c r="AD152" s="78" t="s">
        <v>1835</v>
      </c>
      <c r="AE152" s="78" t="s">
        <v>217</v>
      </c>
      <c r="AF152" s="78" t="s">
        <v>191</v>
      </c>
      <c r="AG152" s="78" t="s">
        <v>191</v>
      </c>
      <c r="AH152" s="23" t="s">
        <v>161</v>
      </c>
      <c r="AI152" s="23" t="s">
        <v>365</v>
      </c>
      <c r="AJ152" s="23" t="s">
        <v>990</v>
      </c>
      <c r="AK152" s="23" t="s">
        <v>1000</v>
      </c>
      <c r="AL152" s="78" t="s">
        <v>1001</v>
      </c>
      <c r="AM152" s="206" t="s">
        <v>2032</v>
      </c>
      <c r="AN152" s="207" t="s">
        <v>2033</v>
      </c>
      <c r="AO152" s="78" t="s">
        <v>401</v>
      </c>
      <c r="AP152" s="78" t="s">
        <v>1038</v>
      </c>
      <c r="AQ152" s="201" t="s">
        <v>433</v>
      </c>
      <c r="AR152" s="201"/>
      <c r="AS152" s="209" t="s">
        <v>1006</v>
      </c>
      <c r="AT152" s="23" t="s">
        <v>434</v>
      </c>
      <c r="AU152" s="23" t="s">
        <v>435</v>
      </c>
      <c r="AV152" s="210" t="s">
        <v>454</v>
      </c>
      <c r="AW152" s="211">
        <v>4138000</v>
      </c>
      <c r="AX152" s="175">
        <v>4138000</v>
      </c>
      <c r="AY152" s="212">
        <v>12</v>
      </c>
      <c r="AZ152" s="213">
        <f t="shared" si="63"/>
        <v>49656000</v>
      </c>
      <c r="BA152" s="78"/>
      <c r="BB152" s="78"/>
      <c r="BC152" s="214">
        <v>45839</v>
      </c>
      <c r="BD152" s="215">
        <v>30001680</v>
      </c>
      <c r="BE152" s="215">
        <v>30781200</v>
      </c>
      <c r="BF152" s="215">
        <f t="shared" si="66"/>
        <v>30781200</v>
      </c>
      <c r="BG152" s="215">
        <f t="shared" si="67"/>
        <v>2565100</v>
      </c>
      <c r="BH152" s="215">
        <v>1889900</v>
      </c>
      <c r="BI152" s="216">
        <f t="shared" si="81"/>
        <v>11358.15</v>
      </c>
      <c r="BJ152" s="216">
        <f>IF(AT152="통상",209,VLOOKUP(AD152,'[2]스케줄 분석_20260109'!$B$3:$F$20,5,FALSE))</f>
        <v>184</v>
      </c>
      <c r="BK152" s="216">
        <f>IF(AT152="통상",15,VLOOKUP(AD152,'[2]스케줄 분석_20260109'!$B$3:$P$20,10,FALSE))</f>
        <v>38.020000000000003</v>
      </c>
      <c r="BL152" s="216">
        <f>IF(AT152="통상",0,VLOOKUP(AD152,'[2]스케줄 분석_20260109'!$B$3:$P$20,11,FALSE))</f>
        <v>45.63</v>
      </c>
      <c r="BM152" s="215">
        <f t="shared" si="68"/>
        <v>216000</v>
      </c>
      <c r="BN152" s="175">
        <f t="shared" si="69"/>
        <v>259200</v>
      </c>
      <c r="BO152" s="213">
        <v>200000</v>
      </c>
      <c r="BP152" s="175">
        <f>IF(OR(AT152="스케줄",AT152="스케줄_파라"),ROUNDUP(VLOOKUP(AD152,'[2]스케줄 분석_20260109'!$B$3:$Y$20,23,FALSE)*(VLOOKUP(AD152,'[2]스케줄 분석_20260109'!$B$3:$Y$20,21,FALSE)/VLOOKUP(AD152,'[2]스케줄 분석_20260109'!$B$3:$Y$20,20,FALSE))*VLOOKUP(AD152,'[2]스케줄 분석_20260109'!$B$3:$Y$20,22,FALSE)*VLOOKUP(AD152,'[2]스케줄 분석_20260109'!$B$3:$Y$20,2,FALSE)*1.5*BI152,0),0)</f>
        <v>2057245</v>
      </c>
      <c r="BQ152" s="217" t="str">
        <f t="shared" si="70"/>
        <v>적합</v>
      </c>
      <c r="BR152" s="213"/>
      <c r="BS152" s="218">
        <f t="shared" si="71"/>
        <v>1135815</v>
      </c>
      <c r="BT152" s="219">
        <f t="shared" si="72"/>
        <v>2659751.25</v>
      </c>
      <c r="BU152" s="175">
        <f t="shared" si="73"/>
        <v>1348107</v>
      </c>
      <c r="BV152" s="175">
        <f t="shared" si="74"/>
        <v>1155977.62848</v>
      </c>
      <c r="BW152" s="175">
        <f t="shared" si="75"/>
        <v>439908.6</v>
      </c>
      <c r="BX152" s="175">
        <f t="shared" si="76"/>
        <v>187315.92</v>
      </c>
      <c r="BY152" s="213">
        <f t="shared" si="65"/>
        <v>3206375</v>
      </c>
      <c r="BZ152" s="220">
        <f t="shared" si="77"/>
        <v>34576766.25</v>
      </c>
      <c r="CA152" s="213">
        <f t="shared" si="78"/>
        <v>3131309.14848</v>
      </c>
      <c r="CB152" s="221">
        <f t="shared" si="79"/>
        <v>38476500</v>
      </c>
      <c r="CC152" s="222">
        <f t="shared" si="80"/>
        <v>8690233.5500000007</v>
      </c>
      <c r="CD152" s="223">
        <f t="shared" si="64"/>
        <v>17.500873106975998</v>
      </c>
      <c r="CE152" s="281"/>
      <c r="CF152" s="281"/>
      <c r="CG152" s="23" t="s">
        <v>1887</v>
      </c>
      <c r="CH152" s="23" t="s">
        <v>1810</v>
      </c>
      <c r="CI152" s="78"/>
      <c r="CJ152" s="78"/>
      <c r="CK152" s="187"/>
      <c r="CL152" s="188"/>
      <c r="CM152" s="111"/>
      <c r="CN152" s="111"/>
      <c r="CO152" s="111"/>
      <c r="CP152" s="111"/>
      <c r="CQ152" s="111"/>
      <c r="CR152" s="111"/>
      <c r="CS152" s="111"/>
      <c r="CT152" s="111"/>
      <c r="CU152" s="111"/>
      <c r="CV152" s="111"/>
      <c r="CW152" s="111"/>
      <c r="CX152" s="111"/>
      <c r="CY152" s="111"/>
      <c r="CZ152" s="111"/>
      <c r="DA152" s="111"/>
      <c r="DB152" s="111"/>
      <c r="DC152" s="111"/>
      <c r="DD152" s="111"/>
      <c r="DE152" s="111"/>
      <c r="DF152" s="111"/>
      <c r="DG152" s="111"/>
      <c r="DH152" s="111"/>
      <c r="DI152" s="111"/>
      <c r="DJ152" s="111"/>
      <c r="DK152" s="111"/>
      <c r="DL152" s="78"/>
      <c r="DM152" s="78"/>
    </row>
    <row r="153" spans="1:117" ht="17.25" customHeight="1">
      <c r="A153" s="23">
        <f t="shared" si="62"/>
        <v>150</v>
      </c>
      <c r="B153" s="23" t="s">
        <v>439</v>
      </c>
      <c r="C153" s="190">
        <v>2024010</v>
      </c>
      <c r="D153" s="194" t="s">
        <v>490</v>
      </c>
      <c r="E153" s="227" t="s">
        <v>492</v>
      </c>
      <c r="F153" s="227" t="s">
        <v>2034</v>
      </c>
      <c r="G153" s="23" t="s">
        <v>1724</v>
      </c>
      <c r="H153" s="227" t="s">
        <v>1541</v>
      </c>
      <c r="I153" s="227" t="s">
        <v>414</v>
      </c>
      <c r="J153" s="194" t="s">
        <v>1530</v>
      </c>
      <c r="K153" s="79" t="s">
        <v>1401</v>
      </c>
      <c r="L153" s="23" t="s">
        <v>2035</v>
      </c>
      <c r="M153" s="227"/>
      <c r="N153" s="228" t="s">
        <v>2036</v>
      </c>
      <c r="O153" t="s">
        <v>2037</v>
      </c>
      <c r="P153" s="229" t="s">
        <v>2038</v>
      </c>
      <c r="Q153" s="214">
        <v>45355</v>
      </c>
      <c r="R153" s="214">
        <v>45355</v>
      </c>
      <c r="S153" s="214"/>
      <c r="T153" s="231" t="s">
        <v>2039</v>
      </c>
      <c r="U153" s="200"/>
      <c r="V153" s="201" t="s">
        <v>215</v>
      </c>
      <c r="W153" s="200"/>
      <c r="X153" s="200"/>
      <c r="Y153" s="200"/>
      <c r="Z153" s="203">
        <f t="shared" ca="1" si="82"/>
        <v>806</v>
      </c>
      <c r="AA153" s="203">
        <f t="shared" ca="1" si="61"/>
        <v>806</v>
      </c>
      <c r="AB153" s="232"/>
      <c r="AC153" s="232"/>
      <c r="AD153" s="78" t="s">
        <v>2040</v>
      </c>
      <c r="AE153" s="78" t="s">
        <v>190</v>
      </c>
      <c r="AF153" s="78" t="s">
        <v>218</v>
      </c>
      <c r="AG153" s="78" t="s">
        <v>218</v>
      </c>
      <c r="AH153" s="23" t="s">
        <v>161</v>
      </c>
      <c r="AI153" s="23" t="s">
        <v>2041</v>
      </c>
      <c r="AJ153" s="23" t="s">
        <v>492</v>
      </c>
      <c r="AK153" s="23" t="s">
        <v>505</v>
      </c>
      <c r="AL153" s="78" t="s">
        <v>891</v>
      </c>
      <c r="AM153" s="206" t="s">
        <v>2042</v>
      </c>
      <c r="AN153" s="207" t="s">
        <v>2043</v>
      </c>
      <c r="AO153" s="78" t="s">
        <v>222</v>
      </c>
      <c r="AP153" s="78" t="s">
        <v>2044</v>
      </c>
      <c r="AQ153" s="201" t="s">
        <v>433</v>
      </c>
      <c r="AS153" s="209" t="s">
        <v>226</v>
      </c>
      <c r="AT153" s="23" t="s">
        <v>434</v>
      </c>
      <c r="AU153" s="23" t="s">
        <v>435</v>
      </c>
      <c r="AV153" s="210" t="s">
        <v>454</v>
      </c>
      <c r="AW153" s="211">
        <v>3988000</v>
      </c>
      <c r="AX153" s="175">
        <v>3988000</v>
      </c>
      <c r="AY153" s="212">
        <v>12</v>
      </c>
      <c r="AZ153" s="213">
        <f t="shared" si="63"/>
        <v>47856000</v>
      </c>
      <c r="BA153" s="213"/>
      <c r="BB153" s="213"/>
      <c r="BC153" s="214">
        <v>45839</v>
      </c>
      <c r="BD153" s="215">
        <v>30666000</v>
      </c>
      <c r="BE153" s="215">
        <v>31628400</v>
      </c>
      <c r="BF153" s="215">
        <f t="shared" si="66"/>
        <v>31628400</v>
      </c>
      <c r="BG153" s="215">
        <f t="shared" si="67"/>
        <v>2635700</v>
      </c>
      <c r="BH153" s="215">
        <v>1926200</v>
      </c>
      <c r="BI153" s="216">
        <f t="shared" si="81"/>
        <v>10344.959999999999</v>
      </c>
      <c r="BJ153" s="216">
        <f>IF(AT153="통상",209,VLOOKUP(AD153,'[2]스케줄 분석_20260109'!$B$3:$F$20,5,FALSE))</f>
        <v>205.53</v>
      </c>
      <c r="BK153" s="216">
        <f>IF(AT153="통상",15,VLOOKUP(AD153,'[2]스케줄 분석_20260109'!$B$3:$P$20,10,FALSE))</f>
        <v>32.590000000000003</v>
      </c>
      <c r="BL153" s="216">
        <f>IF(AT153="통상",0,VLOOKUP(AD153,'[2]스케줄 분석_20260109'!$B$3:$P$20,11,FALSE))</f>
        <v>65.900000000000006</v>
      </c>
      <c r="BM153" s="215">
        <f t="shared" si="68"/>
        <v>168600</v>
      </c>
      <c r="BN153" s="175">
        <f t="shared" si="69"/>
        <v>340900</v>
      </c>
      <c r="BO153" s="213">
        <v>200000</v>
      </c>
      <c r="BP153" s="175">
        <f>IF(OR(AT153="스케줄",AT153="스케줄_파라"),ROUNDUP(VLOOKUP(AD153,'[2]스케줄 분석_20260109'!$B$3:$Y$20,23,FALSE)*(VLOOKUP(AD153,'[2]스케줄 분석_20260109'!$B$3:$Y$20,21,FALSE)/VLOOKUP(AD153,'[2]스케줄 분석_20260109'!$B$3:$Y$20,20,FALSE))*VLOOKUP(AD153,'[2]스케줄 분석_20260109'!$B$3:$Y$20,22,FALSE)*VLOOKUP(AD153,'[2]스케줄 분석_20260109'!$B$3:$Y$20,2,FALSE)*1.5*BI153,0),0)</f>
        <v>1015469</v>
      </c>
      <c r="BQ153" s="217" t="str">
        <f t="shared" si="70"/>
        <v>적합</v>
      </c>
      <c r="BR153" s="213"/>
      <c r="BS153" s="218">
        <f t="shared" si="71"/>
        <v>1034495.9999999999</v>
      </c>
      <c r="BT153" s="219">
        <f t="shared" si="72"/>
        <v>2721908</v>
      </c>
      <c r="BU153" s="175">
        <f t="shared" si="73"/>
        <v>1388349</v>
      </c>
      <c r="BV153" s="175">
        <f t="shared" si="74"/>
        <v>1190484.4233599999</v>
      </c>
      <c r="BW153" s="175">
        <f t="shared" si="75"/>
        <v>453040.2</v>
      </c>
      <c r="BX153" s="175">
        <f t="shared" si="76"/>
        <v>192907.44</v>
      </c>
      <c r="BY153" s="213">
        <f t="shared" si="65"/>
        <v>3294625</v>
      </c>
      <c r="BZ153" s="220">
        <f t="shared" si="77"/>
        <v>35384804</v>
      </c>
      <c r="CA153" s="213">
        <f t="shared" si="78"/>
        <v>3224781.06336</v>
      </c>
      <c r="CB153" s="221">
        <f t="shared" si="79"/>
        <v>39535500</v>
      </c>
      <c r="CC153" s="222">
        <f t="shared" si="80"/>
        <v>7091782.5099999998</v>
      </c>
      <c r="CD153" s="223">
        <f t="shared" si="64"/>
        <v>14.819003907556</v>
      </c>
      <c r="CE153" s="283"/>
      <c r="CF153" s="283"/>
      <c r="CG153" s="23" t="s">
        <v>1733</v>
      </c>
      <c r="CH153" s="23" t="s">
        <v>1810</v>
      </c>
      <c r="CK153" s="187"/>
      <c r="CL153" s="188"/>
    </row>
    <row r="154" spans="1:117" s="121" customFormat="1" ht="17.25" customHeight="1">
      <c r="A154" s="23">
        <f t="shared" si="62"/>
        <v>151</v>
      </c>
      <c r="B154" s="23" t="s">
        <v>439</v>
      </c>
      <c r="C154" s="190">
        <v>2024012</v>
      </c>
      <c r="D154" s="194" t="s">
        <v>2045</v>
      </c>
      <c r="E154" s="227" t="s">
        <v>2046</v>
      </c>
      <c r="F154" s="227" t="s">
        <v>2047</v>
      </c>
      <c r="G154" s="23" t="s">
        <v>1853</v>
      </c>
      <c r="H154" s="227" t="s">
        <v>1167</v>
      </c>
      <c r="I154" s="227" t="s">
        <v>741</v>
      </c>
      <c r="J154" s="194" t="s">
        <v>178</v>
      </c>
      <c r="K154" s="79" t="s">
        <v>1401</v>
      </c>
      <c r="L154" s="227" t="s">
        <v>2048</v>
      </c>
      <c r="M154" s="227"/>
      <c r="N154" s="228" t="s">
        <v>2049</v>
      </c>
      <c r="O154" t="s">
        <v>2050</v>
      </c>
      <c r="P154" s="229" t="s">
        <v>2051</v>
      </c>
      <c r="Q154" s="214">
        <v>45369</v>
      </c>
      <c r="R154" s="214">
        <v>45369</v>
      </c>
      <c r="S154" s="214"/>
      <c r="T154" s="231" t="s">
        <v>2052</v>
      </c>
      <c r="U154" s="231" t="s">
        <v>2053</v>
      </c>
      <c r="V154" s="201" t="s">
        <v>290</v>
      </c>
      <c r="W154" s="201"/>
      <c r="X154" s="201"/>
      <c r="Y154" s="201"/>
      <c r="Z154" s="203">
        <f t="shared" ca="1" si="82"/>
        <v>792</v>
      </c>
      <c r="AA154" s="203">
        <f t="shared" ca="1" si="61"/>
        <v>792</v>
      </c>
      <c r="AB154" s="232"/>
      <c r="AC154" s="232"/>
      <c r="AD154" s="78" t="s">
        <v>1470</v>
      </c>
      <c r="AE154" s="78" t="s">
        <v>833</v>
      </c>
      <c r="AF154" s="78" t="s">
        <v>191</v>
      </c>
      <c r="AG154" s="78" t="s">
        <v>191</v>
      </c>
      <c r="AH154" s="23" t="s">
        <v>161</v>
      </c>
      <c r="AI154" s="23" t="s">
        <v>1021</v>
      </c>
      <c r="AJ154" s="23" t="s">
        <v>2046</v>
      </c>
      <c r="AK154" s="23" t="s">
        <v>1022</v>
      </c>
      <c r="AL154" s="78" t="s">
        <v>1023</v>
      </c>
      <c r="AM154" s="269" t="s">
        <v>2054</v>
      </c>
      <c r="AN154" s="207" t="s">
        <v>2055</v>
      </c>
      <c r="AO154" s="78" t="s">
        <v>401</v>
      </c>
      <c r="AP154" s="78" t="s">
        <v>1025</v>
      </c>
      <c r="AQ154" s="201" t="s">
        <v>433</v>
      </c>
      <c r="AR154" s="201"/>
      <c r="AS154" s="209" t="s">
        <v>1006</v>
      </c>
      <c r="AT154" s="23" t="s">
        <v>434</v>
      </c>
      <c r="AU154" s="23" t="s">
        <v>435</v>
      </c>
      <c r="AV154" s="210" t="s">
        <v>454</v>
      </c>
      <c r="AW154" s="211">
        <v>4179000</v>
      </c>
      <c r="AX154" s="175">
        <v>4179000</v>
      </c>
      <c r="AY154" s="212">
        <v>12</v>
      </c>
      <c r="AZ154" s="213">
        <f t="shared" si="63"/>
        <v>50148000</v>
      </c>
      <c r="BA154" s="78"/>
      <c r="BB154" s="78"/>
      <c r="BC154" s="214">
        <v>45839</v>
      </c>
      <c r="BD154" s="215">
        <v>29040600</v>
      </c>
      <c r="BE154" s="215">
        <v>29809200</v>
      </c>
      <c r="BF154" s="215">
        <f t="shared" si="66"/>
        <v>29809200</v>
      </c>
      <c r="BG154" s="215">
        <f t="shared" si="67"/>
        <v>2484100</v>
      </c>
      <c r="BH154" s="215">
        <v>1976700</v>
      </c>
      <c r="BI154" s="216">
        <f t="shared" si="81"/>
        <v>11094.86</v>
      </c>
      <c r="BJ154" s="216">
        <f>IF(AT154="통상",209,VLOOKUP(AD154,'[2]스케줄 분석_20260109'!$B$3:$F$20,5,FALSE))</f>
        <v>196.19</v>
      </c>
      <c r="BK154" s="216">
        <f>IF(AT154="통상",15,VLOOKUP(AD154,'[2]스케줄 분석_20260109'!$B$3:$P$20,10,FALSE))</f>
        <v>2.17</v>
      </c>
      <c r="BL154" s="216">
        <f>IF(AT154="통상",0,VLOOKUP(AD154,'[2]스케줄 분석_20260109'!$B$3:$P$20,11,FALSE))</f>
        <v>53.23</v>
      </c>
      <c r="BM154" s="215">
        <f t="shared" si="68"/>
        <v>12100</v>
      </c>
      <c r="BN154" s="175">
        <f t="shared" si="69"/>
        <v>295300</v>
      </c>
      <c r="BO154" s="213">
        <v>200000</v>
      </c>
      <c r="BP154" s="175">
        <f>IF(OR(AT154="스케줄",AT154="스케줄_파라"),ROUNDUP(VLOOKUP(AD154,'[2]스케줄 분석_20260109'!$B$3:$Y$20,23,FALSE)*(VLOOKUP(AD154,'[2]스케줄 분석_20260109'!$B$3:$Y$20,21,FALSE)/VLOOKUP(AD154,'[2]스케줄 분석_20260109'!$B$3:$Y$20,20,FALSE))*VLOOKUP(AD154,'[2]스케줄 분석_20260109'!$B$3:$Y$20,22,FALSE)*VLOOKUP(AD154,'[2]스케줄 분석_20260109'!$B$3:$Y$20,2,FALSE)*1.5*BI154,0),0)</f>
        <v>2009557</v>
      </c>
      <c r="BQ154" s="217" t="str">
        <f t="shared" si="70"/>
        <v>적합</v>
      </c>
      <c r="BR154" s="213"/>
      <c r="BS154" s="218">
        <f t="shared" si="71"/>
        <v>1109486</v>
      </c>
      <c r="BT154" s="219">
        <f t="shared" si="72"/>
        <v>2576557.1666666665</v>
      </c>
      <c r="BU154" s="175">
        <f t="shared" si="73"/>
        <v>1301937</v>
      </c>
      <c r="BV154" s="175">
        <f t="shared" si="74"/>
        <v>1116387.6796800001</v>
      </c>
      <c r="BW154" s="175">
        <f t="shared" si="75"/>
        <v>424842.6</v>
      </c>
      <c r="BX154" s="175">
        <f t="shared" si="76"/>
        <v>180900.72</v>
      </c>
      <c r="BY154" s="213">
        <f t="shared" si="65"/>
        <v>3105125</v>
      </c>
      <c r="BZ154" s="220">
        <f t="shared" si="77"/>
        <v>33495243.166666668</v>
      </c>
      <c r="CA154" s="213">
        <f t="shared" si="78"/>
        <v>3024067.9996800004</v>
      </c>
      <c r="CB154" s="221">
        <f t="shared" si="79"/>
        <v>37261500</v>
      </c>
      <c r="CC154" s="222">
        <f t="shared" si="80"/>
        <v>10454936.030000001</v>
      </c>
      <c r="CD154" s="223">
        <f t="shared" si="64"/>
        <v>20.84816150195422</v>
      </c>
      <c r="CE154" s="283"/>
      <c r="CF154" s="283"/>
      <c r="CG154" s="23" t="s">
        <v>339</v>
      </c>
      <c r="CH154" s="23" t="s">
        <v>1810</v>
      </c>
      <c r="CI154" s="78"/>
      <c r="CJ154" s="78"/>
      <c r="CK154" s="187"/>
      <c r="CL154" s="188"/>
      <c r="CM154" s="78"/>
      <c r="CN154" s="78"/>
      <c r="CO154" s="78"/>
      <c r="CP154" s="78"/>
      <c r="CQ154" s="78"/>
      <c r="CR154" s="78"/>
      <c r="CS154" s="78"/>
      <c r="CT154" s="78"/>
      <c r="CU154" s="78"/>
      <c r="CV154" s="78"/>
      <c r="CW154" s="78"/>
      <c r="CX154" s="78"/>
      <c r="CY154" s="78"/>
      <c r="CZ154" s="78"/>
      <c r="DA154" s="78"/>
      <c r="DB154" s="78"/>
      <c r="DC154" s="78"/>
      <c r="DD154" s="78"/>
      <c r="DE154" s="78"/>
      <c r="DF154" s="78"/>
      <c r="DG154" s="78"/>
      <c r="DH154" s="78"/>
      <c r="DI154" s="78"/>
      <c r="DJ154" s="78"/>
      <c r="DK154" s="78"/>
      <c r="DL154" s="78"/>
      <c r="DM154" s="78"/>
    </row>
    <row r="155" spans="1:117" ht="17.25" customHeight="1">
      <c r="A155" s="23">
        <f>ROW()-3</f>
        <v>152</v>
      </c>
      <c r="B155" s="23" t="s">
        <v>439</v>
      </c>
      <c r="C155" s="190">
        <v>2024013</v>
      </c>
      <c r="D155" s="194" t="s">
        <v>2045</v>
      </c>
      <c r="E155" s="227" t="s">
        <v>1711</v>
      </c>
      <c r="F155" s="227" t="s">
        <v>1711</v>
      </c>
      <c r="G155" s="23" t="s">
        <v>1853</v>
      </c>
      <c r="H155" s="227" t="s">
        <v>1167</v>
      </c>
      <c r="I155" s="227" t="s">
        <v>741</v>
      </c>
      <c r="J155" s="194" t="s">
        <v>178</v>
      </c>
      <c r="K155" s="79" t="s">
        <v>627</v>
      </c>
      <c r="L155" s="227" t="s">
        <v>356</v>
      </c>
      <c r="M155" s="227"/>
      <c r="N155" s="228" t="s">
        <v>2056</v>
      </c>
      <c r="O155" t="s">
        <v>2057</v>
      </c>
      <c r="P155" s="229" t="s">
        <v>2058</v>
      </c>
      <c r="Q155" s="214">
        <v>45376</v>
      </c>
      <c r="R155" s="214">
        <v>45376</v>
      </c>
      <c r="S155" s="214"/>
      <c r="T155" s="231" t="s">
        <v>2014</v>
      </c>
      <c r="U155" s="231" t="s">
        <v>2059</v>
      </c>
      <c r="V155" s="201" t="s">
        <v>290</v>
      </c>
      <c r="Z155" s="203">
        <f ca="1">IF(Q155&lt;&gt;"",$A$1-Q155,"")</f>
        <v>785</v>
      </c>
      <c r="AA155" s="203">
        <f ca="1">$A$1-R155</f>
        <v>785</v>
      </c>
      <c r="AB155" s="232"/>
      <c r="AC155" s="232"/>
      <c r="AD155" s="78" t="s">
        <v>2060</v>
      </c>
      <c r="AE155" s="78" t="s">
        <v>833</v>
      </c>
      <c r="AG155" s="78" t="s">
        <v>191</v>
      </c>
      <c r="AH155" s="23" t="s">
        <v>161</v>
      </c>
      <c r="AI155" s="23" t="s">
        <v>1021</v>
      </c>
      <c r="AJ155" s="23" t="s">
        <v>2046</v>
      </c>
      <c r="AK155" s="23" t="s">
        <v>1022</v>
      </c>
      <c r="AL155" s="78" t="s">
        <v>1175</v>
      </c>
      <c r="AM155" s="206" t="s">
        <v>2061</v>
      </c>
      <c r="AN155" s="207" t="s">
        <v>2062</v>
      </c>
      <c r="AO155" s="78" t="s">
        <v>401</v>
      </c>
      <c r="AP155" s="78" t="s">
        <v>1720</v>
      </c>
      <c r="AQ155" s="201" t="s">
        <v>433</v>
      </c>
      <c r="AS155" s="209" t="s">
        <v>1006</v>
      </c>
      <c r="AT155" s="23" t="s">
        <v>201</v>
      </c>
      <c r="AU155" s="23" t="s">
        <v>435</v>
      </c>
      <c r="AV155" s="210" t="s">
        <v>454</v>
      </c>
      <c r="AW155" s="211">
        <v>4179000</v>
      </c>
      <c r="AX155" s="213">
        <v>5100000</v>
      </c>
      <c r="AY155" s="212">
        <v>12</v>
      </c>
      <c r="AZ155" s="213">
        <f>AX155*AY155</f>
        <v>61200000</v>
      </c>
      <c r="BC155" s="310">
        <v>46082</v>
      </c>
      <c r="BD155" s="235">
        <v>29040600</v>
      </c>
      <c r="BE155" s="235">
        <v>29809200</v>
      </c>
      <c r="BF155" s="311">
        <f>BG155*12</f>
        <v>35000400</v>
      </c>
      <c r="BG155" s="235">
        <f>BH155+BM155+BN155+BO155</f>
        <v>2916700</v>
      </c>
      <c r="BH155" s="235">
        <v>2433200</v>
      </c>
      <c r="BI155" s="312">
        <f>ROUND((BH155+BO155)/BJ155,2)</f>
        <v>12599.04</v>
      </c>
      <c r="BJ155" s="312">
        <v>209</v>
      </c>
      <c r="BK155" s="312">
        <v>15</v>
      </c>
      <c r="BL155" s="312">
        <v>0</v>
      </c>
      <c r="BM155" s="235">
        <f>IF(OR(AT155="통상",AT155="스케줄_파라"),ROUNDUP(BI155*BK155*1.5,-2),IF(OR(AT155="스케줄",AT155="휴직_스케줄"),ROUNDUP(BI155*BK155*0.5,-2),"확인바람"))</f>
        <v>283500</v>
      </c>
      <c r="BN155" s="213">
        <f>ROUNDUP(BI155*BL155*0.5,-2)</f>
        <v>0</v>
      </c>
      <c r="BO155" s="213">
        <v>200000</v>
      </c>
      <c r="BP155" s="213">
        <v>0</v>
      </c>
      <c r="BQ155" s="217" t="str">
        <f>IF(BI155&gt;=$D$1,"적합","미달")</f>
        <v>적합</v>
      </c>
      <c r="BR155" s="213"/>
      <c r="BS155" s="219">
        <f>IF(AT155="통상",BI155*8*5,IF(OR(AT155="스케줄",AT155="스케줄_파라"),BI155*100,"확인"))</f>
        <v>503961.60000000003</v>
      </c>
      <c r="BT155" s="219">
        <f>BG155+BS155/12</f>
        <v>2958696.8</v>
      </c>
      <c r="BU155" s="213">
        <f>(BF155-BO155*12)*0.0475</f>
        <v>1548519</v>
      </c>
      <c r="BV155" s="213">
        <f>(BF155-BO155*12)*0.036+(BF155-BO155*12)*0.036*0.1314</f>
        <v>1327827.3321599998</v>
      </c>
      <c r="BW155" s="213">
        <f>(BF155-BO155*12)*(0.009+0.0065)</f>
        <v>505306.2</v>
      </c>
      <c r="BX155" s="213">
        <f>(BF155-BO155*12)*0.0066</f>
        <v>215162.63999999998</v>
      </c>
      <c r="BY155" s="213">
        <f>CB155/AY155</f>
        <v>3645875</v>
      </c>
      <c r="BZ155" s="220">
        <f>SUM(BF155,BS155:BT155)</f>
        <v>38463058.399999999</v>
      </c>
      <c r="CA155" s="213">
        <v>3115439.55192</v>
      </c>
      <c r="CB155" s="220">
        <f>BF155*1.25</f>
        <v>43750500</v>
      </c>
      <c r="CC155" s="222">
        <f>AZ155-CB155-BP155*1.21</f>
        <v>17449500</v>
      </c>
      <c r="CD155" s="301">
        <f>IFERROR((CC155/AZ155)*100,0)</f>
        <v>28.51225490196078</v>
      </c>
      <c r="CG155" s="23" t="s">
        <v>1679</v>
      </c>
      <c r="CH155" s="23" t="s">
        <v>1888</v>
      </c>
      <c r="CK155" s="187"/>
      <c r="CL155" s="188"/>
    </row>
    <row r="156" spans="1:117" ht="17.25" customHeight="1">
      <c r="A156" s="23">
        <f t="shared" si="62"/>
        <v>153</v>
      </c>
      <c r="B156" s="23" t="s">
        <v>439</v>
      </c>
      <c r="C156" s="190">
        <v>2024014</v>
      </c>
      <c r="D156" s="194" t="s">
        <v>561</v>
      </c>
      <c r="E156" s="227" t="s">
        <v>174</v>
      </c>
      <c r="F156" s="214" t="s">
        <v>2063</v>
      </c>
      <c r="G156" s="23" t="s">
        <v>1192</v>
      </c>
      <c r="H156" s="227" t="s">
        <v>1167</v>
      </c>
      <c r="I156" s="227" t="s">
        <v>741</v>
      </c>
      <c r="J156" s="194" t="s">
        <v>178</v>
      </c>
      <c r="K156" s="79" t="s">
        <v>233</v>
      </c>
      <c r="L156" s="227" t="s">
        <v>1348</v>
      </c>
      <c r="M156" s="227"/>
      <c r="N156" s="228" t="s">
        <v>2064</v>
      </c>
      <c r="O156" t="s">
        <v>2065</v>
      </c>
      <c r="P156" s="239" t="s">
        <v>2066</v>
      </c>
      <c r="Q156" s="214">
        <v>44136</v>
      </c>
      <c r="R156" s="214">
        <v>45378</v>
      </c>
      <c r="S156" s="214"/>
      <c r="T156" s="231" t="s">
        <v>2067</v>
      </c>
      <c r="U156" s="231" t="s">
        <v>2068</v>
      </c>
      <c r="V156" s="201" t="s">
        <v>278</v>
      </c>
      <c r="W156" s="231"/>
      <c r="Z156" s="203">
        <f t="shared" ca="1" si="82"/>
        <v>2025</v>
      </c>
      <c r="AA156" s="203">
        <f t="shared" ca="1" si="61"/>
        <v>783</v>
      </c>
      <c r="AB156" s="232"/>
      <c r="AC156" s="232"/>
      <c r="AD156" s="78" t="s">
        <v>2069</v>
      </c>
      <c r="AE156" s="78" t="s">
        <v>190</v>
      </c>
      <c r="AF156" s="78" t="s">
        <v>191</v>
      </c>
      <c r="AG156" s="78" t="s">
        <v>191</v>
      </c>
      <c r="AH156" s="23" t="s">
        <v>161</v>
      </c>
      <c r="AI156" s="23" t="s">
        <v>817</v>
      </c>
      <c r="AJ156" s="23" t="s">
        <v>569</v>
      </c>
      <c r="AK156" s="233" t="s">
        <v>818</v>
      </c>
      <c r="AL156" s="78" t="s">
        <v>2070</v>
      </c>
      <c r="AM156" s="206" t="s">
        <v>2071</v>
      </c>
      <c r="AN156" s="207" t="s">
        <v>2072</v>
      </c>
      <c r="AO156" s="78" t="s">
        <v>197</v>
      </c>
      <c r="AP156" s="78" t="s">
        <v>198</v>
      </c>
      <c r="AQ156" s="201" t="s">
        <v>2073</v>
      </c>
      <c r="AS156" s="209" t="s">
        <v>200</v>
      </c>
      <c r="AT156" s="23" t="s">
        <v>201</v>
      </c>
      <c r="AU156" s="23" t="s">
        <v>435</v>
      </c>
      <c r="AV156" s="210" t="s">
        <v>454</v>
      </c>
      <c r="AW156" s="211">
        <v>4260000</v>
      </c>
      <c r="AX156" s="175">
        <v>4260000</v>
      </c>
      <c r="AY156" s="212">
        <v>12</v>
      </c>
      <c r="AZ156" s="213">
        <f t="shared" si="63"/>
        <v>51120000</v>
      </c>
      <c r="BC156" s="214">
        <v>45839</v>
      </c>
      <c r="BD156" s="235">
        <v>33000000</v>
      </c>
      <c r="BE156" s="215">
        <v>34080000</v>
      </c>
      <c r="BF156" s="215">
        <f t="shared" si="66"/>
        <v>34080000</v>
      </c>
      <c r="BG156" s="215">
        <f t="shared" si="67"/>
        <v>2840000</v>
      </c>
      <c r="BH156" s="215">
        <v>2363900</v>
      </c>
      <c r="BI156" s="216">
        <f t="shared" si="81"/>
        <v>12267.46</v>
      </c>
      <c r="BJ156" s="216">
        <f>IF(AT156="통상",209,VLOOKUP(AD156,'[2]스케줄 분석_20260109'!$B$3:$F$20,5,FALSE))</f>
        <v>209</v>
      </c>
      <c r="BK156" s="216">
        <f>IF(AT156="통상",15,VLOOKUP(AD156,'[2]스케줄 분석_20260109'!$B$3:$P$20,10,FALSE))</f>
        <v>15</v>
      </c>
      <c r="BL156" s="216">
        <f>IF(AT156="통상",0,VLOOKUP(AD156,'[2]스케줄 분석_20260109'!$B$3:$P$20,11,FALSE))</f>
        <v>0</v>
      </c>
      <c r="BM156" s="215">
        <f t="shared" si="68"/>
        <v>276100</v>
      </c>
      <c r="BN156" s="175">
        <f t="shared" si="69"/>
        <v>0</v>
      </c>
      <c r="BO156" s="213">
        <v>200000</v>
      </c>
      <c r="BP156" s="175">
        <f>IF(OR(AT156="스케줄",AT156="스케줄_파라"),ROUNDUP(VLOOKUP(AD156,'[2]스케줄 분석_20260109'!$B$3:$Y$20,23,FALSE)*(VLOOKUP(AD156,'[2]스케줄 분석_20260109'!$B$3:$Y$20,21,FALSE)/VLOOKUP(AD156,'[2]스케줄 분석_20260109'!$B$3:$Y$20,20,FALSE))*VLOOKUP(AD156,'[2]스케줄 분석_20260109'!$B$3:$Y$20,22,FALSE)*VLOOKUP(AD156,'[2]스케줄 분석_20260109'!$B$3:$Y$20,2,FALSE)*1.5*BI156,0),0)</f>
        <v>0</v>
      </c>
      <c r="BQ156" s="217" t="str">
        <f t="shared" si="70"/>
        <v>적합</v>
      </c>
      <c r="BR156" s="213"/>
      <c r="BS156" s="218">
        <f t="shared" si="71"/>
        <v>490698.39999999997</v>
      </c>
      <c r="BT156" s="219">
        <f t="shared" si="72"/>
        <v>2880891.5333333332</v>
      </c>
      <c r="BU156" s="175">
        <f t="shared" si="73"/>
        <v>1504800</v>
      </c>
      <c r="BV156" s="175">
        <f t="shared" si="74"/>
        <v>1290339.0719999999</v>
      </c>
      <c r="BW156" s="175">
        <f t="shared" si="75"/>
        <v>491040</v>
      </c>
      <c r="BX156" s="175">
        <f t="shared" si="76"/>
        <v>209088</v>
      </c>
      <c r="BY156" s="213">
        <f t="shared" si="65"/>
        <v>3550000</v>
      </c>
      <c r="BZ156" s="220">
        <f t="shared" si="77"/>
        <v>37451589.93333333</v>
      </c>
      <c r="CA156" s="213">
        <f t="shared" ref="CA156:CA187" si="83">SUM(BU156:BX156)</f>
        <v>3495267.0719999997</v>
      </c>
      <c r="CB156" s="221">
        <f t="shared" si="79"/>
        <v>42600000</v>
      </c>
      <c r="CC156" s="222">
        <f t="shared" si="80"/>
        <v>8520000</v>
      </c>
      <c r="CD156" s="223">
        <f t="shared" si="64"/>
        <v>16.666666666666664</v>
      </c>
      <c r="CE156" s="262"/>
      <c r="CF156" s="262"/>
      <c r="CG156" s="23" t="s">
        <v>1679</v>
      </c>
      <c r="CH156" s="23" t="s">
        <v>1710</v>
      </c>
      <c r="CJ156" s="111"/>
      <c r="CK156" s="187"/>
      <c r="CL156" s="188"/>
      <c r="CM156" s="111"/>
      <c r="CN156" s="111"/>
      <c r="CO156" s="111"/>
      <c r="CP156" s="111"/>
      <c r="CQ156" s="111"/>
      <c r="CR156" s="111"/>
      <c r="CS156" s="111"/>
      <c r="CT156" s="111"/>
      <c r="CU156" s="111"/>
      <c r="CV156" s="111"/>
      <c r="CW156" s="111"/>
      <c r="CX156" s="111"/>
      <c r="CY156" s="111"/>
      <c r="CZ156" s="111"/>
      <c r="DA156" s="111"/>
      <c r="DB156" s="111"/>
      <c r="DC156" s="111"/>
      <c r="DD156" s="111"/>
      <c r="DE156" s="111"/>
      <c r="DF156" s="111"/>
      <c r="DG156" s="111"/>
      <c r="DH156" s="111"/>
      <c r="DI156" s="111"/>
      <c r="DJ156" s="111"/>
      <c r="DK156" s="111"/>
    </row>
    <row r="157" spans="1:117" ht="17.25" customHeight="1">
      <c r="A157" s="23">
        <f t="shared" si="62"/>
        <v>154</v>
      </c>
      <c r="B157" s="23" t="s">
        <v>439</v>
      </c>
      <c r="C157" s="190">
        <v>2024019</v>
      </c>
      <c r="D157" s="194" t="s">
        <v>2045</v>
      </c>
      <c r="E157" s="227" t="s">
        <v>2046</v>
      </c>
      <c r="F157" s="227" t="s">
        <v>2074</v>
      </c>
      <c r="G157" s="23" t="s">
        <v>1010</v>
      </c>
      <c r="H157" s="227" t="s">
        <v>992</v>
      </c>
      <c r="I157" s="227" t="s">
        <v>741</v>
      </c>
      <c r="J157" s="194" t="s">
        <v>178</v>
      </c>
      <c r="K157" s="79" t="s">
        <v>993</v>
      </c>
      <c r="L157" s="227" t="s">
        <v>2075</v>
      </c>
      <c r="M157" s="227" t="s">
        <v>1013</v>
      </c>
      <c r="N157" s="228" t="s">
        <v>2076</v>
      </c>
      <c r="O157" t="s">
        <v>2077</v>
      </c>
      <c r="P157" s="229" t="s">
        <v>2078</v>
      </c>
      <c r="Q157" s="214">
        <v>42445</v>
      </c>
      <c r="R157" s="214">
        <v>45419</v>
      </c>
      <c r="S157" s="214"/>
      <c r="T157" s="231" t="s">
        <v>1469</v>
      </c>
      <c r="U157" s="231" t="s">
        <v>1086</v>
      </c>
      <c r="V157" s="201" t="s">
        <v>278</v>
      </c>
      <c r="Z157" s="203">
        <f t="shared" ca="1" si="82"/>
        <v>3716</v>
      </c>
      <c r="AA157" s="203">
        <f t="shared" ca="1" si="61"/>
        <v>742</v>
      </c>
      <c r="AB157" s="232"/>
      <c r="AC157" s="232"/>
      <c r="AD157" s="78" t="s">
        <v>1264</v>
      </c>
      <c r="AE157" s="78" t="s">
        <v>833</v>
      </c>
      <c r="AF157" s="78" t="s">
        <v>191</v>
      </c>
      <c r="AG157" s="78" t="s">
        <v>191</v>
      </c>
      <c r="AH157" s="23" t="s">
        <v>161</v>
      </c>
      <c r="AI157" s="23" t="s">
        <v>1021</v>
      </c>
      <c r="AJ157" s="23" t="s">
        <v>1008</v>
      </c>
      <c r="AK157" s="23" t="s">
        <v>1022</v>
      </c>
      <c r="AL157" s="78" t="s">
        <v>1023</v>
      </c>
      <c r="AM157" s="269">
        <v>28414</v>
      </c>
      <c r="AN157" s="207" t="s">
        <v>2079</v>
      </c>
      <c r="AO157" s="78" t="s">
        <v>401</v>
      </c>
      <c r="AP157" s="201" t="s">
        <v>1004</v>
      </c>
      <c r="AQ157" s="201" t="s">
        <v>1005</v>
      </c>
      <c r="AS157" s="209" t="s">
        <v>1006</v>
      </c>
      <c r="AT157" s="23" t="s">
        <v>434</v>
      </c>
      <c r="AU157" s="23" t="s">
        <v>435</v>
      </c>
      <c r="AV157" s="210" t="s">
        <v>454</v>
      </c>
      <c r="AW157" s="211">
        <v>5151000</v>
      </c>
      <c r="AX157" s="175">
        <v>5151000</v>
      </c>
      <c r="AY157" s="212">
        <v>12</v>
      </c>
      <c r="AZ157" s="213">
        <f t="shared" si="63"/>
        <v>61812000</v>
      </c>
      <c r="BC157" s="214">
        <v>45839</v>
      </c>
      <c r="BD157" s="215">
        <v>35401680</v>
      </c>
      <c r="BE157" s="215">
        <v>36841200</v>
      </c>
      <c r="BF157" s="215">
        <f t="shared" si="66"/>
        <v>36841200</v>
      </c>
      <c r="BG157" s="215">
        <f t="shared" si="67"/>
        <v>3070100</v>
      </c>
      <c r="BH157" s="215">
        <v>2208800</v>
      </c>
      <c r="BI157" s="216">
        <f t="shared" si="81"/>
        <v>15409.42</v>
      </c>
      <c r="BJ157" s="216">
        <f>IF(AT157="통상",209,VLOOKUP(AD157,'[2]스케줄 분석_20260109'!$B$3:$F$20,5,FALSE))</f>
        <v>156.32000000000002</v>
      </c>
      <c r="BK157" s="216">
        <f>IF(AT157="통상",15,VLOOKUP(AD157,'[2]스케줄 분석_20260109'!$B$3:$P$20,10,FALSE))</f>
        <v>36.39</v>
      </c>
      <c r="BL157" s="216">
        <f>IF(AT157="통상",0,VLOOKUP(AD157,'[2]스케줄 분석_20260109'!$B$3:$P$20,11,FALSE))</f>
        <v>49.43</v>
      </c>
      <c r="BM157" s="215">
        <f t="shared" si="68"/>
        <v>280400</v>
      </c>
      <c r="BN157" s="175">
        <f t="shared" si="69"/>
        <v>380900</v>
      </c>
      <c r="BO157" s="213">
        <v>200000</v>
      </c>
      <c r="BP157" s="175">
        <f>IF(OR(AT157="스케줄",AT157="스케줄_파라"),ROUNDUP(VLOOKUP(AD157,'[2]스케줄 분석_20260109'!$B$3:$Y$20,23,FALSE)*(VLOOKUP(AD157,'[2]스케줄 분석_20260109'!$B$3:$Y$20,21,FALSE)/VLOOKUP(AD157,'[2]스케줄 분석_20260109'!$B$3:$Y$20,20,FALSE))*VLOOKUP(AD157,'[2]스케줄 분석_20260109'!$B$3:$Y$20,22,FALSE)*VLOOKUP(AD157,'[2]스케줄 분석_20260109'!$B$3:$Y$20,2,FALSE)*1.5*BI157,0),0)</f>
        <v>2900824</v>
      </c>
      <c r="BQ157" s="217" t="str">
        <f t="shared" si="70"/>
        <v>적합</v>
      </c>
      <c r="BR157" s="213"/>
      <c r="BS157" s="218">
        <f t="shared" si="71"/>
        <v>1540942</v>
      </c>
      <c r="BT157" s="219">
        <f t="shared" si="72"/>
        <v>3198511.8333333335</v>
      </c>
      <c r="BU157" s="175">
        <f t="shared" si="73"/>
        <v>1635957</v>
      </c>
      <c r="BV157" s="175">
        <f t="shared" si="74"/>
        <v>1402803.8524799999</v>
      </c>
      <c r="BW157" s="175">
        <f t="shared" si="75"/>
        <v>533838.6</v>
      </c>
      <c r="BX157" s="175">
        <f t="shared" si="76"/>
        <v>227311.92</v>
      </c>
      <c r="BY157" s="213">
        <f t="shared" si="65"/>
        <v>3837625</v>
      </c>
      <c r="BZ157" s="220">
        <f t="shared" si="77"/>
        <v>41580653.833333336</v>
      </c>
      <c r="CA157" s="213">
        <f t="shared" si="83"/>
        <v>3799911.3724799999</v>
      </c>
      <c r="CB157" s="221">
        <f t="shared" si="79"/>
        <v>46051500</v>
      </c>
      <c r="CC157" s="222">
        <f t="shared" si="80"/>
        <v>12250502.960000001</v>
      </c>
      <c r="CD157" s="223">
        <f t="shared" si="64"/>
        <v>19.818971979550899</v>
      </c>
      <c r="CG157" s="23" t="s">
        <v>1722</v>
      </c>
      <c r="CH157" s="23" t="s">
        <v>1810</v>
      </c>
      <c r="CK157" s="187"/>
      <c r="CL157" s="188"/>
    </row>
    <row r="158" spans="1:117" ht="17.25" customHeight="1">
      <c r="A158" s="23">
        <f t="shared" si="62"/>
        <v>155</v>
      </c>
      <c r="B158" s="23" t="s">
        <v>439</v>
      </c>
      <c r="C158" s="190">
        <v>2024023</v>
      </c>
      <c r="D158" s="194" t="s">
        <v>561</v>
      </c>
      <c r="E158" s="227" t="s">
        <v>839</v>
      </c>
      <c r="F158" s="227" t="s">
        <v>2080</v>
      </c>
      <c r="G158" s="23" t="s">
        <v>412</v>
      </c>
      <c r="H158" s="227" t="s">
        <v>1622</v>
      </c>
      <c r="I158" s="227" t="s">
        <v>1454</v>
      </c>
      <c r="J158" s="194" t="s">
        <v>178</v>
      </c>
      <c r="K158" s="79" t="s">
        <v>841</v>
      </c>
      <c r="L158" s="227" t="s">
        <v>2081</v>
      </c>
      <c r="M158" s="227"/>
      <c r="N158" s="228" t="s">
        <v>2082</v>
      </c>
      <c r="O158" t="s">
        <v>2083</v>
      </c>
      <c r="P158" s="239" t="s">
        <v>2084</v>
      </c>
      <c r="Q158" s="214">
        <v>45460</v>
      </c>
      <c r="R158" s="214">
        <v>45460</v>
      </c>
      <c r="S158" s="230"/>
      <c r="T158" s="231" t="s">
        <v>2085</v>
      </c>
      <c r="U158" s="201" t="s">
        <v>2086</v>
      </c>
      <c r="V158" s="201" t="s">
        <v>290</v>
      </c>
      <c r="Z158" s="203">
        <v>400</v>
      </c>
      <c r="AA158" s="203">
        <f t="shared" ca="1" si="61"/>
        <v>701</v>
      </c>
      <c r="AB158" s="232"/>
      <c r="AC158" s="232"/>
      <c r="AD158" s="78" t="s">
        <v>21</v>
      </c>
      <c r="AE158" s="78" t="s">
        <v>190</v>
      </c>
      <c r="AF158" s="78" t="s">
        <v>191</v>
      </c>
      <c r="AG158" s="78" t="s">
        <v>191</v>
      </c>
      <c r="AH158" s="23" t="s">
        <v>161</v>
      </c>
      <c r="AI158" s="23" t="s">
        <v>192</v>
      </c>
      <c r="AJ158" s="23" t="s">
        <v>569</v>
      </c>
      <c r="AK158" s="233" t="s">
        <v>193</v>
      </c>
      <c r="AL158" s="78" t="s">
        <v>570</v>
      </c>
      <c r="AM158" s="206" t="s">
        <v>2087</v>
      </c>
      <c r="AN158" s="207" t="s">
        <v>2088</v>
      </c>
      <c r="AO158" s="78" t="s">
        <v>197</v>
      </c>
      <c r="AP158" s="78" t="s">
        <v>198</v>
      </c>
      <c r="AQ158" s="201" t="s">
        <v>851</v>
      </c>
      <c r="AS158" s="209" t="s">
        <v>200</v>
      </c>
      <c r="AT158" s="23" t="s">
        <v>434</v>
      </c>
      <c r="AU158" s="23" t="s">
        <v>435</v>
      </c>
      <c r="AV158" s="210" t="s">
        <v>454</v>
      </c>
      <c r="AW158" s="211">
        <v>3799000</v>
      </c>
      <c r="AX158" s="175">
        <v>3799000</v>
      </c>
      <c r="AY158" s="212">
        <v>12</v>
      </c>
      <c r="AZ158" s="213">
        <f t="shared" si="63"/>
        <v>45588000</v>
      </c>
      <c r="BC158" s="214">
        <v>45839</v>
      </c>
      <c r="BD158" s="215">
        <v>29040480</v>
      </c>
      <c r="BE158" s="215">
        <v>29762400</v>
      </c>
      <c r="BF158" s="215">
        <f t="shared" si="66"/>
        <v>29762400</v>
      </c>
      <c r="BG158" s="215">
        <f t="shared" si="67"/>
        <v>2480200</v>
      </c>
      <c r="BH158" s="215">
        <v>1896500</v>
      </c>
      <c r="BI158" s="216">
        <f t="shared" si="81"/>
        <v>11173.59</v>
      </c>
      <c r="BJ158" s="216">
        <f>IF(AT158="통상",209,VLOOKUP(AD158,'[2]스케줄 분석_20260109'!$B$3:$F$20,5,FALSE))</f>
        <v>187.63</v>
      </c>
      <c r="BK158" s="216">
        <f>IF(AT158="통상",15,VLOOKUP(AD158,'[2]스케줄 분석_20260109'!$B$3:$P$20,10,FALSE))</f>
        <v>29.11</v>
      </c>
      <c r="BL158" s="216">
        <f>IF(AT158="통상",0,VLOOKUP(AD158,'[2]스케줄 분석_20260109'!$B$3:$P$20,11,FALSE))</f>
        <v>39.54</v>
      </c>
      <c r="BM158" s="215">
        <f t="shared" si="68"/>
        <v>162700</v>
      </c>
      <c r="BN158" s="175">
        <f t="shared" si="69"/>
        <v>221000</v>
      </c>
      <c r="BO158" s="213">
        <v>200000</v>
      </c>
      <c r="BP158" s="175">
        <f>IF(OR(AT158="스케줄",AT158="스케줄_파라"),ROUNDUP(VLOOKUP(AD158,'[2]스케줄 분석_20260109'!$B$3:$Y$20,23,FALSE)*(VLOOKUP(AD158,'[2]스케줄 분석_20260109'!$B$3:$Y$20,21,FALSE)/VLOOKUP(AD158,'[2]스케줄 분석_20260109'!$B$3:$Y$20,20,FALSE))*VLOOKUP(AD158,'[2]스케줄 분석_20260109'!$B$3:$Y$20,22,FALSE)*VLOOKUP(AD158,'[2]스케줄 분석_20260109'!$B$3:$Y$20,2,FALSE)*1.5*BI158,0),0)</f>
        <v>2258154</v>
      </c>
      <c r="BQ158" s="217" t="str">
        <f t="shared" si="70"/>
        <v>적합</v>
      </c>
      <c r="BR158" s="213"/>
      <c r="BS158" s="218">
        <f t="shared" si="71"/>
        <v>1117359</v>
      </c>
      <c r="BT158" s="219">
        <f t="shared" si="72"/>
        <v>2573313.25</v>
      </c>
      <c r="BU158" s="175">
        <f t="shared" si="73"/>
        <v>1299714</v>
      </c>
      <c r="BV158" s="175">
        <f t="shared" si="74"/>
        <v>1114481.4969599999</v>
      </c>
      <c r="BW158" s="175">
        <f t="shared" si="75"/>
        <v>424117.2</v>
      </c>
      <c r="BX158" s="175">
        <f t="shared" si="76"/>
        <v>180591.84</v>
      </c>
      <c r="BY158" s="213">
        <f t="shared" si="65"/>
        <v>3100250</v>
      </c>
      <c r="BZ158" s="220">
        <f t="shared" si="77"/>
        <v>33453072.25</v>
      </c>
      <c r="CA158" s="213">
        <f t="shared" si="83"/>
        <v>3018904.5369600002</v>
      </c>
      <c r="CB158" s="221">
        <f t="shared" si="79"/>
        <v>37203000</v>
      </c>
      <c r="CC158" s="222">
        <f t="shared" si="80"/>
        <v>5652633.6600000001</v>
      </c>
      <c r="CD158" s="223">
        <f t="shared" si="64"/>
        <v>12.399389444590682</v>
      </c>
      <c r="CE158" s="283"/>
      <c r="CF158" s="283"/>
      <c r="CG158" s="23" t="s">
        <v>339</v>
      </c>
      <c r="CH158" s="23" t="s">
        <v>1710</v>
      </c>
      <c r="CK158" s="187"/>
      <c r="CL158" s="188"/>
    </row>
    <row r="159" spans="1:117" ht="17.25" customHeight="1">
      <c r="A159" s="23">
        <f t="shared" si="62"/>
        <v>156</v>
      </c>
      <c r="B159" s="23" t="s">
        <v>439</v>
      </c>
      <c r="C159" s="190">
        <v>2024024</v>
      </c>
      <c r="D159" s="194" t="s">
        <v>2089</v>
      </c>
      <c r="E159" s="227" t="s">
        <v>2090</v>
      </c>
      <c r="F159" s="227" t="s">
        <v>2090</v>
      </c>
      <c r="G159" s="23" t="s">
        <v>2091</v>
      </c>
      <c r="H159" s="227" t="s">
        <v>1225</v>
      </c>
      <c r="I159" s="23" t="s">
        <v>741</v>
      </c>
      <c r="J159" s="194" t="s">
        <v>178</v>
      </c>
      <c r="K159" s="79" t="s">
        <v>641</v>
      </c>
      <c r="L159" s="227" t="s">
        <v>2092</v>
      </c>
      <c r="M159" s="227"/>
      <c r="N159" s="228" t="s">
        <v>2093</v>
      </c>
      <c r="O159" s="240" t="s">
        <v>2094</v>
      </c>
      <c r="P159" s="239" t="s">
        <v>2095</v>
      </c>
      <c r="Q159" s="214">
        <v>40575</v>
      </c>
      <c r="R159" s="214">
        <v>45474</v>
      </c>
      <c r="S159" s="214"/>
      <c r="T159" s="231" t="s">
        <v>2096</v>
      </c>
      <c r="U159" s="231"/>
      <c r="V159" s="201" t="s">
        <v>186</v>
      </c>
      <c r="W159" s="231" t="s">
        <v>2097</v>
      </c>
      <c r="Z159" s="203">
        <f t="shared" ref="Z159:Z166" ca="1" si="84">IF(Q159&lt;&gt;"",$A$1-Q159,"")</f>
        <v>5586</v>
      </c>
      <c r="AA159" s="203">
        <f t="shared" ca="1" si="61"/>
        <v>687</v>
      </c>
      <c r="AB159" s="232"/>
      <c r="AC159" s="232"/>
      <c r="AD159" s="78" t="s">
        <v>189</v>
      </c>
      <c r="AE159" s="78" t="s">
        <v>190</v>
      </c>
      <c r="AF159" s="78" t="s">
        <v>191</v>
      </c>
      <c r="AG159" s="78" t="s">
        <v>191</v>
      </c>
      <c r="AH159" s="23" t="s">
        <v>161</v>
      </c>
      <c r="AI159" s="23" t="s">
        <v>192</v>
      </c>
      <c r="AJ159" s="23" t="s">
        <v>569</v>
      </c>
      <c r="AK159" s="233" t="s">
        <v>193</v>
      </c>
      <c r="AL159" s="78" t="s">
        <v>2098</v>
      </c>
      <c r="AM159" s="206" t="s">
        <v>2099</v>
      </c>
      <c r="AN159" s="207" t="s">
        <v>2100</v>
      </c>
      <c r="AO159" s="78" t="s">
        <v>197</v>
      </c>
      <c r="AP159" s="78" t="s">
        <v>2101</v>
      </c>
      <c r="AQ159" s="201" t="s">
        <v>2102</v>
      </c>
      <c r="AS159" s="209" t="s">
        <v>2103</v>
      </c>
      <c r="AT159" s="23" t="s">
        <v>201</v>
      </c>
      <c r="AU159" s="23" t="s">
        <v>435</v>
      </c>
      <c r="AV159" s="210" t="s">
        <v>454</v>
      </c>
      <c r="AW159" s="251">
        <v>5304000</v>
      </c>
      <c r="AX159" s="175">
        <v>5304000</v>
      </c>
      <c r="AY159" s="212">
        <v>12</v>
      </c>
      <c r="AZ159" s="213">
        <f t="shared" si="63"/>
        <v>63648000</v>
      </c>
      <c r="BA159" s="234"/>
      <c r="BB159" s="234"/>
      <c r="BC159" s="214">
        <v>45870</v>
      </c>
      <c r="BD159" s="215">
        <v>43008000</v>
      </c>
      <c r="BE159" s="215">
        <v>43872000</v>
      </c>
      <c r="BF159" s="215">
        <f t="shared" si="66"/>
        <v>43872000</v>
      </c>
      <c r="BG159" s="215">
        <f t="shared" si="67"/>
        <v>3656000</v>
      </c>
      <c r="BH159" s="215">
        <v>3100600</v>
      </c>
      <c r="BI159" s="216">
        <f t="shared" si="81"/>
        <v>15792.34</v>
      </c>
      <c r="BJ159" s="216">
        <f>IF(AT159="통상",209,VLOOKUP(AD159,'[2]스케줄 분석_20260109'!$B$3:$F$20,5,FALSE))</f>
        <v>209</v>
      </c>
      <c r="BK159" s="216">
        <f>IF(AT159="통상",15,VLOOKUP(AD159,'[2]스케줄 분석_20260109'!$B$3:$P$20,10,FALSE))</f>
        <v>15</v>
      </c>
      <c r="BL159" s="216">
        <f>IF(AT159="통상",0,VLOOKUP(AD159,'[2]스케줄 분석_20260109'!$B$3:$P$20,11,FALSE))</f>
        <v>0</v>
      </c>
      <c r="BM159" s="215">
        <f t="shared" si="68"/>
        <v>355400</v>
      </c>
      <c r="BN159" s="175">
        <f t="shared" si="69"/>
        <v>0</v>
      </c>
      <c r="BO159" s="213">
        <v>200000</v>
      </c>
      <c r="BP159" s="175">
        <f>IF(OR(AT159="스케줄",AT159="스케줄_파라"),ROUNDUP(VLOOKUP(AD159,'[2]스케줄 분석_20260109'!$B$3:$Y$20,23,FALSE)*(VLOOKUP(AD159,'[2]스케줄 분석_20260109'!$B$3:$Y$20,21,FALSE)/VLOOKUP(AD159,'[2]스케줄 분석_20260109'!$B$3:$Y$20,20,FALSE))*VLOOKUP(AD159,'[2]스케줄 분석_20260109'!$B$3:$Y$20,22,FALSE)*VLOOKUP(AD159,'[2]스케줄 분석_20260109'!$B$3:$Y$20,2,FALSE)*1.5*BI159,0),0)</f>
        <v>0</v>
      </c>
      <c r="BQ159" s="217" t="str">
        <f t="shared" si="70"/>
        <v>적합</v>
      </c>
      <c r="BR159" s="213"/>
      <c r="BS159" s="218">
        <f t="shared" si="71"/>
        <v>631693.6</v>
      </c>
      <c r="BT159" s="219">
        <f t="shared" si="72"/>
        <v>3708641.1333333333</v>
      </c>
      <c r="BU159" s="175">
        <f t="shared" si="73"/>
        <v>1969920</v>
      </c>
      <c r="BV159" s="175">
        <f t="shared" si="74"/>
        <v>1689171.1488000001</v>
      </c>
      <c r="BW159" s="175">
        <f t="shared" si="75"/>
        <v>642816</v>
      </c>
      <c r="BX159" s="175">
        <f t="shared" si="76"/>
        <v>273715.20000000001</v>
      </c>
      <c r="BY159" s="213">
        <f t="shared" si="65"/>
        <v>4570000</v>
      </c>
      <c r="BZ159" s="220">
        <f t="shared" si="77"/>
        <v>48212334.733333334</v>
      </c>
      <c r="CA159" s="213">
        <f t="shared" si="83"/>
        <v>4575622.3488000007</v>
      </c>
      <c r="CB159" s="221">
        <f t="shared" si="79"/>
        <v>54840000</v>
      </c>
      <c r="CC159" s="222">
        <f t="shared" si="80"/>
        <v>8808000</v>
      </c>
      <c r="CD159" s="223">
        <f t="shared" si="64"/>
        <v>13.838612368024133</v>
      </c>
      <c r="CG159" s="23" t="s">
        <v>2104</v>
      </c>
      <c r="CH159" s="23" t="s">
        <v>1710</v>
      </c>
      <c r="CI159" s="78" t="s">
        <v>2105</v>
      </c>
      <c r="CK159" s="187"/>
      <c r="CL159" s="188"/>
    </row>
    <row r="160" spans="1:117" ht="17.25" customHeight="1">
      <c r="A160" s="23">
        <f t="shared" si="62"/>
        <v>157</v>
      </c>
      <c r="B160" s="23" t="s">
        <v>439</v>
      </c>
      <c r="C160" s="190">
        <v>2024025</v>
      </c>
      <c r="D160" s="201" t="s">
        <v>2106</v>
      </c>
      <c r="E160" s="23" t="s">
        <v>2107</v>
      </c>
      <c r="F160" s="23" t="s">
        <v>2107</v>
      </c>
      <c r="G160" s="23" t="s">
        <v>1192</v>
      </c>
      <c r="H160" s="23" t="s">
        <v>1167</v>
      </c>
      <c r="I160" s="23" t="s">
        <v>741</v>
      </c>
      <c r="J160" s="194" t="s">
        <v>178</v>
      </c>
      <c r="K160" s="79" t="s">
        <v>233</v>
      </c>
      <c r="L160" s="23" t="s">
        <v>1384</v>
      </c>
      <c r="N160" s="229" t="s">
        <v>2108</v>
      </c>
      <c r="O160" s="313" t="s">
        <v>2109</v>
      </c>
      <c r="P160" s="247" t="s">
        <v>2110</v>
      </c>
      <c r="Q160" s="214">
        <v>43617</v>
      </c>
      <c r="R160" s="214">
        <v>45474</v>
      </c>
      <c r="T160" s="201" t="s">
        <v>2111</v>
      </c>
      <c r="U160" s="201" t="s">
        <v>2112</v>
      </c>
      <c r="V160" s="201" t="s">
        <v>2113</v>
      </c>
      <c r="W160" s="201" t="s">
        <v>2114</v>
      </c>
      <c r="X160" s="201" t="s">
        <v>378</v>
      </c>
      <c r="Y160" s="201" t="s">
        <v>2115</v>
      </c>
      <c r="Z160" s="203">
        <f t="shared" ca="1" si="84"/>
        <v>2544</v>
      </c>
      <c r="AA160" s="203">
        <f t="shared" ca="1" si="61"/>
        <v>687</v>
      </c>
      <c r="AD160" s="78" t="s">
        <v>2116</v>
      </c>
      <c r="AE160" s="78" t="s">
        <v>217</v>
      </c>
      <c r="AF160" s="78" t="s">
        <v>160</v>
      </c>
      <c r="AG160" s="78" t="s">
        <v>160</v>
      </c>
      <c r="AH160" s="23" t="s">
        <v>2117</v>
      </c>
      <c r="AI160" s="23" t="s">
        <v>2118</v>
      </c>
      <c r="AJ160" s="23" t="s">
        <v>2107</v>
      </c>
      <c r="AK160" s="23">
        <v>13487</v>
      </c>
      <c r="AL160" s="78" t="s">
        <v>2119</v>
      </c>
      <c r="AM160" s="269" t="s">
        <v>2120</v>
      </c>
      <c r="AN160" s="78" t="s">
        <v>2121</v>
      </c>
      <c r="AO160" s="78" t="s">
        <v>2122</v>
      </c>
      <c r="AP160" s="78" t="s">
        <v>2123</v>
      </c>
      <c r="AQ160" s="201" t="s">
        <v>2124</v>
      </c>
      <c r="AS160" s="209" t="s">
        <v>2125</v>
      </c>
      <c r="AT160" s="23" t="s">
        <v>201</v>
      </c>
      <c r="AU160" s="23" t="s">
        <v>435</v>
      </c>
      <c r="AV160" s="210" t="s">
        <v>454</v>
      </c>
      <c r="AW160" s="306">
        <v>5300000</v>
      </c>
      <c r="AX160" s="148">
        <v>5300000</v>
      </c>
      <c r="AY160" s="23">
        <v>12</v>
      </c>
      <c r="AZ160" s="213">
        <f t="shared" si="63"/>
        <v>63600000</v>
      </c>
      <c r="BC160" s="214">
        <v>45839</v>
      </c>
      <c r="BD160" s="304">
        <v>43008000</v>
      </c>
      <c r="BE160" s="215">
        <v>44208000</v>
      </c>
      <c r="BF160" s="215">
        <f t="shared" si="66"/>
        <v>44208000</v>
      </c>
      <c r="BG160" s="215">
        <f t="shared" si="67"/>
        <v>3684000</v>
      </c>
      <c r="BH160" s="215">
        <v>3125900</v>
      </c>
      <c r="BI160" s="216">
        <f t="shared" si="81"/>
        <v>15913.4</v>
      </c>
      <c r="BJ160" s="216">
        <f>IF(AT160="통상",209,VLOOKUP(AD160,'[2]스케줄 분석_20260109'!$B$3:$F$20,5,FALSE))</f>
        <v>209</v>
      </c>
      <c r="BK160" s="216">
        <f>IF(AT160="통상",15,VLOOKUP(AD160,'[2]스케줄 분석_20260109'!$B$3:$P$20,10,FALSE))</f>
        <v>15</v>
      </c>
      <c r="BL160" s="216">
        <f>IF(AT160="통상",0,VLOOKUP(AD160,'[2]스케줄 분석_20260109'!$B$3:$P$20,11,FALSE))</f>
        <v>0</v>
      </c>
      <c r="BM160" s="215">
        <f t="shared" si="68"/>
        <v>358100</v>
      </c>
      <c r="BN160" s="175">
        <f t="shared" si="69"/>
        <v>0</v>
      </c>
      <c r="BO160" s="213">
        <v>200000</v>
      </c>
      <c r="BP160" s="175">
        <f>IF(OR(AT160="스케줄",AT160="스케줄_파라"),ROUNDUP(VLOOKUP(AD160,'[2]스케줄 분석_20260109'!$B$3:$Y$20,23,FALSE)*(VLOOKUP(AD160,'[2]스케줄 분석_20260109'!$B$3:$Y$20,21,FALSE)/VLOOKUP(AD160,'[2]스케줄 분석_20260109'!$B$3:$Y$20,20,FALSE))*VLOOKUP(AD160,'[2]스케줄 분석_20260109'!$B$3:$Y$20,22,FALSE)*VLOOKUP(AD160,'[2]스케줄 분석_20260109'!$B$3:$Y$20,2,FALSE)*1.5*BI160,0),0)</f>
        <v>0</v>
      </c>
      <c r="BQ160" s="217" t="str">
        <f t="shared" si="70"/>
        <v>적합</v>
      </c>
      <c r="BS160" s="218">
        <f t="shared" si="71"/>
        <v>636536</v>
      </c>
      <c r="BT160" s="219">
        <f t="shared" si="72"/>
        <v>3737044.6666666665</v>
      </c>
      <c r="BU160" s="175">
        <f t="shared" si="73"/>
        <v>1985880</v>
      </c>
      <c r="BV160" s="175">
        <f t="shared" si="74"/>
        <v>1702856.5632</v>
      </c>
      <c r="BW160" s="175">
        <f t="shared" si="75"/>
        <v>648024</v>
      </c>
      <c r="BX160" s="175">
        <f t="shared" si="76"/>
        <v>275932.79999999999</v>
      </c>
      <c r="BY160" s="213">
        <f t="shared" si="65"/>
        <v>4605000</v>
      </c>
      <c r="BZ160" s="220">
        <f t="shared" si="77"/>
        <v>48581580.666666664</v>
      </c>
      <c r="CA160" s="213">
        <f t="shared" si="83"/>
        <v>4612693.3631999996</v>
      </c>
      <c r="CB160" s="221">
        <f t="shared" si="79"/>
        <v>55260000</v>
      </c>
      <c r="CC160" s="222">
        <f t="shared" si="80"/>
        <v>8340000</v>
      </c>
      <c r="CD160" s="223">
        <f t="shared" si="64"/>
        <v>13.113207547169811</v>
      </c>
      <c r="CG160" s="23" t="s">
        <v>1887</v>
      </c>
      <c r="CH160" s="23" t="s">
        <v>340</v>
      </c>
      <c r="CK160" s="187"/>
      <c r="CL160" s="188"/>
    </row>
    <row r="161" spans="1:117" ht="17.25" customHeight="1">
      <c r="A161" s="23">
        <f>ROW()-3</f>
        <v>158</v>
      </c>
      <c r="B161" s="23" t="s">
        <v>439</v>
      </c>
      <c r="C161" s="286">
        <v>2024026</v>
      </c>
      <c r="D161" s="194" t="s">
        <v>989</v>
      </c>
      <c r="E161" s="227" t="s">
        <v>990</v>
      </c>
      <c r="F161" s="227" t="s">
        <v>2126</v>
      </c>
      <c r="G161" s="23" t="s">
        <v>412</v>
      </c>
      <c r="H161" s="227" t="s">
        <v>1167</v>
      </c>
      <c r="I161" s="227" t="s">
        <v>741</v>
      </c>
      <c r="J161" s="194" t="s">
        <v>178</v>
      </c>
      <c r="K161" s="79" t="s">
        <v>1168</v>
      </c>
      <c r="L161" s="227" t="s">
        <v>2127</v>
      </c>
      <c r="M161" s="227"/>
      <c r="N161" s="228" t="s">
        <v>2128</v>
      </c>
      <c r="O161" t="s">
        <v>2129</v>
      </c>
      <c r="P161" s="229" t="s">
        <v>2130</v>
      </c>
      <c r="Q161" s="214">
        <v>45495</v>
      </c>
      <c r="R161" s="214">
        <v>45495</v>
      </c>
      <c r="S161" s="214"/>
      <c r="T161" s="231" t="s">
        <v>2131</v>
      </c>
      <c r="U161" s="231" t="s">
        <v>2132</v>
      </c>
      <c r="V161" s="201" t="s">
        <v>316</v>
      </c>
      <c r="Z161" s="203">
        <f ca="1">IF(Q161&lt;&gt;"",$A$1-Q161,"")</f>
        <v>666</v>
      </c>
      <c r="AA161" s="203">
        <f ca="1">$A$1-R161</f>
        <v>666</v>
      </c>
      <c r="AB161" s="232"/>
      <c r="AC161" s="232"/>
      <c r="AD161" s="78" t="s">
        <v>1035</v>
      </c>
      <c r="AE161" s="78" t="s">
        <v>217</v>
      </c>
      <c r="AF161" s="78" t="s">
        <v>191</v>
      </c>
      <c r="AG161" s="78" t="s">
        <v>191</v>
      </c>
      <c r="AH161" s="23" t="s">
        <v>161</v>
      </c>
      <c r="AI161" s="23" t="s">
        <v>365</v>
      </c>
      <c r="AJ161" s="23" t="s">
        <v>990</v>
      </c>
      <c r="AK161" s="23" t="s">
        <v>1000</v>
      </c>
      <c r="AL161" s="78" t="s">
        <v>2133</v>
      </c>
      <c r="AM161" s="227">
        <v>17338</v>
      </c>
      <c r="AN161" s="79" t="s">
        <v>2134</v>
      </c>
      <c r="AO161" s="78" t="s">
        <v>401</v>
      </c>
      <c r="AP161" s="78" t="s">
        <v>1038</v>
      </c>
      <c r="AQ161" s="201" t="s">
        <v>433</v>
      </c>
      <c r="AS161" s="209" t="s">
        <v>1006</v>
      </c>
      <c r="AT161" s="23" t="s">
        <v>201</v>
      </c>
      <c r="AU161" s="23" t="s">
        <v>435</v>
      </c>
      <c r="AV161" s="210" t="s">
        <v>454</v>
      </c>
      <c r="AW161" s="306">
        <v>4179000</v>
      </c>
      <c r="AX161" s="234">
        <v>4179000</v>
      </c>
      <c r="AY161" s="212">
        <v>12</v>
      </c>
      <c r="AZ161" s="213">
        <f>AX161*AY161</f>
        <v>50148000</v>
      </c>
      <c r="BA161" s="251"/>
      <c r="BB161" s="251"/>
      <c r="BC161" s="310">
        <v>46082</v>
      </c>
      <c r="BD161" s="22">
        <v>29041080</v>
      </c>
      <c r="BE161" s="235">
        <v>29821200</v>
      </c>
      <c r="BF161" s="311">
        <f>BG161*12</f>
        <v>31800000</v>
      </c>
      <c r="BG161" s="235">
        <f>BH161+BM161+BN161+BO161</f>
        <v>2650000</v>
      </c>
      <c r="BH161" s="235">
        <v>2192400</v>
      </c>
      <c r="BI161" s="312">
        <f>ROUND((BH161+BO161)/BJ161,2)</f>
        <v>11446.89</v>
      </c>
      <c r="BJ161" s="312">
        <v>209</v>
      </c>
      <c r="BK161" s="312">
        <v>15</v>
      </c>
      <c r="BL161" s="312">
        <v>0</v>
      </c>
      <c r="BM161" s="235">
        <f>IF(OR(AT161="통상",AT161="스케줄_파라"),ROUNDUP(BI161*BK161*1.5,-2),IF(OR(AT161="스케줄",AT161="휴직_스케줄"),ROUNDUP(BI161*BK161*0.5,-2),"확인바람"))</f>
        <v>257600</v>
      </c>
      <c r="BN161" s="213">
        <f>ROUNDUP(BI161*BL161*0.5,-2)</f>
        <v>0</v>
      </c>
      <c r="BO161" s="213">
        <v>200000</v>
      </c>
      <c r="BP161" s="213">
        <v>0</v>
      </c>
      <c r="BQ161" s="217" t="str">
        <f>IF(BI161&gt;=$D$1,"적합","미달")</f>
        <v>적합</v>
      </c>
      <c r="BR161" s="213"/>
      <c r="BS161" s="219">
        <f>IF(AT161="통상",BI161*8*5,IF(OR(AT161="스케줄",AT161="스케줄_파라"),BI161*100,"확인"))</f>
        <v>457875.6</v>
      </c>
      <c r="BT161" s="219">
        <f>BG161+BS161/12</f>
        <v>2688156.3</v>
      </c>
      <c r="BU161" s="213">
        <f>(BF161-BO161*12)*0.0475</f>
        <v>1396500</v>
      </c>
      <c r="BV161" s="213">
        <f>(BF161-BO161*12)*0.036+(BF161-BO161*12)*0.036*0.1314</f>
        <v>1197473.76</v>
      </c>
      <c r="BW161" s="213">
        <f>(BF161-BO161*12)*(0.009+0.0065)</f>
        <v>455700</v>
      </c>
      <c r="BX161" s="213">
        <f>(BF161-BO161*12)*0.0066</f>
        <v>194040</v>
      </c>
      <c r="BY161" s="213">
        <f>CB161/AY161</f>
        <v>3312500</v>
      </c>
      <c r="BZ161" s="220">
        <f>SUM(BF161,BS161:BT161)</f>
        <v>34946031.899999999</v>
      </c>
      <c r="CA161" s="213">
        <f>SUM(BU161:BX161)</f>
        <v>3243713.76</v>
      </c>
      <c r="CB161" s="220">
        <f>BF161*1.25</f>
        <v>39750000</v>
      </c>
      <c r="CC161" s="222">
        <f>AZ161-CB161-BP161*1.21</f>
        <v>10398000</v>
      </c>
      <c r="CD161" s="301">
        <f>IFERROR((CC161/AZ161)*100,0)</f>
        <v>20.734625508494855</v>
      </c>
      <c r="CE161" s="283"/>
      <c r="CF161" s="283"/>
      <c r="CG161" s="23" t="s">
        <v>1744</v>
      </c>
      <c r="CH161" s="23" t="s">
        <v>1810</v>
      </c>
      <c r="CI161" s="111"/>
      <c r="CK161" s="187"/>
      <c r="CL161" s="188"/>
    </row>
    <row r="162" spans="1:117" ht="17.25" customHeight="1">
      <c r="A162" s="23">
        <f t="shared" si="62"/>
        <v>159</v>
      </c>
      <c r="B162" s="23" t="s">
        <v>439</v>
      </c>
      <c r="C162" s="190">
        <v>2024027</v>
      </c>
      <c r="D162" s="201" t="s">
        <v>2135</v>
      </c>
      <c r="E162" s="23" t="s">
        <v>2046</v>
      </c>
      <c r="F162" s="23" t="s">
        <v>2136</v>
      </c>
      <c r="G162" s="23" t="s">
        <v>1724</v>
      </c>
      <c r="H162" s="23" t="s">
        <v>826</v>
      </c>
      <c r="I162" s="23" t="s">
        <v>1204</v>
      </c>
      <c r="J162" s="201" t="s">
        <v>232</v>
      </c>
      <c r="K162" s="79" t="s">
        <v>1401</v>
      </c>
      <c r="L162" s="23" t="s">
        <v>2137</v>
      </c>
      <c r="N162" s="229" t="s">
        <v>2138</v>
      </c>
      <c r="O162" t="s">
        <v>2139</v>
      </c>
      <c r="P162" s="247" t="s">
        <v>2140</v>
      </c>
      <c r="Q162" s="214">
        <v>45495</v>
      </c>
      <c r="R162" s="214">
        <v>45495</v>
      </c>
      <c r="T162" s="201" t="s">
        <v>2141</v>
      </c>
      <c r="U162" s="201" t="s">
        <v>2142</v>
      </c>
      <c r="V162" s="201" t="s">
        <v>290</v>
      </c>
      <c r="W162" s="201" t="s">
        <v>2143</v>
      </c>
      <c r="X162" s="200" t="s">
        <v>2144</v>
      </c>
      <c r="Z162" s="203">
        <f t="shared" ca="1" si="84"/>
        <v>666</v>
      </c>
      <c r="AA162" s="203">
        <f t="shared" ca="1" si="61"/>
        <v>666</v>
      </c>
      <c r="AB162" s="214"/>
      <c r="AD162" s="78" t="s">
        <v>1470</v>
      </c>
      <c r="AE162" s="78" t="s">
        <v>833</v>
      </c>
      <c r="AF162" s="78" t="s">
        <v>191</v>
      </c>
      <c r="AG162" s="78" t="s">
        <v>191</v>
      </c>
      <c r="AH162" s="23" t="s">
        <v>161</v>
      </c>
      <c r="AI162" s="23" t="s">
        <v>2145</v>
      </c>
      <c r="AJ162" s="23" t="s">
        <v>2046</v>
      </c>
      <c r="AK162" s="23" t="s">
        <v>1022</v>
      </c>
      <c r="AL162" s="78" t="s">
        <v>1023</v>
      </c>
      <c r="AM162" s="269" t="s">
        <v>1527</v>
      </c>
      <c r="AN162" s="78" t="s">
        <v>2146</v>
      </c>
      <c r="AO162" s="78" t="s">
        <v>401</v>
      </c>
      <c r="AP162" s="78" t="s">
        <v>2147</v>
      </c>
      <c r="AQ162" s="201" t="s">
        <v>433</v>
      </c>
      <c r="AS162" s="209" t="s">
        <v>1006</v>
      </c>
      <c r="AT162" s="23" t="s">
        <v>434</v>
      </c>
      <c r="AU162" s="23" t="s">
        <v>435</v>
      </c>
      <c r="AV162" s="210" t="s">
        <v>454</v>
      </c>
      <c r="AW162" s="306">
        <v>4179000</v>
      </c>
      <c r="AX162" s="148">
        <v>4179000</v>
      </c>
      <c r="AY162" s="23">
        <v>12</v>
      </c>
      <c r="AZ162" s="213">
        <f t="shared" si="63"/>
        <v>50148000</v>
      </c>
      <c r="BC162" s="214">
        <v>45839</v>
      </c>
      <c r="BD162" s="215">
        <v>29040600</v>
      </c>
      <c r="BE162" s="215">
        <v>29809200</v>
      </c>
      <c r="BF162" s="215">
        <f t="shared" si="66"/>
        <v>29809200</v>
      </c>
      <c r="BG162" s="215">
        <f t="shared" si="67"/>
        <v>2484100</v>
      </c>
      <c r="BH162" s="215">
        <v>1976700</v>
      </c>
      <c r="BI162" s="216">
        <f t="shared" si="81"/>
        <v>11094.86</v>
      </c>
      <c r="BJ162" s="216">
        <f>IF(AT162="통상",209,VLOOKUP(AD162,'[2]스케줄 분석_20260109'!$B$3:$F$20,5,FALSE))</f>
        <v>196.19</v>
      </c>
      <c r="BK162" s="216">
        <f>IF(AT162="통상",15,VLOOKUP(AD162,'[2]스케줄 분석_20260109'!$B$3:$P$20,10,FALSE))</f>
        <v>2.17</v>
      </c>
      <c r="BL162" s="216">
        <f>IF(AT162="통상",0,VLOOKUP(AD162,'[2]스케줄 분석_20260109'!$B$3:$P$20,11,FALSE))</f>
        <v>53.23</v>
      </c>
      <c r="BM162" s="215">
        <f t="shared" si="68"/>
        <v>12100</v>
      </c>
      <c r="BN162" s="175">
        <f t="shared" si="69"/>
        <v>295300</v>
      </c>
      <c r="BO162" s="213">
        <v>200000</v>
      </c>
      <c r="BP162" s="175">
        <f>IF(OR(AT162="스케줄",AT162="스케줄_파라"),ROUNDUP(VLOOKUP(AD162,'[2]스케줄 분석_20260109'!$B$3:$Y$20,23,FALSE)*(VLOOKUP(AD162,'[2]스케줄 분석_20260109'!$B$3:$Y$20,21,FALSE)/VLOOKUP(AD162,'[2]스케줄 분석_20260109'!$B$3:$Y$20,20,FALSE))*VLOOKUP(AD162,'[2]스케줄 분석_20260109'!$B$3:$Y$20,22,FALSE)*VLOOKUP(AD162,'[2]스케줄 분석_20260109'!$B$3:$Y$20,2,FALSE)*1.5*BI162,0),0)</f>
        <v>2009557</v>
      </c>
      <c r="BQ162" s="217" t="str">
        <f t="shared" si="70"/>
        <v>적합</v>
      </c>
      <c r="BR162" s="213"/>
      <c r="BS162" s="218">
        <f t="shared" si="71"/>
        <v>1109486</v>
      </c>
      <c r="BT162" s="219">
        <f t="shared" si="72"/>
        <v>2576557.1666666665</v>
      </c>
      <c r="BU162" s="175">
        <f t="shared" si="73"/>
        <v>1301937</v>
      </c>
      <c r="BV162" s="175">
        <f t="shared" si="74"/>
        <v>1116387.6796800001</v>
      </c>
      <c r="BW162" s="175">
        <f t="shared" si="75"/>
        <v>424842.6</v>
      </c>
      <c r="BX162" s="175">
        <f t="shared" si="76"/>
        <v>180900.72</v>
      </c>
      <c r="BY162" s="213">
        <f t="shared" si="65"/>
        <v>3105125</v>
      </c>
      <c r="BZ162" s="220">
        <f t="shared" si="77"/>
        <v>33495243.166666668</v>
      </c>
      <c r="CA162" s="213">
        <f t="shared" si="83"/>
        <v>3024067.9996800004</v>
      </c>
      <c r="CB162" s="221">
        <f t="shared" si="79"/>
        <v>37261500</v>
      </c>
      <c r="CC162" s="222">
        <f t="shared" si="80"/>
        <v>10454936.030000001</v>
      </c>
      <c r="CD162" s="223">
        <f t="shared" si="64"/>
        <v>20.84816150195422</v>
      </c>
      <c r="CE162" s="283"/>
      <c r="CF162" s="283"/>
      <c r="CG162" s="23" t="s">
        <v>339</v>
      </c>
      <c r="CH162" s="23" t="s">
        <v>1810</v>
      </c>
      <c r="CK162" s="187"/>
      <c r="CL162" s="188"/>
    </row>
    <row r="163" spans="1:117" ht="17.25" customHeight="1">
      <c r="A163" s="23">
        <f>ROW()-3</f>
        <v>160</v>
      </c>
      <c r="B163" s="23" t="s">
        <v>439</v>
      </c>
      <c r="C163" s="190">
        <v>2024031</v>
      </c>
      <c r="D163" s="201" t="s">
        <v>989</v>
      </c>
      <c r="E163" s="23" t="s">
        <v>990</v>
      </c>
      <c r="F163" s="23" t="s">
        <v>2148</v>
      </c>
      <c r="G163" s="23" t="s">
        <v>412</v>
      </c>
      <c r="H163" s="23" t="s">
        <v>1167</v>
      </c>
      <c r="I163" s="23" t="s">
        <v>741</v>
      </c>
      <c r="J163" s="201" t="s">
        <v>178</v>
      </c>
      <c r="K163" s="78" t="s">
        <v>233</v>
      </c>
      <c r="L163" s="227" t="s">
        <v>356</v>
      </c>
      <c r="M163" s="23" t="s">
        <v>445</v>
      </c>
      <c r="N163" s="229" t="s">
        <v>2149</v>
      </c>
      <c r="O163" s="314" t="s">
        <v>2150</v>
      </c>
      <c r="P163" s="229" t="s">
        <v>2151</v>
      </c>
      <c r="Q163" s="214">
        <v>45536</v>
      </c>
      <c r="R163" s="214">
        <v>45536</v>
      </c>
      <c r="S163" s="214"/>
      <c r="T163" s="231" t="s">
        <v>2152</v>
      </c>
      <c r="U163" s="231" t="s">
        <v>2153</v>
      </c>
      <c r="V163" s="201" t="s">
        <v>334</v>
      </c>
      <c r="W163" s="201" t="s">
        <v>2154</v>
      </c>
      <c r="Z163" s="203">
        <f ca="1">IF(Q163&lt;&gt;"",$A$1-Q163,"")</f>
        <v>625</v>
      </c>
      <c r="AA163" s="203">
        <f ca="1">$A$1-R163</f>
        <v>625</v>
      </c>
      <c r="AB163" s="315"/>
      <c r="AC163" s="315"/>
      <c r="AD163" s="314" t="s">
        <v>381</v>
      </c>
      <c r="AE163" s="78" t="s">
        <v>217</v>
      </c>
      <c r="AG163" s="78" t="s">
        <v>191</v>
      </c>
      <c r="AH163" s="23" t="s">
        <v>161</v>
      </c>
      <c r="AI163" s="23" t="s">
        <v>365</v>
      </c>
      <c r="AJ163" s="23" t="s">
        <v>990</v>
      </c>
      <c r="AK163" s="23" t="s">
        <v>1000</v>
      </c>
      <c r="AL163" s="78" t="s">
        <v>2133</v>
      </c>
      <c r="AM163" s="23">
        <v>17329</v>
      </c>
      <c r="AN163" s="78" t="s">
        <v>2155</v>
      </c>
      <c r="AO163" s="78" t="s">
        <v>401</v>
      </c>
      <c r="AP163" s="78" t="s">
        <v>1038</v>
      </c>
      <c r="AQ163" s="201" t="s">
        <v>1178</v>
      </c>
      <c r="AS163" s="209" t="s">
        <v>1006</v>
      </c>
      <c r="AT163" s="23" t="s">
        <v>201</v>
      </c>
      <c r="AU163" s="23" t="s">
        <v>435</v>
      </c>
      <c r="AV163" s="210" t="s">
        <v>454</v>
      </c>
      <c r="AW163" s="306">
        <v>4179000</v>
      </c>
      <c r="AX163" s="213">
        <v>5100000</v>
      </c>
      <c r="AY163" s="212">
        <v>12</v>
      </c>
      <c r="AZ163" s="213">
        <f>AX163*AY163</f>
        <v>61200000</v>
      </c>
      <c r="BA163" s="213"/>
      <c r="BB163" s="213"/>
      <c r="BC163" s="310">
        <v>46082</v>
      </c>
      <c r="BD163" s="235">
        <v>27500880</v>
      </c>
      <c r="BE163" s="235">
        <v>29998800</v>
      </c>
      <c r="BF163" s="311">
        <f>BG163*12</f>
        <v>34000800</v>
      </c>
      <c r="BG163" s="235">
        <f>BH163+BM163+BN163+BO163</f>
        <v>2833400</v>
      </c>
      <c r="BH163" s="235">
        <v>2358000</v>
      </c>
      <c r="BI163" s="312">
        <f>ROUND((BH163+BO163)/BJ163,2)</f>
        <v>12239.23</v>
      </c>
      <c r="BJ163" s="312">
        <v>209</v>
      </c>
      <c r="BK163" s="312">
        <v>15</v>
      </c>
      <c r="BL163" s="312">
        <v>0</v>
      </c>
      <c r="BM163" s="235">
        <f>IF(OR(AT163="통상",AT163="스케줄_파라"),ROUNDUP(BI163*BK163*1.5,-2),IF(OR(AT163="스케줄",AT163="휴직_스케줄"),ROUNDUP(BI163*BK163*0.5,-2),"확인바람"))</f>
        <v>275400</v>
      </c>
      <c r="BN163" s="213">
        <f>ROUNDUP(BI163*BL163*0.5,-2)</f>
        <v>0</v>
      </c>
      <c r="BO163" s="213">
        <v>200000</v>
      </c>
      <c r="BP163" s="213">
        <v>0</v>
      </c>
      <c r="BQ163" s="217" t="str">
        <f>IF(BI163&gt;=$D$1,"적합","미달")</f>
        <v>적합</v>
      </c>
      <c r="BR163" s="213"/>
      <c r="BS163" s="219">
        <f>IF(AT163="통상",BI163*8*5,IF(OR(AT163="스케줄",AT163="스케줄_파라"),BI163*100,"확인"))</f>
        <v>489569.19999999995</v>
      </c>
      <c r="BT163" s="219">
        <f>BG163+BS163/12</f>
        <v>2874197.4333333331</v>
      </c>
      <c r="BU163" s="213">
        <f>(BF163-BO163*12)*0.0475</f>
        <v>1501038</v>
      </c>
      <c r="BV163" s="213">
        <f>(BF163-BO163*12)*0.036+(BF163-BO163*12)*0.036*0.1314</f>
        <v>1287113.2243199998</v>
      </c>
      <c r="BW163" s="213">
        <f>(BF163-BO163*12)*(0.009+0.0065)</f>
        <v>489812.4</v>
      </c>
      <c r="BX163" s="213">
        <f>(BF163-BO163*12)*0.0066</f>
        <v>208565.28</v>
      </c>
      <c r="BY163" s="213">
        <f>CB163/AY163</f>
        <v>3541750</v>
      </c>
      <c r="BZ163" s="220">
        <f>SUM(BF163,BS163:BT163)</f>
        <v>37364566.633333333</v>
      </c>
      <c r="CA163" s="213">
        <f>SUM(BU163:BX163)</f>
        <v>3486528.9043199997</v>
      </c>
      <c r="CB163" s="220">
        <f>BF163*1.25</f>
        <v>42501000</v>
      </c>
      <c r="CC163" s="222">
        <f>AZ163-CB163-BP163*1.21</f>
        <v>18699000</v>
      </c>
      <c r="CD163" s="301">
        <f>IFERROR((CC163/AZ163)*100,0)</f>
        <v>30.553921568627452</v>
      </c>
      <c r="CE163" s="283"/>
      <c r="CF163" s="283"/>
      <c r="CG163" s="23" t="s">
        <v>437</v>
      </c>
      <c r="CH163" s="23" t="s">
        <v>340</v>
      </c>
      <c r="CI163" s="111"/>
      <c r="CK163" s="187"/>
      <c r="CL163" s="188"/>
    </row>
    <row r="164" spans="1:117" ht="17.25" customHeight="1">
      <c r="A164" s="23">
        <f t="shared" si="62"/>
        <v>161</v>
      </c>
      <c r="B164" s="23" t="s">
        <v>439</v>
      </c>
      <c r="C164" s="190">
        <v>2025022</v>
      </c>
      <c r="D164" s="302" t="s">
        <v>2156</v>
      </c>
      <c r="E164" s="227" t="s">
        <v>410</v>
      </c>
      <c r="F164" s="227" t="s">
        <v>2157</v>
      </c>
      <c r="G164" s="23" t="s">
        <v>412</v>
      </c>
      <c r="H164" s="227" t="s">
        <v>413</v>
      </c>
      <c r="I164" s="227" t="s">
        <v>414</v>
      </c>
      <c r="J164" s="194" t="s">
        <v>178</v>
      </c>
      <c r="K164" s="79" t="s">
        <v>1401</v>
      </c>
      <c r="L164" s="227" t="s">
        <v>2158</v>
      </c>
      <c r="M164" s="227" t="s">
        <v>417</v>
      </c>
      <c r="N164" s="228" t="s">
        <v>2159</v>
      </c>
      <c r="O164" s="303" t="s">
        <v>2160</v>
      </c>
      <c r="P164" s="229" t="s">
        <v>2161</v>
      </c>
      <c r="Q164" s="214">
        <v>45778</v>
      </c>
      <c r="R164" s="214">
        <v>45778</v>
      </c>
      <c r="S164" s="214"/>
      <c r="T164" s="231" t="s">
        <v>2162</v>
      </c>
      <c r="U164" s="231" t="s">
        <v>2163</v>
      </c>
      <c r="V164" s="201" t="s">
        <v>334</v>
      </c>
      <c r="W164" s="200" t="s">
        <v>425</v>
      </c>
      <c r="X164" s="200"/>
      <c r="Y164" s="200"/>
      <c r="Z164" s="203">
        <f t="shared" ca="1" si="84"/>
        <v>383</v>
      </c>
      <c r="AA164" s="203">
        <f t="shared" ca="1" si="61"/>
        <v>383</v>
      </c>
      <c r="AB164" s="232"/>
      <c r="AC164" s="232"/>
      <c r="AD164" s="78" t="s">
        <v>426</v>
      </c>
      <c r="AE164" s="78" t="s">
        <v>217</v>
      </c>
      <c r="AF164" s="78" t="s">
        <v>218</v>
      </c>
      <c r="AG164" s="78" t="s">
        <v>218</v>
      </c>
      <c r="AH164" s="23" t="s">
        <v>161</v>
      </c>
      <c r="AI164" s="23" t="s">
        <v>162</v>
      </c>
      <c r="AJ164" s="23" t="s">
        <v>427</v>
      </c>
      <c r="AK164" s="23">
        <v>13486</v>
      </c>
      <c r="AL164" s="78" t="s">
        <v>428</v>
      </c>
      <c r="AM164" s="206" t="s">
        <v>2164</v>
      </c>
      <c r="AN164" s="207" t="s">
        <v>2165</v>
      </c>
      <c r="AO164" s="78" t="s">
        <v>431</v>
      </c>
      <c r="AP164" s="264" t="s">
        <v>432</v>
      </c>
      <c r="AQ164" s="264" t="s">
        <v>433</v>
      </c>
      <c r="AS164" s="209" t="s">
        <v>453</v>
      </c>
      <c r="AT164" s="23" t="s">
        <v>434</v>
      </c>
      <c r="AU164" s="23" t="s">
        <v>435</v>
      </c>
      <c r="AV164" s="210" t="s">
        <v>454</v>
      </c>
      <c r="AW164" s="265">
        <v>4117000</v>
      </c>
      <c r="AX164" s="175">
        <v>4117000</v>
      </c>
      <c r="AY164" s="236">
        <v>12</v>
      </c>
      <c r="AZ164" s="175">
        <f t="shared" si="63"/>
        <v>49404000</v>
      </c>
      <c r="BA164" s="175"/>
      <c r="BB164" s="175"/>
      <c r="BC164" s="230">
        <v>46023</v>
      </c>
      <c r="BD164" s="215">
        <v>27504000</v>
      </c>
      <c r="BE164" s="215">
        <v>27504000</v>
      </c>
      <c r="BF164" s="261">
        <f t="shared" si="66"/>
        <v>28202400</v>
      </c>
      <c r="BG164" s="215">
        <f t="shared" si="67"/>
        <v>2350200</v>
      </c>
      <c r="BH164" s="215">
        <v>1698900.0000000002</v>
      </c>
      <c r="BI164" s="216">
        <f t="shared" si="81"/>
        <v>10320.11</v>
      </c>
      <c r="BJ164" s="216">
        <f>IF(AT164="통상",209,VLOOKUP(AD164,'[2]스케줄 분석_20260109'!$B$3:$F$20,5,FALSE))</f>
        <v>184</v>
      </c>
      <c r="BK164" s="216">
        <f>IF(AT164="통상",15,VLOOKUP(AD164,'[2]스케줄 분석_20260109'!$B$3:$P$20,10,FALSE))</f>
        <v>38.020000000000003</v>
      </c>
      <c r="BL164" s="216">
        <f>IF(AT164="통상",0,VLOOKUP(AD164,'[2]스케줄 분석_20260109'!$B$3:$P$20,11,FALSE))</f>
        <v>49.43</v>
      </c>
      <c r="BM164" s="215">
        <f t="shared" si="68"/>
        <v>196200</v>
      </c>
      <c r="BN164" s="215">
        <f t="shared" si="69"/>
        <v>255100</v>
      </c>
      <c r="BO164" s="175">
        <v>200000</v>
      </c>
      <c r="BP164" s="175">
        <f>IF(OR(AT164="스케줄",AT164="스케줄_파라"),ROUNDUP(VLOOKUP(AD164,'[2]스케줄 분석_20260109'!$B$3:$Y$20,23,FALSE)*(VLOOKUP(AD164,'[2]스케줄 분석_20260109'!$B$3:$Y$20,21,FALSE)/VLOOKUP(AD164,'[2]스케줄 분석_20260109'!$B$3:$Y$20,20,FALSE))*VLOOKUP(AD164,'[2]스케줄 분석_20260109'!$B$3:$Y$20,22,FALSE)*VLOOKUP(AD164,'[2]스케줄 분석_20260109'!$B$3:$Y$20,2,FALSE)*1.5*BI164,0),0)</f>
        <v>1869230</v>
      </c>
      <c r="BQ164" s="217" t="str">
        <f t="shared" si="70"/>
        <v>적합</v>
      </c>
      <c r="BR164" s="175"/>
      <c r="BS164" s="218">
        <f t="shared" si="71"/>
        <v>1032011</v>
      </c>
      <c r="BT164" s="218">
        <f t="shared" si="72"/>
        <v>2436200.9166666665</v>
      </c>
      <c r="BU164" s="175">
        <f t="shared" si="73"/>
        <v>1225614</v>
      </c>
      <c r="BV164" s="175">
        <f t="shared" si="74"/>
        <v>1050942.0729599998</v>
      </c>
      <c r="BW164" s="175">
        <f t="shared" si="75"/>
        <v>399937.2</v>
      </c>
      <c r="BX164" s="175">
        <f t="shared" si="76"/>
        <v>170295.84</v>
      </c>
      <c r="BY164" s="175">
        <f t="shared" si="65"/>
        <v>2937750</v>
      </c>
      <c r="BZ164" s="292">
        <f t="shared" si="77"/>
        <v>31670611.916666668</v>
      </c>
      <c r="CA164" s="175">
        <f t="shared" si="83"/>
        <v>2846789.1129599996</v>
      </c>
      <c r="CB164" s="292">
        <f t="shared" si="79"/>
        <v>35253000</v>
      </c>
      <c r="CC164" s="294">
        <f t="shared" si="80"/>
        <v>11889231.699999999</v>
      </c>
      <c r="CD164" s="301">
        <f t="shared" si="64"/>
        <v>24.065322038701318</v>
      </c>
      <c r="CG164" s="23" t="s">
        <v>2166</v>
      </c>
      <c r="CH164" s="23" t="s">
        <v>438</v>
      </c>
      <c r="CK164" s="187"/>
      <c r="CL164" s="188"/>
    </row>
    <row r="165" spans="1:117" ht="17.25" customHeight="1">
      <c r="A165" s="23">
        <f t="shared" si="62"/>
        <v>162</v>
      </c>
      <c r="B165" s="23" t="s">
        <v>439</v>
      </c>
      <c r="C165" s="190">
        <v>2024037</v>
      </c>
      <c r="D165" s="194" t="s">
        <v>474</v>
      </c>
      <c r="E165" s="227" t="s">
        <v>656</v>
      </c>
      <c r="F165" s="227" t="s">
        <v>2167</v>
      </c>
      <c r="G165" s="23" t="s">
        <v>1724</v>
      </c>
      <c r="H165" s="227" t="s">
        <v>992</v>
      </c>
      <c r="I165" s="227" t="s">
        <v>741</v>
      </c>
      <c r="J165" s="194" t="s">
        <v>178</v>
      </c>
      <c r="K165" s="79" t="s">
        <v>233</v>
      </c>
      <c r="L165" s="227" t="s">
        <v>2168</v>
      </c>
      <c r="M165" s="227"/>
      <c r="N165" s="228" t="s">
        <v>2169</v>
      </c>
      <c r="O165" t="s">
        <v>2170</v>
      </c>
      <c r="P165" s="229" t="s">
        <v>2171</v>
      </c>
      <c r="Q165" s="214">
        <v>45078</v>
      </c>
      <c r="R165" s="214">
        <v>45586</v>
      </c>
      <c r="S165" s="214"/>
      <c r="T165" s="231" t="s">
        <v>1151</v>
      </c>
      <c r="U165" s="231" t="s">
        <v>1417</v>
      </c>
      <c r="V165" s="201" t="s">
        <v>394</v>
      </c>
      <c r="W165" s="200"/>
      <c r="X165" s="200"/>
      <c r="Y165" s="200"/>
      <c r="Z165" s="203">
        <f t="shared" ca="1" si="84"/>
        <v>1083</v>
      </c>
      <c r="AA165" s="203">
        <f t="shared" ca="1" si="61"/>
        <v>575</v>
      </c>
      <c r="AB165" s="232"/>
      <c r="AC165" s="232"/>
      <c r="AD165" s="78" t="s">
        <v>482</v>
      </c>
      <c r="AE165" s="78" t="s">
        <v>217</v>
      </c>
      <c r="AF165" s="78" t="s">
        <v>160</v>
      </c>
      <c r="AG165" s="78" t="s">
        <v>160</v>
      </c>
      <c r="AH165" s="23" t="s">
        <v>161</v>
      </c>
      <c r="AI165" s="23" t="s">
        <v>162</v>
      </c>
      <c r="AJ165" s="23" t="s">
        <v>483</v>
      </c>
      <c r="AK165" s="23">
        <v>13486</v>
      </c>
      <c r="AL165" s="78" t="s">
        <v>163</v>
      </c>
      <c r="AM165" s="206" t="s">
        <v>2172</v>
      </c>
      <c r="AN165" s="207" t="s">
        <v>2173</v>
      </c>
      <c r="AO165" s="78" t="s">
        <v>166</v>
      </c>
      <c r="AP165" s="78" t="s">
        <v>2174</v>
      </c>
      <c r="AQ165" s="201" t="s">
        <v>1372</v>
      </c>
      <c r="AS165" s="209" t="s">
        <v>488</v>
      </c>
      <c r="AT165" s="23" t="s">
        <v>201</v>
      </c>
      <c r="AU165" s="23" t="s">
        <v>435</v>
      </c>
      <c r="AV165" s="210" t="s">
        <v>454</v>
      </c>
      <c r="AW165" s="265">
        <v>4625000</v>
      </c>
      <c r="AX165" s="175">
        <v>4625000</v>
      </c>
      <c r="AY165" s="212">
        <v>12</v>
      </c>
      <c r="AZ165" s="213">
        <f t="shared" si="63"/>
        <v>55500000</v>
      </c>
      <c r="BA165" s="213"/>
      <c r="BB165" s="213"/>
      <c r="BC165" s="214">
        <v>45839</v>
      </c>
      <c r="BD165" s="271">
        <v>32004000</v>
      </c>
      <c r="BE165" s="215">
        <v>32841600</v>
      </c>
      <c r="BF165" s="215">
        <f t="shared" si="66"/>
        <v>32841600</v>
      </c>
      <c r="BG165" s="215">
        <f t="shared" si="67"/>
        <v>2736800</v>
      </c>
      <c r="BH165" s="215">
        <v>2270800</v>
      </c>
      <c r="BI165" s="216">
        <f t="shared" si="81"/>
        <v>11822.01</v>
      </c>
      <c r="BJ165" s="216">
        <f>IF(AT165="통상",209,VLOOKUP(AD165,'[2]스케줄 분석_20260109'!$B$3:$F$20,5,FALSE))</f>
        <v>209</v>
      </c>
      <c r="BK165" s="216">
        <f>IF(AT165="통상",15,VLOOKUP(AD165,'[2]스케줄 분석_20260109'!$B$3:$P$20,10,FALSE))</f>
        <v>15</v>
      </c>
      <c r="BL165" s="216">
        <f>IF(AT165="통상",0,VLOOKUP(AD165,'[2]스케줄 분석_20260109'!$B$3:$P$20,11,FALSE))</f>
        <v>0</v>
      </c>
      <c r="BM165" s="215">
        <f t="shared" si="68"/>
        <v>266000</v>
      </c>
      <c r="BN165" s="175">
        <f t="shared" si="69"/>
        <v>0</v>
      </c>
      <c r="BO165" s="213">
        <v>200000</v>
      </c>
      <c r="BP165" s="175">
        <f>IF(OR(AT165="스케줄",AT165="스케줄_파라"),ROUNDUP(VLOOKUP(AD165,'[2]스케줄 분석_20260109'!$B$3:$Y$20,23,FALSE)*(VLOOKUP(AD165,'[2]스케줄 분석_20260109'!$B$3:$Y$20,21,FALSE)/VLOOKUP(AD165,'[2]스케줄 분석_20260109'!$B$3:$Y$20,20,FALSE))*VLOOKUP(AD165,'[2]스케줄 분석_20260109'!$B$3:$Y$20,22,FALSE)*VLOOKUP(AD165,'[2]스케줄 분석_20260109'!$B$3:$Y$20,2,FALSE)*1.5*BI165,0),0)</f>
        <v>0</v>
      </c>
      <c r="BQ165" s="217" t="str">
        <f t="shared" si="70"/>
        <v>적합</v>
      </c>
      <c r="BR165" s="316"/>
      <c r="BS165" s="218">
        <f t="shared" si="71"/>
        <v>472880.4</v>
      </c>
      <c r="BT165" s="219">
        <f t="shared" si="72"/>
        <v>2776206.7</v>
      </c>
      <c r="BU165" s="175">
        <f t="shared" si="73"/>
        <v>1445976</v>
      </c>
      <c r="BV165" s="175">
        <f t="shared" si="74"/>
        <v>1239898.5446399997</v>
      </c>
      <c r="BW165" s="175">
        <f t="shared" si="75"/>
        <v>471844.8</v>
      </c>
      <c r="BX165" s="175">
        <f t="shared" si="76"/>
        <v>200914.56</v>
      </c>
      <c r="BY165" s="213">
        <f t="shared" si="65"/>
        <v>3421000</v>
      </c>
      <c r="BZ165" s="220">
        <f t="shared" si="77"/>
        <v>36090687.100000001</v>
      </c>
      <c r="CA165" s="213">
        <f t="shared" si="83"/>
        <v>3358633.9046399998</v>
      </c>
      <c r="CB165" s="221">
        <f t="shared" si="79"/>
        <v>41052000</v>
      </c>
      <c r="CC165" s="222">
        <f t="shared" si="80"/>
        <v>14448000</v>
      </c>
      <c r="CD165" s="223">
        <f t="shared" si="64"/>
        <v>26.032432432432433</v>
      </c>
      <c r="CE165" s="283"/>
      <c r="CF165" s="283"/>
      <c r="CG165" s="23" t="s">
        <v>1733</v>
      </c>
      <c r="CH165" s="23" t="s">
        <v>2175</v>
      </c>
      <c r="CK165" s="187"/>
      <c r="CL165" s="188"/>
    </row>
    <row r="166" spans="1:117" s="121" customFormat="1" ht="17.25" customHeight="1">
      <c r="A166" s="23">
        <f t="shared" si="62"/>
        <v>163</v>
      </c>
      <c r="B166" s="23" t="s">
        <v>439</v>
      </c>
      <c r="C166" s="190">
        <v>2024040</v>
      </c>
      <c r="D166" s="201" t="s">
        <v>2176</v>
      </c>
      <c r="E166" s="23" t="s">
        <v>2177</v>
      </c>
      <c r="F166" s="23" t="s">
        <v>2177</v>
      </c>
      <c r="G166" s="23" t="s">
        <v>1192</v>
      </c>
      <c r="H166" s="23" t="s">
        <v>2178</v>
      </c>
      <c r="I166" s="23" t="s">
        <v>741</v>
      </c>
      <c r="J166" s="194" t="s">
        <v>178</v>
      </c>
      <c r="K166" s="78" t="s">
        <v>2179</v>
      </c>
      <c r="L166" s="23" t="s">
        <v>1384</v>
      </c>
      <c r="M166" s="23"/>
      <c r="N166" s="229" t="s">
        <v>2180</v>
      </c>
      <c r="O166" s="197" t="s">
        <v>2181</v>
      </c>
      <c r="P166" s="247" t="s">
        <v>2182</v>
      </c>
      <c r="Q166" s="214">
        <v>44348</v>
      </c>
      <c r="R166" s="214">
        <v>45597</v>
      </c>
      <c r="S166" s="23"/>
      <c r="T166" s="201" t="s">
        <v>2183</v>
      </c>
      <c r="U166" s="201" t="s">
        <v>1963</v>
      </c>
      <c r="V166" s="201" t="s">
        <v>290</v>
      </c>
      <c r="W166" s="201"/>
      <c r="X166" s="201"/>
      <c r="Y166" s="201"/>
      <c r="Z166" s="203">
        <f t="shared" ca="1" si="84"/>
        <v>1813</v>
      </c>
      <c r="AA166" s="203">
        <f t="shared" ca="1" si="61"/>
        <v>564</v>
      </c>
      <c r="AB166" s="230"/>
      <c r="AC166" s="317"/>
      <c r="AD166" s="78" t="s">
        <v>2184</v>
      </c>
      <c r="AE166" s="78" t="s">
        <v>217</v>
      </c>
      <c r="AF166" s="78" t="s">
        <v>263</v>
      </c>
      <c r="AG166" s="78" t="s">
        <v>263</v>
      </c>
      <c r="AH166" s="23" t="s">
        <v>1115</v>
      </c>
      <c r="AI166" s="23" t="s">
        <v>2185</v>
      </c>
      <c r="AJ166" s="23" t="s">
        <v>296</v>
      </c>
      <c r="AK166" s="23">
        <v>13486</v>
      </c>
      <c r="AL166" s="78" t="s">
        <v>2186</v>
      </c>
      <c r="AM166" s="269" t="s">
        <v>2187</v>
      </c>
      <c r="AN166" s="78" t="s">
        <v>2188</v>
      </c>
      <c r="AO166" s="78" t="s">
        <v>2189</v>
      </c>
      <c r="AP166" s="78" t="s">
        <v>2190</v>
      </c>
      <c r="AQ166" s="201" t="s">
        <v>2191</v>
      </c>
      <c r="AR166" s="201"/>
      <c r="AS166" s="209" t="s">
        <v>2192</v>
      </c>
      <c r="AT166" s="23" t="s">
        <v>201</v>
      </c>
      <c r="AU166" s="23" t="s">
        <v>435</v>
      </c>
      <c r="AV166" s="210" t="s">
        <v>454</v>
      </c>
      <c r="AW166" s="318">
        <v>5300000</v>
      </c>
      <c r="AX166" s="148">
        <v>5300000</v>
      </c>
      <c r="AY166" s="23">
        <v>12</v>
      </c>
      <c r="AZ166" s="120">
        <f t="shared" si="63"/>
        <v>63600000</v>
      </c>
      <c r="BA166" s="78"/>
      <c r="BB166" s="78"/>
      <c r="BC166" s="214">
        <v>45597</v>
      </c>
      <c r="BD166" s="271">
        <v>37008000</v>
      </c>
      <c r="BE166" s="215">
        <v>37008000</v>
      </c>
      <c r="BF166" s="215">
        <f t="shared" si="66"/>
        <v>37008000</v>
      </c>
      <c r="BG166" s="215">
        <f t="shared" si="67"/>
        <v>3084000</v>
      </c>
      <c r="BH166" s="215">
        <v>2584200</v>
      </c>
      <c r="BI166" s="216">
        <f t="shared" si="81"/>
        <v>13321.53</v>
      </c>
      <c r="BJ166" s="216">
        <f>IF(AT166="통상",209,VLOOKUP(AD166,'[2]스케줄 분석_20260109'!$B$3:$F$20,5,FALSE))</f>
        <v>209</v>
      </c>
      <c r="BK166" s="216">
        <f>IF(AT166="통상",15,VLOOKUP(AD166,'[2]스케줄 분석_20260109'!$B$3:$P$20,10,FALSE))</f>
        <v>15</v>
      </c>
      <c r="BL166" s="216">
        <f>IF(AT166="통상",0,VLOOKUP(AD166,'[2]스케줄 분석_20260109'!$B$3:$P$20,11,FALSE))</f>
        <v>0</v>
      </c>
      <c r="BM166" s="215">
        <f t="shared" si="68"/>
        <v>299800</v>
      </c>
      <c r="BN166" s="175">
        <f t="shared" si="69"/>
        <v>0</v>
      </c>
      <c r="BO166" s="213">
        <v>200000</v>
      </c>
      <c r="BP166" s="175">
        <f>IF(OR(AT166="스케줄",AT166="스케줄_파라"),ROUNDUP(VLOOKUP(AD166,'[2]스케줄 분석_20260109'!$B$3:$Y$20,23,FALSE)*(VLOOKUP(AD166,'[2]스케줄 분석_20260109'!$B$3:$Y$20,21,FALSE)/VLOOKUP(AD166,'[2]스케줄 분석_20260109'!$B$3:$Y$20,20,FALSE))*VLOOKUP(AD166,'[2]스케줄 분석_20260109'!$B$3:$Y$20,22,FALSE)*VLOOKUP(AD166,'[2]스케줄 분석_20260109'!$B$3:$Y$20,2,FALSE)*1.5*BI166,0),0)</f>
        <v>0</v>
      </c>
      <c r="BQ166" s="217" t="str">
        <f t="shared" si="70"/>
        <v>적합</v>
      </c>
      <c r="BR166" s="78"/>
      <c r="BS166" s="218">
        <f t="shared" si="71"/>
        <v>532861.20000000007</v>
      </c>
      <c r="BT166" s="219">
        <f t="shared" si="72"/>
        <v>3128405.1</v>
      </c>
      <c r="BU166" s="175">
        <f t="shared" si="73"/>
        <v>1643880</v>
      </c>
      <c r="BV166" s="175">
        <f t="shared" si="74"/>
        <v>1409597.6832000001</v>
      </c>
      <c r="BW166" s="175">
        <f t="shared" si="75"/>
        <v>536424</v>
      </c>
      <c r="BX166" s="175">
        <f t="shared" si="76"/>
        <v>228412.79999999999</v>
      </c>
      <c r="BY166" s="213">
        <f t="shared" si="65"/>
        <v>3855000</v>
      </c>
      <c r="BZ166" s="220">
        <f t="shared" si="77"/>
        <v>40669266.300000004</v>
      </c>
      <c r="CA166" s="213">
        <f t="shared" si="83"/>
        <v>3818314.4831999997</v>
      </c>
      <c r="CB166" s="221">
        <f t="shared" si="79"/>
        <v>46260000</v>
      </c>
      <c r="CC166" s="222">
        <f t="shared" si="80"/>
        <v>17340000</v>
      </c>
      <c r="CD166" s="223">
        <f t="shared" si="64"/>
        <v>27.264150943396224</v>
      </c>
      <c r="CE166" s="77"/>
      <c r="CF166" s="77"/>
      <c r="CG166" s="23" t="s">
        <v>339</v>
      </c>
      <c r="CH166" s="23" t="s">
        <v>1710</v>
      </c>
      <c r="CI166" s="78"/>
      <c r="CJ166" s="78"/>
      <c r="CK166" s="187"/>
      <c r="CL166" s="188"/>
      <c r="CM166" s="78"/>
      <c r="CN166" s="78"/>
      <c r="CO166" s="78"/>
      <c r="CP166" s="78"/>
      <c r="CQ166" s="78"/>
      <c r="CR166" s="78"/>
      <c r="CS166" s="78"/>
      <c r="CT166" s="78"/>
      <c r="CU166" s="78"/>
      <c r="CV166" s="78"/>
      <c r="CW166" s="78"/>
      <c r="CX166" s="78"/>
      <c r="CY166" s="78"/>
      <c r="CZ166" s="78"/>
      <c r="DA166" s="78"/>
      <c r="DB166" s="78"/>
      <c r="DC166" s="78"/>
      <c r="DD166" s="78"/>
      <c r="DE166" s="78"/>
      <c r="DF166" s="78"/>
      <c r="DG166" s="78"/>
      <c r="DH166" s="78"/>
      <c r="DI166" s="78"/>
      <c r="DJ166" s="78"/>
      <c r="DK166" s="78"/>
      <c r="DL166" s="78"/>
      <c r="DM166" s="78"/>
    </row>
    <row r="167" spans="1:117" ht="17.25" customHeight="1">
      <c r="A167" s="23">
        <f t="shared" si="62"/>
        <v>164</v>
      </c>
      <c r="B167" s="23" t="s">
        <v>439</v>
      </c>
      <c r="C167" s="190">
        <v>2024044</v>
      </c>
      <c r="D167" s="194" t="s">
        <v>989</v>
      </c>
      <c r="E167" s="227" t="s">
        <v>990</v>
      </c>
      <c r="F167" s="227" t="s">
        <v>2193</v>
      </c>
      <c r="G167" s="23" t="s">
        <v>412</v>
      </c>
      <c r="H167" s="227" t="s">
        <v>1167</v>
      </c>
      <c r="I167" s="227" t="s">
        <v>741</v>
      </c>
      <c r="J167" s="194" t="s">
        <v>178</v>
      </c>
      <c r="K167" s="79" t="s">
        <v>1401</v>
      </c>
      <c r="L167" s="227" t="s">
        <v>2194</v>
      </c>
      <c r="M167" s="227"/>
      <c r="N167" s="228" t="s">
        <v>2195</v>
      </c>
      <c r="O167" t="s">
        <v>2196</v>
      </c>
      <c r="P167" s="229" t="s">
        <v>2197</v>
      </c>
      <c r="Q167" s="214">
        <v>45616</v>
      </c>
      <c r="R167" s="214">
        <v>45616</v>
      </c>
      <c r="S167" s="214"/>
      <c r="T167" s="231" t="s">
        <v>2198</v>
      </c>
      <c r="U167" s="231" t="s">
        <v>2199</v>
      </c>
      <c r="V167" s="201" t="s">
        <v>278</v>
      </c>
      <c r="W167" s="231" t="s">
        <v>2200</v>
      </c>
      <c r="X167" s="200"/>
      <c r="Y167" s="200"/>
      <c r="Z167" s="203">
        <v>14</v>
      </c>
      <c r="AA167" s="203">
        <f t="shared" ca="1" si="61"/>
        <v>545</v>
      </c>
      <c r="AB167" s="232"/>
      <c r="AC167" s="232"/>
      <c r="AD167" s="78" t="s">
        <v>1835</v>
      </c>
      <c r="AE167" s="78" t="s">
        <v>217</v>
      </c>
      <c r="AF167" s="78" t="s">
        <v>191</v>
      </c>
      <c r="AG167" s="78" t="s">
        <v>191</v>
      </c>
      <c r="AH167" s="23" t="s">
        <v>161</v>
      </c>
      <c r="AI167" s="23" t="s">
        <v>365</v>
      </c>
      <c r="AJ167" s="23" t="s">
        <v>990</v>
      </c>
      <c r="AK167" s="23" t="s">
        <v>1000</v>
      </c>
      <c r="AL167" s="78" t="s">
        <v>1001</v>
      </c>
      <c r="AM167" s="227">
        <v>17045</v>
      </c>
      <c r="AN167" s="79" t="s">
        <v>2201</v>
      </c>
      <c r="AO167" s="78" t="s">
        <v>401</v>
      </c>
      <c r="AP167" s="78" t="s">
        <v>1038</v>
      </c>
      <c r="AQ167" s="201" t="s">
        <v>433</v>
      </c>
      <c r="AS167" s="209" t="s">
        <v>1006</v>
      </c>
      <c r="AT167" s="23" t="s">
        <v>434</v>
      </c>
      <c r="AU167" s="23" t="s">
        <v>435</v>
      </c>
      <c r="AV167" s="210" t="s">
        <v>454</v>
      </c>
      <c r="AW167" s="211">
        <v>4138000</v>
      </c>
      <c r="AX167" s="175">
        <v>4138000</v>
      </c>
      <c r="AY167" s="212">
        <v>12</v>
      </c>
      <c r="AZ167" s="213">
        <f t="shared" si="63"/>
        <v>49656000</v>
      </c>
      <c r="BA167" s="251"/>
      <c r="BB167" s="251"/>
      <c r="BC167" s="214">
        <v>45839</v>
      </c>
      <c r="BD167" s="22">
        <v>27500880</v>
      </c>
      <c r="BE167" s="215">
        <v>28280400</v>
      </c>
      <c r="BF167" s="215">
        <f t="shared" si="66"/>
        <v>28280400</v>
      </c>
      <c r="BG167" s="215">
        <f t="shared" si="67"/>
        <v>2356700</v>
      </c>
      <c r="BH167" s="215">
        <v>1720200</v>
      </c>
      <c r="BI167" s="216">
        <f t="shared" si="81"/>
        <v>10435.870000000001</v>
      </c>
      <c r="BJ167" s="216">
        <f>IF(AT167="통상",209,VLOOKUP(AD167,'[2]스케줄 분석_20260109'!$B$3:$F$20,5,FALSE))</f>
        <v>184</v>
      </c>
      <c r="BK167" s="216">
        <f>IF(AT167="통상",15,VLOOKUP(AD167,'[2]스케줄 분석_20260109'!$B$3:$P$20,10,FALSE))</f>
        <v>38.020000000000003</v>
      </c>
      <c r="BL167" s="216">
        <f>IF(AT167="통상",0,VLOOKUP(AD167,'[2]스케줄 분석_20260109'!$B$3:$P$20,11,FALSE))</f>
        <v>45.63</v>
      </c>
      <c r="BM167" s="215">
        <f t="shared" si="68"/>
        <v>198400</v>
      </c>
      <c r="BN167" s="175">
        <f t="shared" si="69"/>
        <v>238100</v>
      </c>
      <c r="BO167" s="213">
        <v>200000</v>
      </c>
      <c r="BP167" s="175">
        <f>IF(OR(AT167="스케줄",AT167="스케줄_파라"),ROUNDUP(VLOOKUP(AD167,'[2]스케줄 분석_20260109'!$B$3:$Y$20,23,FALSE)*(VLOOKUP(AD167,'[2]스케줄 분석_20260109'!$B$3:$Y$20,21,FALSE)/VLOOKUP(AD167,'[2]스케줄 분석_20260109'!$B$3:$Y$20,20,FALSE))*VLOOKUP(AD167,'[2]스케줄 분석_20260109'!$B$3:$Y$20,22,FALSE)*VLOOKUP(AD167,'[2]스케줄 분석_20260109'!$B$3:$Y$20,2,FALSE)*1.5*BI167,0),0)</f>
        <v>1890197</v>
      </c>
      <c r="BQ167" s="217" t="str">
        <f t="shared" si="70"/>
        <v>적합</v>
      </c>
      <c r="BR167" s="213"/>
      <c r="BS167" s="218">
        <f t="shared" si="71"/>
        <v>1043587.0000000001</v>
      </c>
      <c r="BT167" s="219">
        <f t="shared" si="72"/>
        <v>2443665.5833333335</v>
      </c>
      <c r="BU167" s="175">
        <f t="shared" si="73"/>
        <v>1229319</v>
      </c>
      <c r="BV167" s="175">
        <f t="shared" si="74"/>
        <v>1054119.0441599998</v>
      </c>
      <c r="BW167" s="175">
        <f t="shared" si="75"/>
        <v>401146.2</v>
      </c>
      <c r="BX167" s="175">
        <f t="shared" si="76"/>
        <v>170810.63999999998</v>
      </c>
      <c r="BY167" s="213">
        <f t="shared" si="65"/>
        <v>2945875</v>
      </c>
      <c r="BZ167" s="220">
        <f t="shared" si="77"/>
        <v>31767652.583333332</v>
      </c>
      <c r="CA167" s="213">
        <f t="shared" si="83"/>
        <v>2855394.8841600004</v>
      </c>
      <c r="CB167" s="220">
        <f t="shared" si="79"/>
        <v>35350500</v>
      </c>
      <c r="CC167" s="222">
        <f t="shared" si="80"/>
        <v>12018361.629999999</v>
      </c>
      <c r="CD167" s="223">
        <f t="shared" si="64"/>
        <v>24.203241561946186</v>
      </c>
      <c r="CE167" s="283"/>
      <c r="CF167" s="283"/>
      <c r="CG167" s="23" t="s">
        <v>1887</v>
      </c>
      <c r="CH167" s="23" t="s">
        <v>1680</v>
      </c>
      <c r="CI167" s="111"/>
      <c r="CJ167" s="111"/>
      <c r="CK167" s="187"/>
      <c r="CL167" s="188"/>
      <c r="CM167" s="111"/>
      <c r="CN167" s="111"/>
      <c r="CO167" s="111"/>
      <c r="CP167" s="111"/>
      <c r="CQ167" s="111"/>
      <c r="CR167" s="111"/>
      <c r="CS167" s="111"/>
      <c r="CT167" s="111"/>
      <c r="CU167" s="111"/>
      <c r="CV167" s="111"/>
      <c r="CW167" s="111"/>
      <c r="CX167" s="111"/>
      <c r="CY167" s="111"/>
      <c r="CZ167" s="111"/>
      <c r="DA167" s="111"/>
      <c r="DB167" s="111"/>
      <c r="DC167" s="111"/>
      <c r="DD167" s="111"/>
      <c r="DE167" s="111"/>
      <c r="DF167" s="111"/>
      <c r="DG167" s="111"/>
      <c r="DH167" s="111"/>
      <c r="DI167" s="111"/>
      <c r="DJ167" s="111"/>
      <c r="DK167" s="111"/>
      <c r="DL167" s="121"/>
      <c r="DM167" s="121"/>
    </row>
    <row r="168" spans="1:117" s="79" customFormat="1" ht="17.25" customHeight="1">
      <c r="A168" s="23">
        <f t="shared" si="62"/>
        <v>165</v>
      </c>
      <c r="B168" s="23" t="s">
        <v>439</v>
      </c>
      <c r="C168" s="190">
        <v>2024046</v>
      </c>
      <c r="D168" s="194" t="s">
        <v>1781</v>
      </c>
      <c r="E168" s="284" t="s">
        <v>1782</v>
      </c>
      <c r="F168" s="23" t="s">
        <v>2202</v>
      </c>
      <c r="G168" s="23" t="s">
        <v>1010</v>
      </c>
      <c r="H168" s="23" t="s">
        <v>992</v>
      </c>
      <c r="I168" s="23" t="s">
        <v>741</v>
      </c>
      <c r="J168" s="194" t="s">
        <v>178</v>
      </c>
      <c r="K168" s="78" t="s">
        <v>2203</v>
      </c>
      <c r="L168" s="23" t="s">
        <v>1384</v>
      </c>
      <c r="M168" s="23"/>
      <c r="N168" s="229" t="s">
        <v>2204</v>
      </c>
      <c r="O168" s="197" t="s">
        <v>2205</v>
      </c>
      <c r="P168" s="247" t="s">
        <v>2206</v>
      </c>
      <c r="Q168" s="214">
        <v>42948</v>
      </c>
      <c r="R168" s="214">
        <v>45632</v>
      </c>
      <c r="S168" s="23"/>
      <c r="T168" s="201" t="s">
        <v>2207</v>
      </c>
      <c r="U168" s="201" t="s">
        <v>2208</v>
      </c>
      <c r="V168" s="201" t="s">
        <v>290</v>
      </c>
      <c r="W168" s="201" t="s">
        <v>2154</v>
      </c>
      <c r="X168" s="201" t="s">
        <v>2209</v>
      </c>
      <c r="Y168" s="201" t="s">
        <v>2210</v>
      </c>
      <c r="Z168" s="203">
        <v>2682</v>
      </c>
      <c r="AA168" s="203">
        <f t="shared" ca="1" si="61"/>
        <v>529</v>
      </c>
      <c r="AB168" s="232">
        <v>46122</v>
      </c>
      <c r="AC168" s="232" t="s">
        <v>2211</v>
      </c>
      <c r="AD168" s="78" t="s">
        <v>1793</v>
      </c>
      <c r="AE168" s="78" t="s">
        <v>190</v>
      </c>
      <c r="AF168" s="78" t="s">
        <v>263</v>
      </c>
      <c r="AG168" s="78" t="s">
        <v>263</v>
      </c>
      <c r="AH168" s="23" t="s">
        <v>161</v>
      </c>
      <c r="AI168" s="23" t="s">
        <v>1794</v>
      </c>
      <c r="AJ168" s="23" t="s">
        <v>296</v>
      </c>
      <c r="AK168" s="239" t="s">
        <v>1795</v>
      </c>
      <c r="AL168" s="78" t="s">
        <v>1796</v>
      </c>
      <c r="AM168" s="269" t="s">
        <v>2212</v>
      </c>
      <c r="AN168" s="78" t="s">
        <v>2213</v>
      </c>
      <c r="AO168" s="78" t="s">
        <v>301</v>
      </c>
      <c r="AP168" s="78" t="s">
        <v>1799</v>
      </c>
      <c r="AQ168" s="201" t="s">
        <v>2214</v>
      </c>
      <c r="AR168" s="201"/>
      <c r="AS168" s="209" t="s">
        <v>1801</v>
      </c>
      <c r="AT168" s="23" t="s">
        <v>201</v>
      </c>
      <c r="AU168" s="23" t="s">
        <v>435</v>
      </c>
      <c r="AV168" s="210" t="s">
        <v>454</v>
      </c>
      <c r="AW168" s="318">
        <v>6000000</v>
      </c>
      <c r="AX168" s="148">
        <v>6000000</v>
      </c>
      <c r="AY168" s="23">
        <v>12</v>
      </c>
      <c r="AZ168" s="213">
        <f t="shared" si="63"/>
        <v>72000000</v>
      </c>
      <c r="BA168" s="234"/>
      <c r="BB168" s="234"/>
      <c r="BC168" s="230">
        <v>46023</v>
      </c>
      <c r="BD168" s="22">
        <v>53004000</v>
      </c>
      <c r="BE168" s="215">
        <v>53004000</v>
      </c>
      <c r="BF168" s="261">
        <f t="shared" si="66"/>
        <v>54205200</v>
      </c>
      <c r="BG168" s="215">
        <f t="shared" si="67"/>
        <v>4517100</v>
      </c>
      <c r="BH168" s="215">
        <v>3878000.0000000005</v>
      </c>
      <c r="BI168" s="216">
        <f t="shared" si="81"/>
        <v>19511.96</v>
      </c>
      <c r="BJ168" s="216">
        <f>IF(AT168="통상",209,VLOOKUP(AD168,'[2]스케줄 분석_20260109'!$B$3:$F$20,5,FALSE))</f>
        <v>209</v>
      </c>
      <c r="BK168" s="216">
        <f>IF(AT168="통상",15,VLOOKUP(AD168,'[2]스케줄 분석_20260109'!$B$3:$P$20,10,FALSE))</f>
        <v>15</v>
      </c>
      <c r="BL168" s="216">
        <f>IF(AT168="통상",0,VLOOKUP(AD168,'[2]스케줄 분석_20260109'!$B$3:$P$20,11,FALSE))</f>
        <v>0</v>
      </c>
      <c r="BM168" s="215">
        <f t="shared" si="68"/>
        <v>439100</v>
      </c>
      <c r="BN168" s="175">
        <f t="shared" si="69"/>
        <v>0</v>
      </c>
      <c r="BO168" s="213">
        <v>200000</v>
      </c>
      <c r="BP168" s="175">
        <f>IF(OR(AT168="스케줄",AT168="스케줄_파라"),ROUNDUP(VLOOKUP(AD168,'[2]스케줄 분석_20260109'!$B$3:$Y$20,23,FALSE)*(VLOOKUP(AD168,'[2]스케줄 분석_20260109'!$B$3:$Y$20,21,FALSE)/VLOOKUP(AD168,'[2]스케줄 분석_20260109'!$B$3:$Y$20,20,FALSE))*VLOOKUP(AD168,'[2]스케줄 분석_20260109'!$B$3:$Y$20,22,FALSE)*VLOOKUP(AD168,'[2]스케줄 분석_20260109'!$B$3:$Y$20,2,FALSE)*1.5*BI168,0),0)</f>
        <v>0</v>
      </c>
      <c r="BQ168" s="217" t="str">
        <f t="shared" si="70"/>
        <v>적합</v>
      </c>
      <c r="BR168" s="213"/>
      <c r="BS168" s="218">
        <f t="shared" si="71"/>
        <v>780478.39999999991</v>
      </c>
      <c r="BT168" s="219">
        <f t="shared" si="72"/>
        <v>4582139.8666666662</v>
      </c>
      <c r="BU168" s="175">
        <f t="shared" si="73"/>
        <v>2460747</v>
      </c>
      <c r="BV168" s="175">
        <f t="shared" si="74"/>
        <v>2110046.5180799998</v>
      </c>
      <c r="BW168" s="175">
        <f t="shared" si="75"/>
        <v>802980.6</v>
      </c>
      <c r="BX168" s="175">
        <f t="shared" si="76"/>
        <v>341914.32</v>
      </c>
      <c r="BY168" s="213">
        <f t="shared" si="65"/>
        <v>5646375</v>
      </c>
      <c r="BZ168" s="220">
        <f t="shared" si="77"/>
        <v>59567818.266666666</v>
      </c>
      <c r="CA168" s="213">
        <f t="shared" si="83"/>
        <v>5715688.4380799998</v>
      </c>
      <c r="CB168" s="220">
        <f t="shared" si="79"/>
        <v>67756500</v>
      </c>
      <c r="CC168" s="222">
        <f t="shared" si="80"/>
        <v>4243500</v>
      </c>
      <c r="CD168" s="223">
        <f t="shared" si="64"/>
        <v>5.8937499999999998</v>
      </c>
      <c r="CE168" s="77"/>
      <c r="CF168" s="77"/>
      <c r="CG168" s="23" t="s">
        <v>437</v>
      </c>
      <c r="CH168" s="23" t="s">
        <v>1680</v>
      </c>
      <c r="CI168" s="78"/>
      <c r="CJ168" s="78"/>
      <c r="CK168" s="187"/>
      <c r="CL168" s="188"/>
      <c r="CM168" s="78"/>
      <c r="CN168" s="78"/>
      <c r="CO168" s="78"/>
      <c r="CP168" s="78"/>
      <c r="CQ168" s="78"/>
      <c r="CR168" s="78"/>
      <c r="CS168" s="78"/>
      <c r="CT168" s="78"/>
      <c r="CU168" s="78"/>
      <c r="CV168" s="78"/>
      <c r="CW168" s="78"/>
      <c r="CX168" s="78"/>
      <c r="CY168" s="78"/>
      <c r="CZ168" s="78"/>
      <c r="DA168" s="78"/>
      <c r="DB168" s="78"/>
      <c r="DC168" s="78"/>
      <c r="DD168" s="78"/>
      <c r="DE168" s="78"/>
      <c r="DF168" s="78"/>
      <c r="DG168" s="78"/>
      <c r="DH168" s="78"/>
      <c r="DI168" s="78"/>
      <c r="DJ168" s="78"/>
      <c r="DK168" s="78"/>
      <c r="DL168" s="121"/>
      <c r="DM168" s="121"/>
    </row>
    <row r="169" spans="1:117" ht="17.25" customHeight="1">
      <c r="A169" s="23">
        <f t="shared" si="62"/>
        <v>166</v>
      </c>
      <c r="B169" s="23" t="s">
        <v>439</v>
      </c>
      <c r="C169" s="190">
        <v>2024047</v>
      </c>
      <c r="D169" s="319" t="s">
        <v>2215</v>
      </c>
      <c r="E169" s="320" t="s">
        <v>492</v>
      </c>
      <c r="F169" s="320" t="s">
        <v>2216</v>
      </c>
      <c r="G169" s="247" t="s">
        <v>1724</v>
      </c>
      <c r="H169" s="320" t="s">
        <v>992</v>
      </c>
      <c r="I169" s="320" t="s">
        <v>1204</v>
      </c>
      <c r="J169" s="321" t="s">
        <v>1530</v>
      </c>
      <c r="K169" s="79" t="s">
        <v>1401</v>
      </c>
      <c r="L169" s="320" t="s">
        <v>2217</v>
      </c>
      <c r="M169" s="319"/>
      <c r="N169" s="320" t="s">
        <v>2218</v>
      </c>
      <c r="O169" t="s">
        <v>2219</v>
      </c>
      <c r="P169" s="229" t="s">
        <v>2220</v>
      </c>
      <c r="Q169" s="255">
        <v>45642</v>
      </c>
      <c r="R169" s="255">
        <v>45642</v>
      </c>
      <c r="S169" s="210"/>
      <c r="T169" s="322" t="s">
        <v>2004</v>
      </c>
      <c r="U169" s="210" t="s">
        <v>2005</v>
      </c>
      <c r="V169" s="201" t="s">
        <v>334</v>
      </c>
      <c r="W169" s="322"/>
      <c r="X169" s="210"/>
      <c r="Y169" s="210"/>
      <c r="Z169" s="203">
        <f t="shared" ref="Z169:Z187" ca="1" si="85">IF(Q169&lt;&gt;"",$A$1-Q169,"")</f>
        <v>519</v>
      </c>
      <c r="AA169" s="203">
        <f t="shared" ca="1" si="61"/>
        <v>519</v>
      </c>
      <c r="AB169" s="232"/>
      <c r="AC169" s="323"/>
      <c r="AD169" t="s">
        <v>2221</v>
      </c>
      <c r="AE169" s="78" t="s">
        <v>190</v>
      </c>
      <c r="AF169" s="210" t="s">
        <v>218</v>
      </c>
      <c r="AG169" s="78" t="s">
        <v>218</v>
      </c>
      <c r="AH169" s="23" t="s">
        <v>161</v>
      </c>
      <c r="AI169" s="247" t="s">
        <v>2041</v>
      </c>
      <c r="AJ169" s="247" t="s">
        <v>492</v>
      </c>
      <c r="AK169" s="23" t="s">
        <v>505</v>
      </c>
      <c r="AL169" s="78" t="s">
        <v>891</v>
      </c>
      <c r="AM169" s="320">
        <v>11742</v>
      </c>
      <c r="AN169" s="319" t="s">
        <v>2222</v>
      </c>
      <c r="AO169" s="78" t="s">
        <v>222</v>
      </c>
      <c r="AP169" s="210" t="s">
        <v>2044</v>
      </c>
      <c r="AQ169" s="201" t="s">
        <v>433</v>
      </c>
      <c r="AS169" s="209" t="s">
        <v>226</v>
      </c>
      <c r="AT169" s="23" t="s">
        <v>434</v>
      </c>
      <c r="AU169" s="23" t="s">
        <v>435</v>
      </c>
      <c r="AV169" s="210" t="s">
        <v>454</v>
      </c>
      <c r="AW169" s="251">
        <v>4481000</v>
      </c>
      <c r="AX169" s="175">
        <v>4481000</v>
      </c>
      <c r="AY169" s="247">
        <v>12</v>
      </c>
      <c r="AZ169" s="213">
        <f t="shared" si="63"/>
        <v>53772000</v>
      </c>
      <c r="BA169" s="319"/>
      <c r="BB169" s="319"/>
      <c r="BC169" s="230">
        <v>46023</v>
      </c>
      <c r="BD169" s="22">
        <v>30666000</v>
      </c>
      <c r="BE169" s="215">
        <v>31267200</v>
      </c>
      <c r="BF169" s="261">
        <f t="shared" si="66"/>
        <v>31552800</v>
      </c>
      <c r="BG169" s="215">
        <f t="shared" si="67"/>
        <v>2629400</v>
      </c>
      <c r="BH169" s="215">
        <v>1921100</v>
      </c>
      <c r="BI169" s="216">
        <f t="shared" si="81"/>
        <v>10320.15</v>
      </c>
      <c r="BJ169" s="216">
        <f>IF(AT169="통상",209,VLOOKUP(AD169,'[2]스케줄 분석_20260109'!$B$3:$F$20,5,FALSE))</f>
        <v>205.53</v>
      </c>
      <c r="BK169" s="216">
        <f>IF(AT169="통상",15,VLOOKUP(AD169,'[2]스케줄 분석_20260109'!$B$3:$P$20,10,FALSE))</f>
        <v>32.590000000000003</v>
      </c>
      <c r="BL169" s="216">
        <f>IF(AT169="통상",0,VLOOKUP(AD169,'[2]스케줄 분석_20260109'!$B$3:$P$20,11,FALSE))</f>
        <v>65.900000000000006</v>
      </c>
      <c r="BM169" s="215">
        <f t="shared" si="68"/>
        <v>168200</v>
      </c>
      <c r="BN169" s="175">
        <f t="shared" si="69"/>
        <v>340100</v>
      </c>
      <c r="BO169" s="213">
        <v>200000</v>
      </c>
      <c r="BP169" s="175">
        <f>IF(OR(AT169="스케줄",AT169="스케줄_파라"),ROUNDUP(VLOOKUP(AD169,'[2]스케줄 분석_20260109'!$B$3:$Y$20,23,FALSE)*(VLOOKUP(AD169,'[2]스케줄 분석_20260109'!$B$3:$Y$20,21,FALSE)/VLOOKUP(AD169,'[2]스케줄 분석_20260109'!$B$3:$Y$20,20,FALSE))*VLOOKUP(AD169,'[2]스케줄 분석_20260109'!$B$3:$Y$20,22,FALSE)*VLOOKUP(AD169,'[2]스케줄 분석_20260109'!$B$3:$Y$20,2,FALSE)*1.5*BI169,0),0)</f>
        <v>1013034</v>
      </c>
      <c r="BQ169" s="217" t="str">
        <f t="shared" si="70"/>
        <v>적합</v>
      </c>
      <c r="BR169" s="213"/>
      <c r="BS169" s="218">
        <f t="shared" si="71"/>
        <v>1032015</v>
      </c>
      <c r="BT169" s="219">
        <f t="shared" si="72"/>
        <v>2715401.25</v>
      </c>
      <c r="BU169" s="175">
        <f t="shared" si="73"/>
        <v>1384758</v>
      </c>
      <c r="BV169" s="175">
        <f t="shared" si="74"/>
        <v>1187405.2051199998</v>
      </c>
      <c r="BW169" s="175">
        <f t="shared" si="75"/>
        <v>451868.4</v>
      </c>
      <c r="BX169" s="175">
        <f t="shared" si="76"/>
        <v>192408.48</v>
      </c>
      <c r="BY169" s="213">
        <f t="shared" si="65"/>
        <v>3286750</v>
      </c>
      <c r="BZ169" s="220">
        <f t="shared" si="77"/>
        <v>35300216.25</v>
      </c>
      <c r="CA169" s="213">
        <f t="shared" si="83"/>
        <v>3216440.0851199999</v>
      </c>
      <c r="CB169" s="220">
        <f t="shared" si="79"/>
        <v>39441000</v>
      </c>
      <c r="CC169" s="222">
        <f t="shared" si="80"/>
        <v>13105228.859999999</v>
      </c>
      <c r="CD169" s="301">
        <f t="shared" si="64"/>
        <v>24.371845681767461</v>
      </c>
      <c r="CE169" s="283"/>
      <c r="CF169" s="283"/>
      <c r="CG169" s="23" t="s">
        <v>2104</v>
      </c>
      <c r="CH169" s="23" t="s">
        <v>1710</v>
      </c>
      <c r="CI169" s="298"/>
      <c r="CK169" s="187"/>
      <c r="CL169" s="188"/>
      <c r="DL169" s="121"/>
      <c r="DM169" s="121"/>
    </row>
    <row r="170" spans="1:117" ht="17.25" customHeight="1">
      <c r="A170" s="23">
        <f t="shared" si="62"/>
        <v>167</v>
      </c>
      <c r="B170" s="23" t="s">
        <v>439</v>
      </c>
      <c r="C170" s="190">
        <v>2025005</v>
      </c>
      <c r="D170" s="194" t="s">
        <v>655</v>
      </c>
      <c r="E170" s="227" t="s">
        <v>656</v>
      </c>
      <c r="F170" s="227" t="s">
        <v>2223</v>
      </c>
      <c r="G170" s="23" t="s">
        <v>1192</v>
      </c>
      <c r="H170" s="227" t="s">
        <v>1167</v>
      </c>
      <c r="I170" s="227" t="s">
        <v>1204</v>
      </c>
      <c r="J170" s="194" t="s">
        <v>178</v>
      </c>
      <c r="K170" s="79" t="s">
        <v>841</v>
      </c>
      <c r="L170" s="23" t="s">
        <v>2224</v>
      </c>
      <c r="M170" s="227"/>
      <c r="N170" s="228" t="s">
        <v>2225</v>
      </c>
      <c r="O170" s="237" t="s">
        <v>2226</v>
      </c>
      <c r="P170" s="229" t="s">
        <v>2227</v>
      </c>
      <c r="Q170" s="214">
        <v>43862</v>
      </c>
      <c r="R170" s="214">
        <v>45691</v>
      </c>
      <c r="S170" s="214"/>
      <c r="T170" s="231" t="s">
        <v>2228</v>
      </c>
      <c r="U170" s="231" t="s">
        <v>2229</v>
      </c>
      <c r="V170" s="201" t="s">
        <v>290</v>
      </c>
      <c r="W170" s="231"/>
      <c r="X170" s="200"/>
      <c r="Y170" s="200"/>
      <c r="Z170" s="203">
        <f t="shared" ca="1" si="85"/>
        <v>2299</v>
      </c>
      <c r="AA170" s="203">
        <f t="shared" ca="1" si="61"/>
        <v>470</v>
      </c>
      <c r="AB170" s="232"/>
      <c r="AC170" s="232"/>
      <c r="AD170" s="78" t="s">
        <v>675</v>
      </c>
      <c r="AE170" s="78" t="s">
        <v>217</v>
      </c>
      <c r="AF170" s="78" t="s">
        <v>160</v>
      </c>
      <c r="AG170" s="78" t="s">
        <v>160</v>
      </c>
      <c r="AH170" s="23" t="s">
        <v>161</v>
      </c>
      <c r="AI170" s="23" t="s">
        <v>162</v>
      </c>
      <c r="AJ170" s="23" t="s">
        <v>483</v>
      </c>
      <c r="AK170" s="23">
        <v>13486</v>
      </c>
      <c r="AL170" s="78" t="s">
        <v>163</v>
      </c>
      <c r="AM170" s="269" t="s">
        <v>2230</v>
      </c>
      <c r="AN170" s="78" t="s">
        <v>2231</v>
      </c>
      <c r="AO170" s="78" t="s">
        <v>166</v>
      </c>
      <c r="AP170" s="78" t="s">
        <v>1143</v>
      </c>
      <c r="AQ170" s="201" t="s">
        <v>1144</v>
      </c>
      <c r="AS170" s="209" t="s">
        <v>488</v>
      </c>
      <c r="AT170" s="23" t="s">
        <v>434</v>
      </c>
      <c r="AU170" s="23" t="s">
        <v>435</v>
      </c>
      <c r="AV170" s="210" t="s">
        <v>454</v>
      </c>
      <c r="AW170" s="251">
        <v>4400000</v>
      </c>
      <c r="AX170" s="175">
        <v>4400000</v>
      </c>
      <c r="AY170" s="212">
        <v>12</v>
      </c>
      <c r="AZ170" s="213">
        <f t="shared" si="63"/>
        <v>52800000</v>
      </c>
      <c r="BA170" s="213"/>
      <c r="BB170" s="213"/>
      <c r="BC170" s="214">
        <v>45691</v>
      </c>
      <c r="BD170" s="22">
        <v>33019200</v>
      </c>
      <c r="BE170" s="215">
        <v>33019200</v>
      </c>
      <c r="BF170" s="215">
        <f t="shared" si="66"/>
        <v>33019200</v>
      </c>
      <c r="BG170" s="215">
        <f t="shared" si="67"/>
        <v>2751600</v>
      </c>
      <c r="BH170" s="215">
        <v>2174000</v>
      </c>
      <c r="BI170" s="216">
        <f>ROUND((BH170+BO170)/BJ170,2)</f>
        <v>12412.42</v>
      </c>
      <c r="BJ170" s="216">
        <f>IF(AT170="통상",209,VLOOKUP(AD170,'[2]스케줄 분석_20260109'!$B$3:$F$20,5,FALSE))</f>
        <v>191.26</v>
      </c>
      <c r="BK170" s="216">
        <f>IF(AT170="통상",15,VLOOKUP(AD170,'[2]스케줄 분석_20260109'!$B$3:$P$20,10,FALSE))</f>
        <v>27.88</v>
      </c>
      <c r="BL170" s="216">
        <f>IF(AT170="통상",0,VLOOKUP(AD170,'[2]스케줄 분석_20260109'!$B$3:$P$20,11,FALSE))</f>
        <v>32.950000000000003</v>
      </c>
      <c r="BM170" s="215">
        <f t="shared" si="68"/>
        <v>173100</v>
      </c>
      <c r="BN170" s="175">
        <f t="shared" si="69"/>
        <v>204500</v>
      </c>
      <c r="BO170" s="213">
        <v>200000</v>
      </c>
      <c r="BP170" s="175">
        <f>IF(OR(AT170="스케줄",AT170="스케줄_파라"),ROUNDUP(VLOOKUP(AD170,'[2]스케줄 분석_20260109'!$B$3:$Y$20,23,FALSE)*(VLOOKUP(AD170,'[2]스케줄 분석_20260109'!$B$3:$Y$20,21,FALSE)/VLOOKUP(AD170,'[2]스케줄 분석_20260109'!$B$3:$Y$20,20,FALSE))*VLOOKUP(AD170,'[2]스케줄 분석_20260109'!$B$3:$Y$20,22,FALSE)*VLOOKUP(AD170,'[2]스케줄 분석_20260109'!$B$3:$Y$20,2,FALSE)*1.5*BI170,0),0)</f>
        <v>714082</v>
      </c>
      <c r="BQ170" s="217" t="str">
        <f t="shared" si="70"/>
        <v>적합</v>
      </c>
      <c r="BR170" s="253">
        <v>250000</v>
      </c>
      <c r="BS170" s="218">
        <f t="shared" si="71"/>
        <v>1241242</v>
      </c>
      <c r="BT170" s="219">
        <f t="shared" si="72"/>
        <v>2855036.8333333335</v>
      </c>
      <c r="BU170" s="175">
        <f t="shared" si="73"/>
        <v>1454412</v>
      </c>
      <c r="BV170" s="175">
        <f t="shared" si="74"/>
        <v>1247132.2636799999</v>
      </c>
      <c r="BW170" s="175">
        <f t="shared" si="75"/>
        <v>474597.6</v>
      </c>
      <c r="BX170" s="175">
        <f t="shared" si="76"/>
        <v>202086.72</v>
      </c>
      <c r="BY170" s="213">
        <f t="shared" si="65"/>
        <v>3439500</v>
      </c>
      <c r="BZ170" s="220">
        <f t="shared" si="77"/>
        <v>37115478.833333336</v>
      </c>
      <c r="CA170" s="213">
        <f t="shared" si="83"/>
        <v>3378228.5836800002</v>
      </c>
      <c r="CB170" s="220">
        <f t="shared" si="79"/>
        <v>41274000</v>
      </c>
      <c r="CC170" s="222">
        <f t="shared" si="80"/>
        <v>10661960.779999999</v>
      </c>
      <c r="CD170" s="301">
        <f t="shared" si="64"/>
        <v>20.193107537878788</v>
      </c>
      <c r="CE170" s="283"/>
      <c r="CF170" s="283"/>
      <c r="CG170" s="23" t="s">
        <v>1733</v>
      </c>
      <c r="CH170" s="23" t="s">
        <v>2175</v>
      </c>
      <c r="CK170" s="187"/>
      <c r="CL170" s="188"/>
    </row>
    <row r="171" spans="1:117" ht="17.25" customHeight="1">
      <c r="A171" s="23">
        <f t="shared" si="62"/>
        <v>168</v>
      </c>
      <c r="B171" s="23" t="s">
        <v>439</v>
      </c>
      <c r="C171" s="190">
        <v>2025010</v>
      </c>
      <c r="D171" s="201" t="s">
        <v>2232</v>
      </c>
      <c r="E171" s="23" t="s">
        <v>475</v>
      </c>
      <c r="F171" s="23" t="s">
        <v>2233</v>
      </c>
      <c r="G171" s="23" t="s">
        <v>1521</v>
      </c>
      <c r="H171" s="227" t="s">
        <v>740</v>
      </c>
      <c r="I171" s="227" t="s">
        <v>1204</v>
      </c>
      <c r="J171" s="194" t="s">
        <v>178</v>
      </c>
      <c r="K171" s="78" t="s">
        <v>179</v>
      </c>
      <c r="L171" s="23" t="s">
        <v>2234</v>
      </c>
      <c r="M171" s="227"/>
      <c r="N171" s="229" t="s">
        <v>2235</v>
      </c>
      <c r="O171" s="197" t="s">
        <v>2236</v>
      </c>
      <c r="P171" s="229" t="s">
        <v>2237</v>
      </c>
      <c r="Q171" s="214">
        <v>44078</v>
      </c>
      <c r="R171" s="214">
        <v>45720</v>
      </c>
      <c r="S171" s="214"/>
      <c r="T171" s="231" t="s">
        <v>2183</v>
      </c>
      <c r="U171" s="231" t="s">
        <v>1309</v>
      </c>
      <c r="V171" s="201" t="s">
        <v>394</v>
      </c>
      <c r="W171" s="231" t="s">
        <v>498</v>
      </c>
      <c r="X171" s="324" t="s">
        <v>684</v>
      </c>
      <c r="Y171" s="200" t="s">
        <v>1211</v>
      </c>
      <c r="Z171" s="203">
        <f t="shared" ca="1" si="85"/>
        <v>2083</v>
      </c>
      <c r="AA171" s="203">
        <f t="shared" ca="1" si="61"/>
        <v>441</v>
      </c>
      <c r="AB171" s="232"/>
      <c r="AD171" s="78" t="s">
        <v>2238</v>
      </c>
      <c r="AE171" s="78" t="s">
        <v>190</v>
      </c>
      <c r="AF171" s="78" t="s">
        <v>160</v>
      </c>
      <c r="AG171" s="78" t="s">
        <v>160</v>
      </c>
      <c r="AH171" s="23" t="s">
        <v>161</v>
      </c>
      <c r="AI171" s="23" t="s">
        <v>2239</v>
      </c>
      <c r="AJ171" s="23" t="s">
        <v>483</v>
      </c>
      <c r="AK171" s="233" t="s">
        <v>2240</v>
      </c>
      <c r="AL171" s="78" t="s">
        <v>2241</v>
      </c>
      <c r="AM171" s="206" t="s">
        <v>2242</v>
      </c>
      <c r="AN171" s="79" t="s">
        <v>2243</v>
      </c>
      <c r="AO171" s="78" t="s">
        <v>166</v>
      </c>
      <c r="AP171" s="78" t="s">
        <v>2244</v>
      </c>
      <c r="AQ171" s="201" t="s">
        <v>1372</v>
      </c>
      <c r="AS171" s="209" t="s">
        <v>1876</v>
      </c>
      <c r="AT171" s="23" t="s">
        <v>201</v>
      </c>
      <c r="AU171" s="23" t="s">
        <v>435</v>
      </c>
      <c r="AV171" s="210" t="s">
        <v>454</v>
      </c>
      <c r="AW171" s="265">
        <v>4400000</v>
      </c>
      <c r="AX171" s="175">
        <v>4400000</v>
      </c>
      <c r="AY171" s="212">
        <v>12</v>
      </c>
      <c r="AZ171" s="213">
        <f t="shared" si="63"/>
        <v>52800000</v>
      </c>
      <c r="BA171" s="213"/>
      <c r="BB171" s="213"/>
      <c r="BC171" s="214">
        <v>45720</v>
      </c>
      <c r="BD171" s="325">
        <v>33000000</v>
      </c>
      <c r="BE171" s="215">
        <v>33000000</v>
      </c>
      <c r="BF171" s="215">
        <f t="shared" si="66"/>
        <v>33000000</v>
      </c>
      <c r="BG171" s="215">
        <f t="shared" si="67"/>
        <v>2750000</v>
      </c>
      <c r="BH171" s="215">
        <v>2282700</v>
      </c>
      <c r="BI171" s="216">
        <f t="shared" si="81"/>
        <v>11878.95</v>
      </c>
      <c r="BJ171" s="216">
        <f>IF(AT171="통상",209,VLOOKUP(AD171,'[2]스케줄 분석_20260109'!$B$3:$F$20,5,FALSE))</f>
        <v>209</v>
      </c>
      <c r="BK171" s="216">
        <f>IF(AT171="통상",15,VLOOKUP(AD171,'[2]스케줄 분석_20260109'!$B$3:$P$20,10,FALSE))</f>
        <v>15</v>
      </c>
      <c r="BL171" s="216">
        <f>IF(AT171="통상",0,VLOOKUP(AD171,'[2]스케줄 분석_20260109'!$B$3:$P$20,11,FALSE))</f>
        <v>0</v>
      </c>
      <c r="BM171" s="215">
        <f t="shared" si="68"/>
        <v>267300</v>
      </c>
      <c r="BN171" s="175">
        <f t="shared" si="69"/>
        <v>0</v>
      </c>
      <c r="BO171" s="213">
        <v>200000</v>
      </c>
      <c r="BP171" s="175">
        <f>IF(OR(AT171="스케줄",AT171="스케줄_파라"),ROUNDUP(VLOOKUP(AD171,'[2]스케줄 분석_20260109'!$B$3:$Y$20,23,FALSE)*(VLOOKUP(AD171,'[2]스케줄 분석_20260109'!$B$3:$Y$20,21,FALSE)/VLOOKUP(AD171,'[2]스케줄 분석_20260109'!$B$3:$Y$20,20,FALSE))*VLOOKUP(AD171,'[2]스케줄 분석_20260109'!$B$3:$Y$20,22,FALSE)*VLOOKUP(AD171,'[2]스케줄 분석_20260109'!$B$3:$Y$20,2,FALSE)*1.5*BI171,0),0)</f>
        <v>0</v>
      </c>
      <c r="BQ171" s="217" t="str">
        <f t="shared" si="70"/>
        <v>적합</v>
      </c>
      <c r="BR171" s="213"/>
      <c r="BS171" s="218">
        <f t="shared" si="71"/>
        <v>475158</v>
      </c>
      <c r="BT171" s="219">
        <f t="shared" si="72"/>
        <v>2789596.5</v>
      </c>
      <c r="BU171" s="175">
        <f t="shared" si="73"/>
        <v>1453500</v>
      </c>
      <c r="BV171" s="175">
        <f t="shared" si="74"/>
        <v>1246350.24</v>
      </c>
      <c r="BW171" s="175">
        <f t="shared" si="75"/>
        <v>474300</v>
      </c>
      <c r="BX171" s="175">
        <f t="shared" si="76"/>
        <v>201960</v>
      </c>
      <c r="BY171" s="213">
        <f t="shared" si="65"/>
        <v>3437500</v>
      </c>
      <c r="BZ171" s="220">
        <f t="shared" si="77"/>
        <v>36264754.5</v>
      </c>
      <c r="CA171" s="213">
        <f t="shared" si="83"/>
        <v>3376110.24</v>
      </c>
      <c r="CB171" s="220">
        <f t="shared" si="79"/>
        <v>41250000</v>
      </c>
      <c r="CC171" s="222">
        <f t="shared" si="80"/>
        <v>11550000</v>
      </c>
      <c r="CD171" s="301">
        <f t="shared" si="64"/>
        <v>21.875</v>
      </c>
      <c r="CE171" s="258">
        <v>44678</v>
      </c>
      <c r="CF171" s="258"/>
      <c r="CG171" s="23" t="s">
        <v>1733</v>
      </c>
      <c r="CH171" s="23" t="s">
        <v>2175</v>
      </c>
      <c r="CK171" s="187"/>
      <c r="CL171" s="188"/>
    </row>
    <row r="172" spans="1:117" ht="17.25" customHeight="1">
      <c r="A172" s="23">
        <f t="shared" si="62"/>
        <v>169</v>
      </c>
      <c r="B172" s="23" t="s">
        <v>439</v>
      </c>
      <c r="C172" s="190">
        <v>2025013</v>
      </c>
      <c r="D172" s="302" t="s">
        <v>2245</v>
      </c>
      <c r="E172" s="227" t="s">
        <v>990</v>
      </c>
      <c r="F172" s="227" t="s">
        <v>2246</v>
      </c>
      <c r="G172" s="23" t="s">
        <v>412</v>
      </c>
      <c r="H172" s="227" t="s">
        <v>1167</v>
      </c>
      <c r="I172" s="227" t="s">
        <v>741</v>
      </c>
      <c r="J172" s="194" t="s">
        <v>178</v>
      </c>
      <c r="K172" s="79" t="s">
        <v>1401</v>
      </c>
      <c r="L172" s="194"/>
      <c r="M172" s="227"/>
      <c r="N172" s="228" t="s">
        <v>2247</v>
      </c>
      <c r="O172" s="303" t="s">
        <v>2248</v>
      </c>
      <c r="P172" s="229" t="s">
        <v>2249</v>
      </c>
      <c r="Q172" s="214">
        <v>45733</v>
      </c>
      <c r="R172" s="214">
        <v>45733</v>
      </c>
      <c r="S172" s="214"/>
      <c r="T172" s="231" t="s">
        <v>2250</v>
      </c>
      <c r="U172" s="231" t="s">
        <v>2251</v>
      </c>
      <c r="V172" s="201" t="s">
        <v>2252</v>
      </c>
      <c r="W172" s="324" t="s">
        <v>684</v>
      </c>
      <c r="X172" s="200" t="s">
        <v>1211</v>
      </c>
      <c r="Y172" s="200" t="s">
        <v>2253</v>
      </c>
      <c r="Z172" s="203">
        <f t="shared" ca="1" si="85"/>
        <v>428</v>
      </c>
      <c r="AA172" s="203">
        <f ca="1">IF(R172&lt;&gt;"",$A$1-R172,"")</f>
        <v>428</v>
      </c>
      <c r="AB172" s="232"/>
      <c r="AD172" s="78" t="s">
        <v>1835</v>
      </c>
      <c r="AE172" s="78" t="s">
        <v>217</v>
      </c>
      <c r="AF172" s="78" t="s">
        <v>191</v>
      </c>
      <c r="AG172" s="78" t="s">
        <v>191</v>
      </c>
      <c r="AH172" s="23" t="s">
        <v>161</v>
      </c>
      <c r="AI172" s="23" t="s">
        <v>365</v>
      </c>
      <c r="AJ172" s="23" t="s">
        <v>2254</v>
      </c>
      <c r="AK172" s="23" t="s">
        <v>1000</v>
      </c>
      <c r="AL172" s="78" t="s">
        <v>1001</v>
      </c>
      <c r="AM172" s="206" t="s">
        <v>2255</v>
      </c>
      <c r="AN172" s="207" t="s">
        <v>2256</v>
      </c>
      <c r="AO172" s="78" t="s">
        <v>401</v>
      </c>
      <c r="AP172" s="264" t="s">
        <v>2257</v>
      </c>
      <c r="AQ172" s="201" t="s">
        <v>433</v>
      </c>
      <c r="AS172" s="209" t="s">
        <v>1006</v>
      </c>
      <c r="AT172" s="23" t="s">
        <v>434</v>
      </c>
      <c r="AU172" s="23" t="s">
        <v>435</v>
      </c>
      <c r="AV172" s="210" t="s">
        <v>454</v>
      </c>
      <c r="AW172" s="265">
        <v>4056000</v>
      </c>
      <c r="AX172" s="175">
        <v>4056000</v>
      </c>
      <c r="AY172" s="236">
        <v>12</v>
      </c>
      <c r="AZ172" s="175">
        <f t="shared" si="63"/>
        <v>48672000</v>
      </c>
      <c r="BA172" s="175"/>
      <c r="BB172" s="175"/>
      <c r="BC172" s="230">
        <v>46023</v>
      </c>
      <c r="BD172" s="304">
        <v>27500880</v>
      </c>
      <c r="BE172" s="215">
        <v>27525600</v>
      </c>
      <c r="BF172" s="261">
        <f t="shared" si="66"/>
        <v>27967200</v>
      </c>
      <c r="BG172" s="215">
        <f t="shared" si="67"/>
        <v>2330600</v>
      </c>
      <c r="BH172" s="215">
        <v>1698900</v>
      </c>
      <c r="BI172" s="216">
        <f t="shared" si="81"/>
        <v>10320.11</v>
      </c>
      <c r="BJ172" s="216">
        <f>IF(AT172="통상",209,VLOOKUP(AD172,'[2]스케줄 분석_20260109'!$B$3:$F$20,5,FALSE))</f>
        <v>184</v>
      </c>
      <c r="BK172" s="216">
        <f>IF(AT172="통상",15,VLOOKUP(AD172,'[2]스케줄 분석_20260109'!$B$3:$P$20,10,FALSE))</f>
        <v>38.020000000000003</v>
      </c>
      <c r="BL172" s="216">
        <f>IF(AT172="통상",0,VLOOKUP(AD172,'[2]스케줄 분석_20260109'!$B$3:$P$20,11,FALSE))</f>
        <v>45.63</v>
      </c>
      <c r="BM172" s="215">
        <f t="shared" si="68"/>
        <v>196200</v>
      </c>
      <c r="BN172" s="175">
        <f t="shared" si="69"/>
        <v>235500</v>
      </c>
      <c r="BO172" s="175">
        <v>200000</v>
      </c>
      <c r="BP172" s="175">
        <f>IF(OR(AT172="스케줄",AT172="스케줄_파라"),ROUNDUP(VLOOKUP(AD172,'[2]스케줄 분석_20260109'!$B$3:$Y$20,23,FALSE)*(VLOOKUP(AD172,'[2]스케줄 분석_20260109'!$B$3:$Y$20,21,FALSE)/VLOOKUP(AD172,'[2]스케줄 분석_20260109'!$B$3:$Y$20,20,FALSE))*VLOOKUP(AD172,'[2]스케줄 분석_20260109'!$B$3:$Y$20,22,FALSE)*VLOOKUP(AD172,'[2]스케줄 분석_20260109'!$B$3:$Y$20,2,FALSE)*1.5*BI172,0),0)</f>
        <v>1869230</v>
      </c>
      <c r="BQ172" s="217" t="str">
        <f t="shared" si="70"/>
        <v>적합</v>
      </c>
      <c r="BR172" s="175"/>
      <c r="BS172" s="218">
        <f t="shared" si="71"/>
        <v>1032011</v>
      </c>
      <c r="BT172" s="218">
        <f t="shared" si="72"/>
        <v>2416600.9166666665</v>
      </c>
      <c r="BU172" s="175">
        <f t="shared" si="73"/>
        <v>1214442</v>
      </c>
      <c r="BV172" s="175">
        <f t="shared" si="74"/>
        <v>1041362.28288</v>
      </c>
      <c r="BW172" s="175">
        <f t="shared" si="75"/>
        <v>396291.6</v>
      </c>
      <c r="BX172" s="175">
        <f t="shared" si="76"/>
        <v>168743.52</v>
      </c>
      <c r="BY172" s="175">
        <f t="shared" si="65"/>
        <v>2913250</v>
      </c>
      <c r="BZ172" s="292">
        <f t="shared" si="77"/>
        <v>31415811.916666668</v>
      </c>
      <c r="CA172" s="175">
        <f t="shared" si="83"/>
        <v>2820839.40288</v>
      </c>
      <c r="CB172" s="292">
        <f t="shared" si="79"/>
        <v>34959000</v>
      </c>
      <c r="CC172" s="294">
        <f t="shared" si="80"/>
        <v>11451231.699999999</v>
      </c>
      <c r="CD172" s="301">
        <f t="shared" si="64"/>
        <v>23.527349810979619</v>
      </c>
      <c r="CG172" s="23" t="s">
        <v>437</v>
      </c>
      <c r="CH172" s="23" t="s">
        <v>340</v>
      </c>
      <c r="CK172" s="187"/>
      <c r="CL172" s="188"/>
    </row>
    <row r="173" spans="1:117" ht="17.25" customHeight="1">
      <c r="A173" s="23">
        <f t="shared" si="62"/>
        <v>170</v>
      </c>
      <c r="B173" s="23" t="s">
        <v>439</v>
      </c>
      <c r="C173" s="190">
        <v>2025015</v>
      </c>
      <c r="D173" s="194" t="s">
        <v>2258</v>
      </c>
      <c r="E173" s="23" t="s">
        <v>2259</v>
      </c>
      <c r="F173" s="23" t="s">
        <v>2260</v>
      </c>
      <c r="G173" s="23" t="s">
        <v>1521</v>
      </c>
      <c r="H173" s="23" t="s">
        <v>826</v>
      </c>
      <c r="I173" s="23" t="s">
        <v>741</v>
      </c>
      <c r="J173" s="194" t="s">
        <v>178</v>
      </c>
      <c r="K173" s="78" t="s">
        <v>2261</v>
      </c>
      <c r="L173" s="23" t="s">
        <v>2262</v>
      </c>
      <c r="N173" s="229" t="s">
        <v>2263</v>
      </c>
      <c r="O173" s="237" t="s">
        <v>2264</v>
      </c>
      <c r="P173" s="247" t="s">
        <v>2265</v>
      </c>
      <c r="Q173" s="214">
        <v>44197</v>
      </c>
      <c r="R173" s="214">
        <v>45740</v>
      </c>
      <c r="T173" s="201" t="s">
        <v>745</v>
      </c>
      <c r="U173" s="201" t="s">
        <v>2266</v>
      </c>
      <c r="V173" s="201" t="s">
        <v>394</v>
      </c>
      <c r="W173" s="326" t="s">
        <v>2267</v>
      </c>
      <c r="X173" s="326" t="s">
        <v>2268</v>
      </c>
      <c r="Y173" s="201" t="s">
        <v>2269</v>
      </c>
      <c r="Z173" s="203">
        <f t="shared" ca="1" si="85"/>
        <v>1964</v>
      </c>
      <c r="AA173" s="203">
        <f ca="1">IF(R173&lt;&gt;"",$A$1-R173,"")</f>
        <v>421</v>
      </c>
      <c r="AB173" s="214"/>
      <c r="AD173" s="78" t="s">
        <v>2270</v>
      </c>
      <c r="AE173" s="78" t="s">
        <v>190</v>
      </c>
      <c r="AF173" s="78" t="s">
        <v>320</v>
      </c>
      <c r="AG173" s="78" t="s">
        <v>218</v>
      </c>
      <c r="AH173" s="23" t="s">
        <v>1115</v>
      </c>
      <c r="AI173" s="23" t="s">
        <v>2271</v>
      </c>
      <c r="AJ173" s="23" t="s">
        <v>296</v>
      </c>
      <c r="AK173" s="233" t="s">
        <v>2272</v>
      </c>
      <c r="AL173" s="78" t="s">
        <v>2273</v>
      </c>
      <c r="AM173" s="206" t="s">
        <v>2274</v>
      </c>
      <c r="AN173" s="78" t="s">
        <v>2275</v>
      </c>
      <c r="AO173" s="78" t="s">
        <v>2276</v>
      </c>
      <c r="AP173" s="327" t="s">
        <v>2277</v>
      </c>
      <c r="AQ173" s="201" t="s">
        <v>2278</v>
      </c>
      <c r="AS173" s="209" t="s">
        <v>2279</v>
      </c>
      <c r="AT173" s="23" t="s">
        <v>201</v>
      </c>
      <c r="AU173" s="23" t="s">
        <v>435</v>
      </c>
      <c r="AV173" s="210" t="s">
        <v>454</v>
      </c>
      <c r="AW173" s="318">
        <v>4055000</v>
      </c>
      <c r="AX173" s="148">
        <v>4055000</v>
      </c>
      <c r="AY173" s="23">
        <v>12</v>
      </c>
      <c r="AZ173" s="213">
        <f t="shared" si="63"/>
        <v>48660000</v>
      </c>
      <c r="BC173" s="214">
        <v>45748</v>
      </c>
      <c r="BD173" s="271">
        <v>36000000</v>
      </c>
      <c r="BE173" s="215">
        <v>36000000</v>
      </c>
      <c r="BF173" s="215">
        <f t="shared" si="66"/>
        <v>36000000</v>
      </c>
      <c r="BG173" s="215">
        <f t="shared" si="67"/>
        <v>3000000</v>
      </c>
      <c r="BH173" s="215">
        <v>2508400</v>
      </c>
      <c r="BI173" s="216">
        <f t="shared" si="81"/>
        <v>12958.85</v>
      </c>
      <c r="BJ173" s="216">
        <f>IF(AT173="통상",209,VLOOKUP(AD173,'[2]스케줄 분석_20260109'!$B$3:$F$20,5,FALSE))</f>
        <v>209</v>
      </c>
      <c r="BK173" s="216">
        <f>IF(AT173="통상",15,VLOOKUP(AD173,'[2]스케줄 분석_20260109'!$B$3:$P$20,10,FALSE))</f>
        <v>15</v>
      </c>
      <c r="BL173" s="216">
        <f>IF(AT173="통상",0,VLOOKUP(AD173,'[2]스케줄 분석_20260109'!$B$3:$P$20,11,FALSE))</f>
        <v>0</v>
      </c>
      <c r="BM173" s="215">
        <f t="shared" si="68"/>
        <v>291600</v>
      </c>
      <c r="BN173" s="175">
        <f t="shared" si="69"/>
        <v>0</v>
      </c>
      <c r="BO173" s="213">
        <v>200000</v>
      </c>
      <c r="BP173" s="175">
        <f>IF(OR(AT173="스케줄",AT173="스케줄_파라"),ROUNDUP(VLOOKUP(AD173,'[2]스케줄 분석_20260109'!$B$3:$Y$20,23,FALSE)*(VLOOKUP(AD173,'[2]스케줄 분석_20260109'!$B$3:$Y$20,21,FALSE)/VLOOKUP(AD173,'[2]스케줄 분석_20260109'!$B$3:$Y$20,20,FALSE))*VLOOKUP(AD173,'[2]스케줄 분석_20260109'!$B$3:$Y$20,22,FALSE)*VLOOKUP(AD173,'[2]스케줄 분석_20260109'!$B$3:$Y$20,2,FALSE)*1.5*BI173,0),0)</f>
        <v>0</v>
      </c>
      <c r="BQ173" s="217" t="str">
        <f t="shared" si="70"/>
        <v>적합</v>
      </c>
      <c r="BR173" s="213"/>
      <c r="BS173" s="218">
        <f t="shared" si="71"/>
        <v>518354</v>
      </c>
      <c r="BT173" s="219">
        <f t="shared" si="72"/>
        <v>3043196.1666666665</v>
      </c>
      <c r="BU173" s="175">
        <f t="shared" si="73"/>
        <v>1596000</v>
      </c>
      <c r="BV173" s="175">
        <f t="shared" si="74"/>
        <v>1368541.44</v>
      </c>
      <c r="BW173" s="175">
        <f t="shared" si="75"/>
        <v>520800</v>
      </c>
      <c r="BX173" s="175">
        <f t="shared" si="76"/>
        <v>221760</v>
      </c>
      <c r="BY173" s="213">
        <f t="shared" si="65"/>
        <v>3750000</v>
      </c>
      <c r="BZ173" s="220">
        <f t="shared" si="77"/>
        <v>39561550.166666664</v>
      </c>
      <c r="CA173" s="213">
        <f t="shared" si="83"/>
        <v>3707101.44</v>
      </c>
      <c r="CB173" s="220">
        <f t="shared" si="79"/>
        <v>45000000</v>
      </c>
      <c r="CC173" s="222">
        <f t="shared" si="80"/>
        <v>3660000</v>
      </c>
      <c r="CD173" s="301">
        <f t="shared" si="64"/>
        <v>7.5215782983970403</v>
      </c>
      <c r="CG173" s="23" t="s">
        <v>1733</v>
      </c>
      <c r="CK173" s="187"/>
      <c r="CL173" s="188"/>
    </row>
    <row r="174" spans="1:117" ht="17.25" customHeight="1">
      <c r="A174" s="23">
        <f t="shared" si="62"/>
        <v>171</v>
      </c>
      <c r="B174" s="23" t="s">
        <v>439</v>
      </c>
      <c r="C174" s="190">
        <v>2025016</v>
      </c>
      <c r="D174" s="201" t="s">
        <v>283</v>
      </c>
      <c r="E174" s="23" t="s">
        <v>2280</v>
      </c>
      <c r="F174" s="23" t="s">
        <v>2281</v>
      </c>
      <c r="G174" s="23" t="s">
        <v>1010</v>
      </c>
      <c r="H174" s="23" t="s">
        <v>992</v>
      </c>
      <c r="I174" s="23" t="s">
        <v>741</v>
      </c>
      <c r="J174" s="194" t="s">
        <v>178</v>
      </c>
      <c r="K174" s="78" t="s">
        <v>2282</v>
      </c>
      <c r="L174" s="23" t="s">
        <v>2262</v>
      </c>
      <c r="N174" s="229" t="s">
        <v>2283</v>
      </c>
      <c r="O174" s="237" t="s">
        <v>2284</v>
      </c>
      <c r="P174" s="247" t="s">
        <v>2285</v>
      </c>
      <c r="Q174" s="214">
        <v>41183</v>
      </c>
      <c r="R174" s="214">
        <v>45748</v>
      </c>
      <c r="T174" s="201" t="s">
        <v>2286</v>
      </c>
      <c r="U174" s="201" t="s">
        <v>2287</v>
      </c>
      <c r="V174" s="201" t="s">
        <v>394</v>
      </c>
      <c r="W174" s="201" t="s">
        <v>2154</v>
      </c>
      <c r="X174" s="328" t="s">
        <v>2288</v>
      </c>
      <c r="Y174" s="201" t="s">
        <v>2289</v>
      </c>
      <c r="Z174" s="203">
        <f t="shared" ca="1" si="85"/>
        <v>4978</v>
      </c>
      <c r="AA174" s="203">
        <f ca="1">IF(R174&lt;&gt;"",$A$1-R174,"")</f>
        <v>413</v>
      </c>
      <c r="AB174" s="214"/>
      <c r="AD174" s="78" t="s">
        <v>2290</v>
      </c>
      <c r="AE174" s="78" t="s">
        <v>217</v>
      </c>
      <c r="AF174" s="78" t="s">
        <v>263</v>
      </c>
      <c r="AG174" s="78" t="s">
        <v>263</v>
      </c>
      <c r="AH174" s="23" t="s">
        <v>161</v>
      </c>
      <c r="AI174" s="23" t="s">
        <v>295</v>
      </c>
      <c r="AJ174" s="23" t="s">
        <v>296</v>
      </c>
      <c r="AK174" s="23">
        <v>22382</v>
      </c>
      <c r="AL174" s="78" t="s">
        <v>2291</v>
      </c>
      <c r="AM174" s="269" t="s">
        <v>2292</v>
      </c>
      <c r="AN174" s="78" t="s">
        <v>2293</v>
      </c>
      <c r="AO174" s="78" t="s">
        <v>301</v>
      </c>
      <c r="AP174" s="78" t="s">
        <v>2294</v>
      </c>
      <c r="AQ174" s="201" t="s">
        <v>2295</v>
      </c>
      <c r="AS174" s="209" t="s">
        <v>2296</v>
      </c>
      <c r="AT174" s="23" t="s">
        <v>2297</v>
      </c>
      <c r="AU174" s="23" t="s">
        <v>435</v>
      </c>
      <c r="AV174" s="210" t="s">
        <v>454</v>
      </c>
      <c r="AW174" s="318">
        <v>5500000</v>
      </c>
      <c r="AX174" s="148">
        <v>5500000</v>
      </c>
      <c r="AY174" s="23">
        <v>12</v>
      </c>
      <c r="AZ174" s="213">
        <f t="shared" si="63"/>
        <v>66000000</v>
      </c>
      <c r="BC174" s="214">
        <v>45748</v>
      </c>
      <c r="BD174" s="271">
        <v>38003999.999999993</v>
      </c>
      <c r="BE174" s="215">
        <v>38005200</v>
      </c>
      <c r="BF174" s="215">
        <f t="shared" si="66"/>
        <v>38005200</v>
      </c>
      <c r="BG174" s="215">
        <f t="shared" si="67"/>
        <v>3167100</v>
      </c>
      <c r="BH174" s="215">
        <v>2659200</v>
      </c>
      <c r="BI174" s="216">
        <f t="shared" si="81"/>
        <v>13680.38</v>
      </c>
      <c r="BJ174" s="216">
        <f>IF(AT174="통상",209,VLOOKUP(AD174,'[2]스케줄 분석_20260109'!$B$3:$F$20,5,FALSE))</f>
        <v>209</v>
      </c>
      <c r="BK174" s="216">
        <f>IF(AT174="통상",15,VLOOKUP(AD174,'[2]스케줄 분석_20260109'!$B$3:$P$20,10,FALSE))</f>
        <v>15</v>
      </c>
      <c r="BL174" s="216">
        <f>IF(AT174="통상",0,VLOOKUP(AD174,'[2]스케줄 분석_20260109'!$B$3:$P$20,11,FALSE))</f>
        <v>0</v>
      </c>
      <c r="BM174" s="215">
        <f t="shared" si="68"/>
        <v>307900</v>
      </c>
      <c r="BN174" s="175">
        <f t="shared" si="69"/>
        <v>0</v>
      </c>
      <c r="BO174" s="175">
        <v>200000</v>
      </c>
      <c r="BP174" s="175">
        <f>IF(OR(AT174="스케줄",AT174="스케줄_파라"),ROUNDUP(VLOOKUP(AD174,'[2]스케줄 분석_20260109'!$B$3:$Y$20,23,FALSE)*(VLOOKUP(AD174,'[2]스케줄 분석_20260109'!$B$3:$Y$20,21,FALSE)/VLOOKUP(AD174,'[2]스케줄 분석_20260109'!$B$3:$Y$20,20,FALSE))*VLOOKUP(AD174,'[2]스케줄 분석_20260109'!$B$3:$Y$20,22,FALSE)*VLOOKUP(AD174,'[2]스케줄 분석_20260109'!$B$3:$Y$20,2,FALSE)*1.5*BI174,0),0)</f>
        <v>2123879</v>
      </c>
      <c r="BQ174" s="217" t="str">
        <f t="shared" si="70"/>
        <v>적합</v>
      </c>
      <c r="BR174" s="175"/>
      <c r="BS174" s="218">
        <f t="shared" si="71"/>
        <v>1368038</v>
      </c>
      <c r="BT174" s="219">
        <f t="shared" si="72"/>
        <v>3281103.1666666665</v>
      </c>
      <c r="BU174" s="175">
        <f t="shared" si="73"/>
        <v>1691247</v>
      </c>
      <c r="BV174" s="175">
        <f t="shared" si="74"/>
        <v>1450214.0380799999</v>
      </c>
      <c r="BW174" s="175">
        <f t="shared" si="75"/>
        <v>551880.6</v>
      </c>
      <c r="BX174" s="175">
        <f t="shared" si="76"/>
        <v>234994.32</v>
      </c>
      <c r="BY174" s="213">
        <f t="shared" si="65"/>
        <v>3958875</v>
      </c>
      <c r="BZ174" s="220">
        <f t="shared" si="77"/>
        <v>42654341.166666664</v>
      </c>
      <c r="CA174" s="175">
        <f t="shared" si="83"/>
        <v>3928335.9580799998</v>
      </c>
      <c r="CB174" s="292">
        <f t="shared" si="79"/>
        <v>47506500</v>
      </c>
      <c r="CC174" s="294">
        <f t="shared" si="80"/>
        <v>15923606.41</v>
      </c>
      <c r="CD174" s="301">
        <f t="shared" si="64"/>
        <v>24.126676378787877</v>
      </c>
      <c r="CG174" s="23" t="s">
        <v>1733</v>
      </c>
      <c r="CH174" s="23" t="s">
        <v>2175</v>
      </c>
      <c r="CK174" s="187"/>
      <c r="CL174" s="188"/>
    </row>
    <row r="175" spans="1:117" s="121" customFormat="1" ht="17.25" customHeight="1">
      <c r="A175" s="23">
        <f t="shared" si="62"/>
        <v>172</v>
      </c>
      <c r="B175" s="23" t="s">
        <v>439</v>
      </c>
      <c r="C175" s="190">
        <v>2025017</v>
      </c>
      <c r="D175" s="194" t="s">
        <v>2298</v>
      </c>
      <c r="E175" s="23" t="s">
        <v>149</v>
      </c>
      <c r="F175" s="23" t="s">
        <v>2299</v>
      </c>
      <c r="G175" s="23" t="s">
        <v>1521</v>
      </c>
      <c r="H175" s="23" t="s">
        <v>992</v>
      </c>
      <c r="I175" s="23" t="s">
        <v>741</v>
      </c>
      <c r="J175" s="194" t="s">
        <v>178</v>
      </c>
      <c r="K175" s="78" t="s">
        <v>233</v>
      </c>
      <c r="L175" s="23" t="s">
        <v>2262</v>
      </c>
      <c r="M175" s="23"/>
      <c r="N175" s="229" t="s">
        <v>2300</v>
      </c>
      <c r="O175" s="237" t="s">
        <v>2301</v>
      </c>
      <c r="P175" s="247" t="s">
        <v>2302</v>
      </c>
      <c r="Q175" s="214">
        <v>43709</v>
      </c>
      <c r="R175" s="214">
        <v>45748</v>
      </c>
      <c r="S175" s="23"/>
      <c r="T175" s="201" t="s">
        <v>2303</v>
      </c>
      <c r="U175" s="201" t="s">
        <v>2304</v>
      </c>
      <c r="V175" s="201" t="s">
        <v>2252</v>
      </c>
      <c r="W175" s="326" t="s">
        <v>2305</v>
      </c>
      <c r="X175" s="326" t="s">
        <v>2306</v>
      </c>
      <c r="Y175" s="201"/>
      <c r="Z175" s="203">
        <f t="shared" ca="1" si="85"/>
        <v>2452</v>
      </c>
      <c r="AA175" s="203">
        <f ca="1">IF(R175&lt;&gt;"",$A$1-R175,"")</f>
        <v>413</v>
      </c>
      <c r="AB175" s="214"/>
      <c r="AC175" s="305"/>
      <c r="AD175" s="78" t="s">
        <v>482</v>
      </c>
      <c r="AE175" s="78" t="s">
        <v>217</v>
      </c>
      <c r="AF175" s="78" t="s">
        <v>160</v>
      </c>
      <c r="AG175" s="78" t="s">
        <v>160</v>
      </c>
      <c r="AH175" s="23" t="s">
        <v>161</v>
      </c>
      <c r="AI175" s="23" t="s">
        <v>1560</v>
      </c>
      <c r="AJ175" s="23" t="s">
        <v>475</v>
      </c>
      <c r="AK175" s="23">
        <v>13486</v>
      </c>
      <c r="AL175" s="78" t="s">
        <v>2307</v>
      </c>
      <c r="AM175" s="269" t="s">
        <v>2308</v>
      </c>
      <c r="AN175" s="78" t="s">
        <v>2309</v>
      </c>
      <c r="AO175" s="78" t="s">
        <v>166</v>
      </c>
      <c r="AP175" s="327" t="s">
        <v>2310</v>
      </c>
      <c r="AQ175" s="201" t="s">
        <v>2311</v>
      </c>
      <c r="AR175" s="201" t="s">
        <v>2312</v>
      </c>
      <c r="AS175" s="209" t="s">
        <v>1876</v>
      </c>
      <c r="AT175" s="23" t="s">
        <v>201</v>
      </c>
      <c r="AU175" s="23" t="s">
        <v>435</v>
      </c>
      <c r="AV175" s="210" t="s">
        <v>454</v>
      </c>
      <c r="AW175" s="318">
        <v>5500000</v>
      </c>
      <c r="AX175" s="148">
        <v>5500000</v>
      </c>
      <c r="AY175" s="23">
        <v>12</v>
      </c>
      <c r="AZ175" s="213">
        <f t="shared" si="63"/>
        <v>66000000</v>
      </c>
      <c r="BA175" s="78"/>
      <c r="BB175" s="78"/>
      <c r="BC175" s="214">
        <v>45748</v>
      </c>
      <c r="BD175" s="271">
        <v>34008000</v>
      </c>
      <c r="BE175" s="215">
        <v>34008000</v>
      </c>
      <c r="BF175" s="215">
        <f t="shared" si="66"/>
        <v>34008000</v>
      </c>
      <c r="BG175" s="215">
        <f t="shared" si="67"/>
        <v>2834000</v>
      </c>
      <c r="BH175" s="215">
        <v>2358500</v>
      </c>
      <c r="BI175" s="216">
        <f t="shared" si="81"/>
        <v>12241.63</v>
      </c>
      <c r="BJ175" s="216">
        <f>IF(AT175="통상",209,VLOOKUP(AD175,'[2]스케줄 분석_20260109'!$B$3:$F$20,5,FALSE))</f>
        <v>209</v>
      </c>
      <c r="BK175" s="216">
        <f>IF(AT175="통상",15,VLOOKUP(AD175,'[2]스케줄 분석_20260109'!$B$3:$P$20,10,FALSE))</f>
        <v>15</v>
      </c>
      <c r="BL175" s="216">
        <f>IF(AT175="통상",0,VLOOKUP(AD175,'[2]스케줄 분석_20260109'!$B$3:$P$20,11,FALSE))</f>
        <v>0</v>
      </c>
      <c r="BM175" s="215">
        <f t="shared" si="68"/>
        <v>275500</v>
      </c>
      <c r="BN175" s="175">
        <f t="shared" si="69"/>
        <v>0</v>
      </c>
      <c r="BO175" s="213">
        <v>200000</v>
      </c>
      <c r="BP175" s="175">
        <f>IF(OR(AT175="스케줄",AT175="스케줄_파라"),ROUNDUP(VLOOKUP(AD175,'[2]스케줄 분석_20260109'!$B$3:$Y$20,23,FALSE)*(VLOOKUP(AD175,'[2]스케줄 분석_20260109'!$B$3:$Y$20,21,FALSE)/VLOOKUP(AD175,'[2]스케줄 분석_20260109'!$B$3:$Y$20,20,FALSE))*VLOOKUP(AD175,'[2]스케줄 분석_20260109'!$B$3:$Y$20,22,FALSE)*VLOOKUP(AD175,'[2]스케줄 분석_20260109'!$B$3:$Y$20,2,FALSE)*1.5*BI175,0),0)</f>
        <v>0</v>
      </c>
      <c r="BQ175" s="217" t="str">
        <f t="shared" si="70"/>
        <v>적합</v>
      </c>
      <c r="BR175" s="213"/>
      <c r="BS175" s="218">
        <f t="shared" si="71"/>
        <v>489665.19999999995</v>
      </c>
      <c r="BT175" s="219">
        <f t="shared" si="72"/>
        <v>2874805.4333333331</v>
      </c>
      <c r="BU175" s="175">
        <f t="shared" si="73"/>
        <v>1501380</v>
      </c>
      <c r="BV175" s="175">
        <f t="shared" si="74"/>
        <v>1287406.4831999999</v>
      </c>
      <c r="BW175" s="175">
        <f t="shared" si="75"/>
        <v>489924</v>
      </c>
      <c r="BX175" s="175">
        <f t="shared" si="76"/>
        <v>208612.8</v>
      </c>
      <c r="BY175" s="213">
        <f t="shared" si="65"/>
        <v>3542500</v>
      </c>
      <c r="BZ175" s="220">
        <f t="shared" si="77"/>
        <v>37372470.633333333</v>
      </c>
      <c r="CA175" s="213">
        <f t="shared" si="83"/>
        <v>3487323.2831999995</v>
      </c>
      <c r="CB175" s="220">
        <f t="shared" si="79"/>
        <v>42510000</v>
      </c>
      <c r="CC175" s="222">
        <f t="shared" si="80"/>
        <v>23490000</v>
      </c>
      <c r="CD175" s="301">
        <f t="shared" si="64"/>
        <v>35.590909090909086</v>
      </c>
      <c r="CE175" s="77"/>
      <c r="CF175" s="77"/>
      <c r="CG175" s="23" t="s">
        <v>1733</v>
      </c>
      <c r="CH175" s="23" t="s">
        <v>2175</v>
      </c>
      <c r="CI175" s="78"/>
      <c r="CJ175" s="78"/>
      <c r="CK175" s="187"/>
      <c r="CL175" s="188"/>
      <c r="CM175" s="78"/>
      <c r="CN175" s="78"/>
      <c r="CO175" s="78"/>
      <c r="CP175" s="78"/>
      <c r="CQ175" s="78"/>
      <c r="CR175" s="78"/>
      <c r="CS175" s="78"/>
      <c r="CT175" s="78"/>
      <c r="CU175" s="78"/>
      <c r="CV175" s="78"/>
      <c r="CW175" s="78"/>
      <c r="CX175" s="78"/>
      <c r="CY175" s="78"/>
      <c r="CZ175" s="78"/>
      <c r="DA175" s="78"/>
      <c r="DB175" s="78"/>
      <c r="DC175" s="78"/>
      <c r="DD175" s="78"/>
      <c r="DE175" s="78"/>
      <c r="DF175" s="78"/>
      <c r="DG175" s="78"/>
      <c r="DH175" s="78"/>
      <c r="DI175" s="78"/>
      <c r="DJ175" s="78"/>
      <c r="DK175" s="78"/>
      <c r="DL175" s="78"/>
      <c r="DM175" s="78"/>
    </row>
    <row r="176" spans="1:117" ht="17.25" customHeight="1">
      <c r="A176" s="23">
        <f t="shared" si="62"/>
        <v>173</v>
      </c>
      <c r="B176" s="23" t="s">
        <v>248</v>
      </c>
      <c r="C176" s="190">
        <v>2025023</v>
      </c>
      <c r="D176" s="194" t="s">
        <v>1599</v>
      </c>
      <c r="E176" s="227" t="s">
        <v>2313</v>
      </c>
      <c r="F176" s="227" t="s">
        <v>2314</v>
      </c>
      <c r="G176" s="23" t="s">
        <v>1521</v>
      </c>
      <c r="H176" s="227" t="s">
        <v>992</v>
      </c>
      <c r="I176" s="227" t="s">
        <v>741</v>
      </c>
      <c r="J176" s="194" t="s">
        <v>207</v>
      </c>
      <c r="K176" s="194" t="s">
        <v>2315</v>
      </c>
      <c r="L176" s="227" t="s">
        <v>2262</v>
      </c>
      <c r="M176" s="227"/>
      <c r="N176" s="227" t="s">
        <v>2316</v>
      </c>
      <c r="O176" s="197" t="s">
        <v>2317</v>
      </c>
      <c r="P176" s="229" t="s">
        <v>2318</v>
      </c>
      <c r="Q176" s="214">
        <v>43344</v>
      </c>
      <c r="R176" s="214">
        <v>45779</v>
      </c>
      <c r="S176" s="214"/>
      <c r="T176" s="231" t="s">
        <v>2319</v>
      </c>
      <c r="U176" s="231" t="s">
        <v>1086</v>
      </c>
      <c r="V176" s="201" t="s">
        <v>394</v>
      </c>
      <c r="W176" s="329" t="s">
        <v>425</v>
      </c>
      <c r="X176" s="200" t="s">
        <v>2288</v>
      </c>
      <c r="Y176" s="200" t="s">
        <v>2320</v>
      </c>
      <c r="Z176" s="203">
        <f t="shared" ca="1" si="85"/>
        <v>2817</v>
      </c>
      <c r="AA176" s="203">
        <f ca="1">$A$1-R176</f>
        <v>382</v>
      </c>
      <c r="AB176" s="232"/>
      <c r="AC176" s="232"/>
      <c r="AD176" s="78" t="s">
        <v>610</v>
      </c>
      <c r="AE176" s="78" t="s">
        <v>217</v>
      </c>
      <c r="AF176" s="78" t="s">
        <v>218</v>
      </c>
      <c r="AG176" s="78" t="s">
        <v>218</v>
      </c>
      <c r="AH176" s="23" t="s">
        <v>161</v>
      </c>
      <c r="AI176" s="23" t="s">
        <v>162</v>
      </c>
      <c r="AJ176" s="23" t="s">
        <v>1600</v>
      </c>
      <c r="AK176" s="244">
        <v>13558</v>
      </c>
      <c r="AL176" s="78" t="s">
        <v>1606</v>
      </c>
      <c r="AM176" s="206" t="s">
        <v>2321</v>
      </c>
      <c r="AN176" s="207" t="s">
        <v>2322</v>
      </c>
      <c r="AO176" s="78" t="s">
        <v>613</v>
      </c>
      <c r="AP176" s="78" t="s">
        <v>2323</v>
      </c>
      <c r="AQ176" s="201" t="s">
        <v>1610</v>
      </c>
      <c r="AR176" s="201" t="s">
        <v>2324</v>
      </c>
      <c r="AS176" s="209" t="s">
        <v>2325</v>
      </c>
      <c r="AT176" s="23" t="s">
        <v>201</v>
      </c>
      <c r="AU176" s="23" t="s">
        <v>435</v>
      </c>
      <c r="AV176" s="210" t="s">
        <v>454</v>
      </c>
      <c r="AW176" s="251">
        <v>4700000</v>
      </c>
      <c r="AX176" s="175">
        <v>4700000</v>
      </c>
      <c r="AY176" s="212">
        <v>12</v>
      </c>
      <c r="AZ176" s="213">
        <f t="shared" si="63"/>
        <v>56400000</v>
      </c>
      <c r="BC176" s="214">
        <v>45839</v>
      </c>
      <c r="BD176" s="304">
        <v>35004000</v>
      </c>
      <c r="BE176" s="215">
        <v>35005200</v>
      </c>
      <c r="BF176" s="215">
        <f t="shared" si="66"/>
        <v>35005200</v>
      </c>
      <c r="BG176" s="215">
        <f t="shared" si="67"/>
        <v>2917100</v>
      </c>
      <c r="BH176" s="215">
        <v>2433500</v>
      </c>
      <c r="BI176" s="216">
        <f t="shared" si="81"/>
        <v>12600.48</v>
      </c>
      <c r="BJ176" s="216">
        <f>IF(AT176="통상",209,VLOOKUP(AD176,'[2]스케줄 분석_20260109'!$B$3:$F$20,5,FALSE))</f>
        <v>209</v>
      </c>
      <c r="BK176" s="216">
        <f>IF(AT176="통상",15,VLOOKUP(AD176,'[2]스케줄 분석_20260109'!$B$3:$P$20,10,FALSE))</f>
        <v>15</v>
      </c>
      <c r="BL176" s="216">
        <f>IF(AT176="통상",0,VLOOKUP(AD176,'[2]스케줄 분석_20260109'!$B$3:$P$20,11,FALSE))</f>
        <v>0</v>
      </c>
      <c r="BM176" s="215">
        <f t="shared" si="68"/>
        <v>283600</v>
      </c>
      <c r="BN176" s="175">
        <f t="shared" si="69"/>
        <v>0</v>
      </c>
      <c r="BO176" s="213">
        <v>200000</v>
      </c>
      <c r="BP176" s="175">
        <f>IF(OR(AT176="스케줄",AT176="스케줄_파라"),ROUNDUP(VLOOKUP(AD176,'[2]스케줄 분석_20260109'!$B$3:$Y$20,23,FALSE)*(VLOOKUP(AD176,'[2]스케줄 분석_20260109'!$B$3:$Y$20,21,FALSE)/VLOOKUP(AD176,'[2]스케줄 분석_20260109'!$B$3:$Y$20,20,FALSE))*VLOOKUP(AD176,'[2]스케줄 분석_20260109'!$B$3:$Y$20,22,FALSE)*VLOOKUP(AD176,'[2]스케줄 분석_20260109'!$B$3:$Y$20,2,FALSE)*1.5*BI176,0),0)</f>
        <v>0</v>
      </c>
      <c r="BQ176" s="217" t="str">
        <f t="shared" si="70"/>
        <v>적합</v>
      </c>
      <c r="BR176" s="213"/>
      <c r="BS176" s="218">
        <f t="shared" si="71"/>
        <v>504019.19999999995</v>
      </c>
      <c r="BT176" s="219">
        <f t="shared" si="72"/>
        <v>2959101.6</v>
      </c>
      <c r="BU176" s="175">
        <f t="shared" si="73"/>
        <v>1548747</v>
      </c>
      <c r="BV176" s="175">
        <f t="shared" si="74"/>
        <v>1328022.8380799999</v>
      </c>
      <c r="BW176" s="175">
        <f t="shared" si="75"/>
        <v>505380.6</v>
      </c>
      <c r="BX176" s="175">
        <f t="shared" si="76"/>
        <v>215194.32</v>
      </c>
      <c r="BY176" s="213">
        <f t="shared" si="65"/>
        <v>3646375</v>
      </c>
      <c r="BZ176" s="220">
        <f t="shared" si="77"/>
        <v>38468320.800000004</v>
      </c>
      <c r="CA176" s="213">
        <f t="shared" si="83"/>
        <v>3597344.7580800001</v>
      </c>
      <c r="CB176" s="221">
        <f t="shared" si="79"/>
        <v>43756500</v>
      </c>
      <c r="CC176" s="222">
        <f t="shared" si="80"/>
        <v>12643500</v>
      </c>
      <c r="CD176" s="223">
        <f t="shared" si="64"/>
        <v>22.417553191489361</v>
      </c>
      <c r="CE176" s="283"/>
      <c r="CF176" s="283"/>
      <c r="CG176" s="23" t="s">
        <v>1733</v>
      </c>
      <c r="CH176" s="23" t="s">
        <v>2175</v>
      </c>
      <c r="CK176" s="187"/>
      <c r="CL176" s="188"/>
    </row>
    <row r="177" spans="1:117" ht="17.25" customHeight="1">
      <c r="A177" s="23">
        <f t="shared" si="62"/>
        <v>174</v>
      </c>
      <c r="B177" s="23" t="s">
        <v>439</v>
      </c>
      <c r="C177" s="190">
        <v>2025026</v>
      </c>
      <c r="D177" s="201" t="s">
        <v>1435</v>
      </c>
      <c r="E177" s="23" t="s">
        <v>1436</v>
      </c>
      <c r="F177" s="24" t="s">
        <v>2326</v>
      </c>
      <c r="G177" s="23" t="s">
        <v>412</v>
      </c>
      <c r="H177" s="23" t="s">
        <v>1483</v>
      </c>
      <c r="I177" s="23" t="s">
        <v>1484</v>
      </c>
      <c r="J177" s="194" t="s">
        <v>178</v>
      </c>
      <c r="K177" s="79" t="s">
        <v>1401</v>
      </c>
      <c r="L177" s="227" t="s">
        <v>2327</v>
      </c>
      <c r="N177" s="229" t="s">
        <v>2328</v>
      </c>
      <c r="O177" s="197" t="s">
        <v>2329</v>
      </c>
      <c r="P177" s="229" t="s">
        <v>2330</v>
      </c>
      <c r="Q177" s="214">
        <v>45352</v>
      </c>
      <c r="R177" s="214">
        <v>45803</v>
      </c>
      <c r="T177" s="231" t="s">
        <v>2331</v>
      </c>
      <c r="U177" s="201" t="s">
        <v>2332</v>
      </c>
      <c r="V177" s="201" t="s">
        <v>334</v>
      </c>
      <c r="Z177" s="203">
        <f t="shared" ca="1" si="85"/>
        <v>809</v>
      </c>
      <c r="AA177" s="203">
        <f ca="1">$A$1-R177</f>
        <v>358</v>
      </c>
      <c r="AB177" s="203"/>
      <c r="AC177" s="267"/>
      <c r="AD177" s="78" t="s">
        <v>1459</v>
      </c>
      <c r="AE177" s="78" t="s">
        <v>190</v>
      </c>
      <c r="AF177" s="78" t="s">
        <v>263</v>
      </c>
      <c r="AG177" s="78" t="s">
        <v>263</v>
      </c>
      <c r="AH177" s="23" t="s">
        <v>1443</v>
      </c>
      <c r="AI177" s="23" t="s">
        <v>1444</v>
      </c>
      <c r="AJ177" s="23" t="s">
        <v>1445</v>
      </c>
      <c r="AK177" s="268" t="s">
        <v>1446</v>
      </c>
      <c r="AL177" s="78" t="s">
        <v>1460</v>
      </c>
      <c r="AM177" s="269" t="s">
        <v>2333</v>
      </c>
      <c r="AN177" s="78" t="s">
        <v>2334</v>
      </c>
      <c r="AO177" s="78" t="s">
        <v>2335</v>
      </c>
      <c r="AP177" s="78" t="s">
        <v>1463</v>
      </c>
      <c r="AQ177" s="201" t="s">
        <v>433</v>
      </c>
      <c r="AS177" s="209" t="s">
        <v>1452</v>
      </c>
      <c r="AT177" s="23" t="s">
        <v>434</v>
      </c>
      <c r="AU177" s="23" t="s">
        <v>435</v>
      </c>
      <c r="AV177" s="210" t="s">
        <v>454</v>
      </c>
      <c r="AW177" s="251">
        <v>3300000</v>
      </c>
      <c r="AX177" s="270">
        <v>3260000</v>
      </c>
      <c r="AY177" s="212">
        <v>12</v>
      </c>
      <c r="AZ177" s="213">
        <f t="shared" si="63"/>
        <v>39120000</v>
      </c>
      <c r="BC177" s="230">
        <v>46023</v>
      </c>
      <c r="BD177" s="304">
        <v>27087600</v>
      </c>
      <c r="BE177" s="215">
        <v>27087600</v>
      </c>
      <c r="BF177" s="261">
        <f t="shared" si="66"/>
        <v>27493200</v>
      </c>
      <c r="BG177" s="215">
        <f t="shared" si="67"/>
        <v>2291100</v>
      </c>
      <c r="BH177" s="215">
        <v>1549900</v>
      </c>
      <c r="BI177" s="216">
        <f t="shared" si="81"/>
        <v>10379</v>
      </c>
      <c r="BJ177" s="216">
        <f>IF(AT177="통상",209,VLOOKUP(AD177,'[2]스케줄 분석_20260109'!$B$3:$F$20,5,FALSE))</f>
        <v>168.60000000000002</v>
      </c>
      <c r="BK177" s="216">
        <f>IF(AT177="통상",15,VLOOKUP(AD177,'[2]스케줄 분석_20260109'!$B$3:$P$20,10,FALSE))</f>
        <v>43.45</v>
      </c>
      <c r="BL177" s="216">
        <f>IF(AT177="통상",0,VLOOKUP(AD177,'[2]스케줄 분석_20260109'!$B$3:$P$20,11,FALSE))</f>
        <v>60.83</v>
      </c>
      <c r="BM177" s="215">
        <f t="shared" si="68"/>
        <v>225500</v>
      </c>
      <c r="BN177" s="175">
        <f t="shared" si="69"/>
        <v>315700</v>
      </c>
      <c r="BO177" s="213">
        <v>200000</v>
      </c>
      <c r="BP177" s="175">
        <f>IF(OR(AT177="스케줄",AT177="스케줄_파라"),ROUNDUP(VLOOKUP(AD177,'[2]스케줄 분석_20260109'!$B$3:$Y$20,23,FALSE)*(VLOOKUP(AD177,'[2]스케줄 분석_20260109'!$B$3:$Y$20,21,FALSE)/VLOOKUP(AD177,'[2]스케줄 분석_20260109'!$B$3:$Y$20,20,FALSE))*VLOOKUP(AD177,'[2]스케줄 분석_20260109'!$B$3:$Y$20,22,FALSE)*VLOOKUP(AD177,'[2]스케줄 분석_20260109'!$B$3:$Y$20,2,FALSE)*1.5*BI177,0),0)</f>
        <v>2029095</v>
      </c>
      <c r="BQ177" s="217" t="str">
        <f t="shared" si="70"/>
        <v>적합</v>
      </c>
      <c r="BR177" s="271"/>
      <c r="BS177" s="218">
        <f t="shared" si="71"/>
        <v>1037900</v>
      </c>
      <c r="BT177" s="219">
        <f t="shared" si="72"/>
        <v>2377591.6666666665</v>
      </c>
      <c r="BU177" s="175">
        <f t="shared" si="73"/>
        <v>1191927</v>
      </c>
      <c r="BV177" s="175">
        <f t="shared" si="74"/>
        <v>1022056.0732799999</v>
      </c>
      <c r="BW177" s="175">
        <f t="shared" si="75"/>
        <v>388944.6</v>
      </c>
      <c r="BX177" s="175">
        <f t="shared" si="76"/>
        <v>165615.12</v>
      </c>
      <c r="BY177" s="213">
        <f t="shared" si="65"/>
        <v>2863875</v>
      </c>
      <c r="BZ177" s="220">
        <f t="shared" si="77"/>
        <v>30908691.666666668</v>
      </c>
      <c r="CA177" s="213">
        <f t="shared" si="83"/>
        <v>2768542.7932800003</v>
      </c>
      <c r="CB177" s="221">
        <f t="shared" si="79"/>
        <v>34366500</v>
      </c>
      <c r="CC177" s="222">
        <f t="shared" si="80"/>
        <v>2298295.0500000003</v>
      </c>
      <c r="CD177" s="223">
        <f t="shared" si="64"/>
        <v>5.8749873466257672</v>
      </c>
      <c r="CG177" s="23" t="s">
        <v>1679</v>
      </c>
      <c r="CH177" s="23" t="s">
        <v>438</v>
      </c>
      <c r="CJ177" s="188"/>
      <c r="CK177" s="187"/>
      <c r="CL177" s="188"/>
    </row>
    <row r="178" spans="1:117" ht="17.25" customHeight="1">
      <c r="A178" s="23">
        <f t="shared" si="62"/>
        <v>175</v>
      </c>
      <c r="B178" s="23" t="s">
        <v>439</v>
      </c>
      <c r="C178" s="190">
        <v>2019021</v>
      </c>
      <c r="D178" s="191" t="s">
        <v>409</v>
      </c>
      <c r="E178" s="227" t="s">
        <v>410</v>
      </c>
      <c r="F178" s="23" t="s">
        <v>2336</v>
      </c>
      <c r="G178" s="23" t="s">
        <v>1010</v>
      </c>
      <c r="H178" s="227" t="s">
        <v>992</v>
      </c>
      <c r="I178" s="227" t="s">
        <v>1204</v>
      </c>
      <c r="J178" s="194" t="s">
        <v>178</v>
      </c>
      <c r="K178" s="79" t="s">
        <v>1401</v>
      </c>
      <c r="L178" s="227" t="s">
        <v>2337</v>
      </c>
      <c r="M178" s="192" t="s">
        <v>417</v>
      </c>
      <c r="N178" s="228" t="s">
        <v>2338</v>
      </c>
      <c r="O178" t="s">
        <v>2339</v>
      </c>
      <c r="P178" s="229" t="s">
        <v>2340</v>
      </c>
      <c r="Q178" s="214">
        <v>43586</v>
      </c>
      <c r="R178" s="255">
        <v>43586</v>
      </c>
      <c r="S178" s="214"/>
      <c r="T178" s="231" t="s">
        <v>1209</v>
      </c>
      <c r="U178" s="231" t="s">
        <v>1086</v>
      </c>
      <c r="V178" s="201" t="s">
        <v>278</v>
      </c>
      <c r="W178" s="231" t="s">
        <v>684</v>
      </c>
      <c r="X178" s="200" t="s">
        <v>1211</v>
      </c>
      <c r="Y178" s="200" t="s">
        <v>1408</v>
      </c>
      <c r="Z178" s="203">
        <f t="shared" ca="1" si="85"/>
        <v>2575</v>
      </c>
      <c r="AA178" s="203">
        <f ca="1">$A$1-R178</f>
        <v>2575</v>
      </c>
      <c r="AB178" s="232"/>
      <c r="AC178" s="232"/>
      <c r="AD178" s="78" t="s">
        <v>426</v>
      </c>
      <c r="AE178" s="78" t="s">
        <v>217</v>
      </c>
      <c r="AF178" s="78" t="s">
        <v>218</v>
      </c>
      <c r="AG178" s="78" t="s">
        <v>218</v>
      </c>
      <c r="AH178" s="23" t="s">
        <v>161</v>
      </c>
      <c r="AI178" s="23" t="s">
        <v>162</v>
      </c>
      <c r="AJ178" s="23" t="s">
        <v>410</v>
      </c>
      <c r="AK178" s="23">
        <v>13486</v>
      </c>
      <c r="AL178" s="78" t="s">
        <v>428</v>
      </c>
      <c r="AM178" s="206">
        <v>13154</v>
      </c>
      <c r="AN178" s="207" t="s">
        <v>2341</v>
      </c>
      <c r="AO178" s="78" t="s">
        <v>431</v>
      </c>
      <c r="AP178" s="208" t="s">
        <v>432</v>
      </c>
      <c r="AQ178" s="201" t="s">
        <v>433</v>
      </c>
      <c r="AS178" s="209" t="s">
        <v>453</v>
      </c>
      <c r="AT178" s="23" t="s">
        <v>434</v>
      </c>
      <c r="AU178" s="23" t="s">
        <v>435</v>
      </c>
      <c r="AV178" s="210" t="s">
        <v>454</v>
      </c>
      <c r="AW178" s="211">
        <v>4615000</v>
      </c>
      <c r="AX178" s="175">
        <v>4615000</v>
      </c>
      <c r="AY178" s="212">
        <v>12</v>
      </c>
      <c r="AZ178" s="213">
        <f t="shared" si="63"/>
        <v>55380000</v>
      </c>
      <c r="BA178" s="251"/>
      <c r="BB178" s="251"/>
      <c r="BC178" s="214">
        <v>45839</v>
      </c>
      <c r="BD178" s="215">
        <v>39168000</v>
      </c>
      <c r="BE178" s="215">
        <v>40928400</v>
      </c>
      <c r="BF178" s="215">
        <f t="shared" si="66"/>
        <v>40928400</v>
      </c>
      <c r="BG178" s="215">
        <f t="shared" si="67"/>
        <v>3410700</v>
      </c>
      <c r="BH178" s="215">
        <v>2555700</v>
      </c>
      <c r="BI178" s="216">
        <f t="shared" si="81"/>
        <v>14976.63</v>
      </c>
      <c r="BJ178" s="216">
        <f>IF(AT178="통상",209,VLOOKUP(AD178,'[2]스케줄 분석_20260109'!$B$3:$F$20,5,FALSE))</f>
        <v>184</v>
      </c>
      <c r="BK178" s="216">
        <f>IF(AT178="통상",15,VLOOKUP(AD178,'[2]스케줄 분석_20260109'!$B$3:$P$20,10,FALSE))</f>
        <v>38.020000000000003</v>
      </c>
      <c r="BL178" s="216">
        <f>IF(AT178="통상",0,VLOOKUP(AD178,'[2]스케줄 분석_20260109'!$B$3:$P$20,11,FALSE))</f>
        <v>49.43</v>
      </c>
      <c r="BM178" s="215">
        <f t="shared" si="68"/>
        <v>284800</v>
      </c>
      <c r="BN178" s="175">
        <f t="shared" si="69"/>
        <v>370200</v>
      </c>
      <c r="BO178" s="213">
        <v>200000</v>
      </c>
      <c r="BP178" s="175">
        <f>IF(OR(AT178="스케줄",AT178="스케줄_파라"),ROUNDUP(VLOOKUP(AD178,'[2]스케줄 분석_20260109'!$B$3:$Y$20,23,FALSE)*(VLOOKUP(AD178,'[2]스케줄 분석_20260109'!$B$3:$Y$20,21,FALSE)/VLOOKUP(AD178,'[2]스케줄 분석_20260109'!$B$3:$Y$20,20,FALSE))*VLOOKUP(AD178,'[2]스케줄 분석_20260109'!$B$3:$Y$20,22,FALSE)*VLOOKUP(AD178,'[2]스케줄 분석_20260109'!$B$3:$Y$20,2,FALSE)*1.5*BI178,0),0)</f>
        <v>2712643</v>
      </c>
      <c r="BQ178" s="217" t="str">
        <f t="shared" si="70"/>
        <v>적합</v>
      </c>
      <c r="BR178" s="213"/>
      <c r="BS178" s="218">
        <f t="shared" si="71"/>
        <v>1497663</v>
      </c>
      <c r="BT178" s="219">
        <f t="shared" si="72"/>
        <v>3535505.25</v>
      </c>
      <c r="BU178" s="175">
        <f t="shared" si="73"/>
        <v>1830099</v>
      </c>
      <c r="BV178" s="175">
        <f t="shared" si="74"/>
        <v>1569277.1433599999</v>
      </c>
      <c r="BW178" s="175">
        <f t="shared" si="75"/>
        <v>597190.19999999995</v>
      </c>
      <c r="BX178" s="175">
        <f t="shared" si="76"/>
        <v>254287.44</v>
      </c>
      <c r="BY178" s="213">
        <f t="shared" si="65"/>
        <v>4263375</v>
      </c>
      <c r="BZ178" s="220">
        <f t="shared" si="77"/>
        <v>45961568.25</v>
      </c>
      <c r="CA178" s="213">
        <f t="shared" si="83"/>
        <v>4250853.7833600007</v>
      </c>
      <c r="CB178" s="221">
        <f t="shared" si="79"/>
        <v>51160500</v>
      </c>
      <c r="CC178" s="222">
        <f t="shared" si="80"/>
        <v>937201.9700000002</v>
      </c>
      <c r="CD178" s="223">
        <f t="shared" si="64"/>
        <v>1.6923112495485739</v>
      </c>
      <c r="CE178" s="258">
        <v>44738</v>
      </c>
      <c r="CF178" s="258"/>
      <c r="CK178" s="187"/>
      <c r="CL178" s="188"/>
      <c r="DL178" s="121"/>
      <c r="DM178" s="121"/>
    </row>
    <row r="179" spans="1:117" ht="17.25" customHeight="1">
      <c r="A179" s="23">
        <f t="shared" si="62"/>
        <v>176</v>
      </c>
      <c r="B179" s="23" t="s">
        <v>439</v>
      </c>
      <c r="C179" s="190">
        <v>2023019</v>
      </c>
      <c r="D179" s="191" t="s">
        <v>409</v>
      </c>
      <c r="E179" s="227" t="s">
        <v>410</v>
      </c>
      <c r="F179" s="227" t="s">
        <v>2342</v>
      </c>
      <c r="G179" s="23" t="s">
        <v>1192</v>
      </c>
      <c r="H179" s="227" t="s">
        <v>992</v>
      </c>
      <c r="I179" s="227" t="s">
        <v>1204</v>
      </c>
      <c r="J179" s="194" t="s">
        <v>178</v>
      </c>
      <c r="K179" s="79" t="s">
        <v>1401</v>
      </c>
      <c r="L179" s="227" t="s">
        <v>2343</v>
      </c>
      <c r="M179" s="192" t="s">
        <v>417</v>
      </c>
      <c r="N179" s="228" t="s">
        <v>2344</v>
      </c>
      <c r="O179" t="s">
        <v>2345</v>
      </c>
      <c r="P179" s="229" t="s">
        <v>2346</v>
      </c>
      <c r="Q179" s="214">
        <v>45012</v>
      </c>
      <c r="R179" s="214">
        <v>45012</v>
      </c>
      <c r="S179" s="214"/>
      <c r="T179" s="231" t="s">
        <v>2347</v>
      </c>
      <c r="U179" s="231" t="s">
        <v>1617</v>
      </c>
      <c r="V179" s="201" t="s">
        <v>1210</v>
      </c>
      <c r="W179" s="200" t="s">
        <v>789</v>
      </c>
      <c r="X179" s="200" t="s">
        <v>1244</v>
      </c>
      <c r="Y179" s="200" t="s">
        <v>1408</v>
      </c>
      <c r="Z179" s="203">
        <f t="shared" ca="1" si="85"/>
        <v>1149</v>
      </c>
      <c r="AA179" s="203">
        <f ca="1">$A$1-R179</f>
        <v>1149</v>
      </c>
      <c r="AB179" s="232"/>
      <c r="AC179" s="232"/>
      <c r="AD179" s="78" t="s">
        <v>426</v>
      </c>
      <c r="AE179" s="78" t="s">
        <v>217</v>
      </c>
      <c r="AF179" s="78" t="s">
        <v>218</v>
      </c>
      <c r="AG179" s="78" t="s">
        <v>218</v>
      </c>
      <c r="AH179" s="23" t="s">
        <v>161</v>
      </c>
      <c r="AI179" s="23" t="s">
        <v>162</v>
      </c>
      <c r="AJ179" s="23" t="s">
        <v>427</v>
      </c>
      <c r="AK179" s="23">
        <v>13486</v>
      </c>
      <c r="AL179" s="78" t="s">
        <v>428</v>
      </c>
      <c r="AM179" s="206" t="s">
        <v>2348</v>
      </c>
      <c r="AN179" s="207" t="s">
        <v>2349</v>
      </c>
      <c r="AO179" s="78" t="s">
        <v>431</v>
      </c>
      <c r="AP179" s="208" t="s">
        <v>432</v>
      </c>
      <c r="AQ179" s="201" t="s">
        <v>433</v>
      </c>
      <c r="AS179" s="209" t="s">
        <v>453</v>
      </c>
      <c r="AT179" s="23" t="s">
        <v>434</v>
      </c>
      <c r="AU179" s="23" t="s">
        <v>435</v>
      </c>
      <c r="AV179" s="210" t="s">
        <v>454</v>
      </c>
      <c r="AW179" s="211">
        <v>4480000</v>
      </c>
      <c r="AX179" s="175">
        <v>4480000</v>
      </c>
      <c r="AY179" s="212">
        <v>12</v>
      </c>
      <c r="AZ179" s="213">
        <f t="shared" si="63"/>
        <v>53760000</v>
      </c>
      <c r="BA179" s="213"/>
      <c r="BB179" s="213"/>
      <c r="BC179" s="214">
        <v>45839</v>
      </c>
      <c r="BD179" s="215">
        <v>29823480</v>
      </c>
      <c r="BE179" s="215">
        <v>31909200</v>
      </c>
      <c r="BF179" s="215">
        <f t="shared" si="66"/>
        <v>31909200</v>
      </c>
      <c r="BG179" s="215">
        <f t="shared" si="67"/>
        <v>2659100</v>
      </c>
      <c r="BH179" s="215">
        <v>1948500</v>
      </c>
      <c r="BI179" s="216">
        <f t="shared" si="81"/>
        <v>11676.63</v>
      </c>
      <c r="BJ179" s="216">
        <f>IF(AT179="통상",209,VLOOKUP(AD179,'[2]스케줄 분석_20260109'!$B$3:$F$20,5,FALSE))</f>
        <v>184</v>
      </c>
      <c r="BK179" s="216">
        <f>IF(AT179="통상",15,VLOOKUP(AD179,'[2]스케줄 분석_20260109'!$B$3:$P$20,10,FALSE))</f>
        <v>38.020000000000003</v>
      </c>
      <c r="BL179" s="216">
        <f>IF(AT179="통상",0,VLOOKUP(AD179,'[2]스케줄 분석_20260109'!$B$3:$P$20,11,FALSE))</f>
        <v>49.43</v>
      </c>
      <c r="BM179" s="215">
        <f t="shared" si="68"/>
        <v>222000</v>
      </c>
      <c r="BN179" s="175">
        <f t="shared" si="69"/>
        <v>288600</v>
      </c>
      <c r="BO179" s="213">
        <v>200000</v>
      </c>
      <c r="BP179" s="175">
        <f>IF(OR(AT179="스케줄",AT179="스케줄_파라"),ROUNDUP(VLOOKUP(AD179,'[2]스케줄 분석_20260109'!$B$3:$Y$20,23,FALSE)*(VLOOKUP(AD179,'[2]스케줄 분석_20260109'!$B$3:$Y$20,21,FALSE)/VLOOKUP(AD179,'[2]스케줄 분석_20260109'!$B$3:$Y$20,20,FALSE))*VLOOKUP(AD179,'[2]스케줄 분석_20260109'!$B$3:$Y$20,22,FALSE)*VLOOKUP(AD179,'[2]스케줄 분석_20260109'!$B$3:$Y$20,2,FALSE)*1.5*BI179,0),0)</f>
        <v>2114930</v>
      </c>
      <c r="BQ179" s="217" t="str">
        <f t="shared" si="70"/>
        <v>적합</v>
      </c>
      <c r="BR179" s="213"/>
      <c r="BS179" s="218">
        <f t="shared" si="71"/>
        <v>1167663</v>
      </c>
      <c r="BT179" s="219">
        <f t="shared" si="72"/>
        <v>2756405.25</v>
      </c>
      <c r="BU179" s="175">
        <f t="shared" si="73"/>
        <v>1401687</v>
      </c>
      <c r="BV179" s="175">
        <f t="shared" si="74"/>
        <v>1201921.5196799999</v>
      </c>
      <c r="BW179" s="175">
        <f t="shared" si="75"/>
        <v>457392.6</v>
      </c>
      <c r="BX179" s="175">
        <f t="shared" si="76"/>
        <v>194760.72</v>
      </c>
      <c r="BY179" s="213">
        <f t="shared" si="65"/>
        <v>3323875</v>
      </c>
      <c r="BZ179" s="220">
        <f t="shared" si="77"/>
        <v>35833268.25</v>
      </c>
      <c r="CA179" s="213">
        <f t="shared" si="83"/>
        <v>3255761.8396800002</v>
      </c>
      <c r="CB179" s="221">
        <f t="shared" si="79"/>
        <v>39886500</v>
      </c>
      <c r="CC179" s="222">
        <f t="shared" si="80"/>
        <v>11314434.699999999</v>
      </c>
      <c r="CD179" s="223">
        <f t="shared" si="64"/>
        <v>21.046195498511903</v>
      </c>
      <c r="CG179" s="23" t="s">
        <v>1733</v>
      </c>
      <c r="CH179" s="23" t="s">
        <v>1877</v>
      </c>
      <c r="CK179" s="187"/>
      <c r="CL179" s="188"/>
    </row>
    <row r="180" spans="1:117" ht="18" customHeight="1">
      <c r="A180" s="23">
        <f t="shared" si="62"/>
        <v>177</v>
      </c>
      <c r="B180" s="23" t="s">
        <v>439</v>
      </c>
      <c r="C180" s="190">
        <v>2023035</v>
      </c>
      <c r="D180" s="194" t="s">
        <v>989</v>
      </c>
      <c r="E180" s="227" t="s">
        <v>990</v>
      </c>
      <c r="F180" s="227" t="s">
        <v>2350</v>
      </c>
      <c r="G180" s="23" t="s">
        <v>412</v>
      </c>
      <c r="H180" s="227" t="s">
        <v>1167</v>
      </c>
      <c r="I180" s="227" t="s">
        <v>741</v>
      </c>
      <c r="J180" s="194" t="s">
        <v>178</v>
      </c>
      <c r="K180" s="78" t="s">
        <v>1011</v>
      </c>
      <c r="L180" s="23" t="s">
        <v>2351</v>
      </c>
      <c r="M180" s="227"/>
      <c r="N180" s="228" t="s">
        <v>2352</v>
      </c>
      <c r="O180" t="s">
        <v>2353</v>
      </c>
      <c r="P180" s="229" t="s">
        <v>2354</v>
      </c>
      <c r="Q180" s="214">
        <v>45124</v>
      </c>
      <c r="R180" s="255">
        <v>45124</v>
      </c>
      <c r="S180" s="214"/>
      <c r="T180" s="231" t="s">
        <v>2355</v>
      </c>
      <c r="U180" s="231"/>
      <c r="V180" s="201" t="s">
        <v>316</v>
      </c>
      <c r="Z180" s="203">
        <f t="shared" ca="1" si="85"/>
        <v>1037</v>
      </c>
      <c r="AA180" s="203">
        <f t="shared" ref="AA180:AA190" ca="1" si="86">$A$1-R180</f>
        <v>1037</v>
      </c>
      <c r="AB180" s="232"/>
      <c r="AD180" s="78" t="s">
        <v>1035</v>
      </c>
      <c r="AE180" s="78" t="s">
        <v>217</v>
      </c>
      <c r="AF180" s="78" t="s">
        <v>191</v>
      </c>
      <c r="AG180" s="78" t="s">
        <v>191</v>
      </c>
      <c r="AH180" s="23" t="s">
        <v>161</v>
      </c>
      <c r="AI180" s="23" t="s">
        <v>365</v>
      </c>
      <c r="AJ180" s="23" t="s">
        <v>990</v>
      </c>
      <c r="AK180" s="23" t="s">
        <v>1000</v>
      </c>
      <c r="AL180" s="78" t="s">
        <v>1001</v>
      </c>
      <c r="AM180" s="206" t="s">
        <v>2255</v>
      </c>
      <c r="AN180" s="207" t="s">
        <v>2356</v>
      </c>
      <c r="AO180" s="78" t="s">
        <v>401</v>
      </c>
      <c r="AP180" s="78" t="s">
        <v>1038</v>
      </c>
      <c r="AQ180" s="201" t="s">
        <v>1026</v>
      </c>
      <c r="AR180" s="201" t="s">
        <v>1027</v>
      </c>
      <c r="AS180" s="209" t="s">
        <v>1006</v>
      </c>
      <c r="AT180" s="23" t="s">
        <v>201</v>
      </c>
      <c r="AU180" s="23" t="s">
        <v>435</v>
      </c>
      <c r="AV180" s="210" t="s">
        <v>454</v>
      </c>
      <c r="AW180" s="251">
        <v>5353000</v>
      </c>
      <c r="AX180" s="175">
        <v>5353000</v>
      </c>
      <c r="AY180" s="212">
        <v>12</v>
      </c>
      <c r="AZ180" s="213">
        <f t="shared" si="63"/>
        <v>64236000</v>
      </c>
      <c r="BA180" s="251"/>
      <c r="BB180" s="251"/>
      <c r="BC180" s="214">
        <v>45809</v>
      </c>
      <c r="BD180" s="22">
        <v>32004000</v>
      </c>
      <c r="BE180" s="215">
        <v>32004000</v>
      </c>
      <c r="BF180" s="215">
        <f t="shared" si="66"/>
        <v>32004000</v>
      </c>
      <c r="BG180" s="215">
        <f t="shared" si="67"/>
        <v>2667000</v>
      </c>
      <c r="BH180" s="215">
        <v>2207700</v>
      </c>
      <c r="BI180" s="216">
        <f t="shared" si="81"/>
        <v>11520.1</v>
      </c>
      <c r="BJ180" s="216">
        <f>IF(AT180="통상",209,VLOOKUP(AD180,'[2]스케줄 분석_20260109'!$B$3:$F$20,5,FALSE))</f>
        <v>209</v>
      </c>
      <c r="BK180" s="216">
        <f>IF(AT180="통상",15,VLOOKUP(AD180,'[2]스케줄 분석_20260109'!$B$3:$P$20,10,FALSE))</f>
        <v>15</v>
      </c>
      <c r="BL180" s="216">
        <f>IF(AT180="통상",0,VLOOKUP(AD180,'[2]스케줄 분석_20260109'!$B$3:$P$20,11,FALSE))</f>
        <v>0</v>
      </c>
      <c r="BM180" s="215">
        <f t="shared" si="68"/>
        <v>259300</v>
      </c>
      <c r="BN180" s="175">
        <f t="shared" si="69"/>
        <v>0</v>
      </c>
      <c r="BO180" s="213">
        <v>200000</v>
      </c>
      <c r="BP180" s="175">
        <f>IF(OR(AT180="스케줄",AT180="스케줄_파라"),ROUNDUP(VLOOKUP(AD180,'[2]스케줄 분석_20260109'!$B$3:$Y$20,23,FALSE)*(VLOOKUP(AD180,'[2]스케줄 분석_20260109'!$B$3:$Y$20,21,FALSE)/VLOOKUP(AD180,'[2]스케줄 분석_20260109'!$B$3:$Y$20,20,FALSE))*VLOOKUP(AD180,'[2]스케줄 분석_20260109'!$B$3:$Y$20,22,FALSE)*VLOOKUP(AD180,'[2]스케줄 분석_20260109'!$B$3:$Y$20,2,FALSE)*1.5*BI180,0),0)</f>
        <v>0</v>
      </c>
      <c r="BQ180" s="217" t="str">
        <f t="shared" si="70"/>
        <v>적합</v>
      </c>
      <c r="BR180" s="213"/>
      <c r="BS180" s="218">
        <f t="shared" si="71"/>
        <v>460804</v>
      </c>
      <c r="BT180" s="219">
        <f t="shared" si="72"/>
        <v>2705400.3333333335</v>
      </c>
      <c r="BU180" s="175">
        <f t="shared" si="73"/>
        <v>1406190</v>
      </c>
      <c r="BV180" s="175">
        <f t="shared" si="74"/>
        <v>1205782.7616000001</v>
      </c>
      <c r="BW180" s="175">
        <f t="shared" si="75"/>
        <v>458862</v>
      </c>
      <c r="BX180" s="175">
        <f t="shared" si="76"/>
        <v>195386.4</v>
      </c>
      <c r="BY180" s="213">
        <f t="shared" si="65"/>
        <v>3333750</v>
      </c>
      <c r="BZ180" s="220">
        <f t="shared" si="77"/>
        <v>35170204.333333336</v>
      </c>
      <c r="CA180" s="213">
        <f t="shared" si="83"/>
        <v>3266221.1615999998</v>
      </c>
      <c r="CB180" s="220">
        <f t="shared" si="79"/>
        <v>40005000</v>
      </c>
      <c r="CC180" s="222">
        <f t="shared" si="80"/>
        <v>24231000</v>
      </c>
      <c r="CD180" s="301">
        <f t="shared" si="64"/>
        <v>37.721838221558009</v>
      </c>
      <c r="CE180" s="299"/>
      <c r="CF180" s="299"/>
      <c r="CG180" s="23" t="s">
        <v>1744</v>
      </c>
      <c r="CH180" s="23" t="s">
        <v>340</v>
      </c>
      <c r="CI180" s="111"/>
      <c r="CK180" s="187"/>
      <c r="CL180" s="188"/>
    </row>
    <row r="181" spans="1:117" ht="18" customHeight="1">
      <c r="A181" s="23">
        <f t="shared" si="62"/>
        <v>178</v>
      </c>
      <c r="B181" s="23" t="s">
        <v>439</v>
      </c>
      <c r="C181" s="190">
        <v>2017035</v>
      </c>
      <c r="D181" s="194" t="s">
        <v>1007</v>
      </c>
      <c r="E181" s="227" t="s">
        <v>1008</v>
      </c>
      <c r="F181" s="227" t="s">
        <v>2357</v>
      </c>
      <c r="G181" s="23" t="s">
        <v>1010</v>
      </c>
      <c r="H181" s="227" t="s">
        <v>1167</v>
      </c>
      <c r="I181" s="227" t="s">
        <v>741</v>
      </c>
      <c r="J181" s="194" t="s">
        <v>178</v>
      </c>
      <c r="K181" s="78" t="s">
        <v>1011</v>
      </c>
      <c r="L181" s="23" t="s">
        <v>2351</v>
      </c>
      <c r="M181" s="227" t="s">
        <v>2358</v>
      </c>
      <c r="N181" s="228" t="s">
        <v>2359</v>
      </c>
      <c r="O181" s="194" t="s">
        <v>2360</v>
      </c>
      <c r="P181" s="229" t="s">
        <v>2361</v>
      </c>
      <c r="Q181" s="214">
        <v>42912</v>
      </c>
      <c r="R181" s="214">
        <v>42912</v>
      </c>
      <c r="S181" s="214"/>
      <c r="T181" s="231" t="s">
        <v>2362</v>
      </c>
      <c r="U181" s="231" t="s">
        <v>2363</v>
      </c>
      <c r="V181" s="201" t="s">
        <v>394</v>
      </c>
      <c r="W181" s="231" t="s">
        <v>1211</v>
      </c>
      <c r="X181" s="201" t="s">
        <v>684</v>
      </c>
      <c r="Z181" s="203">
        <f t="shared" ca="1" si="85"/>
        <v>3249</v>
      </c>
      <c r="AA181" s="203">
        <f t="shared" ca="1" si="86"/>
        <v>3249</v>
      </c>
      <c r="AB181" s="232"/>
      <c r="AC181" s="232"/>
      <c r="AD181" t="s">
        <v>1020</v>
      </c>
      <c r="AE181" s="78" t="s">
        <v>833</v>
      </c>
      <c r="AF181" s="78" t="s">
        <v>191</v>
      </c>
      <c r="AG181" s="78" t="s">
        <v>191</v>
      </c>
      <c r="AH181" s="23" t="s">
        <v>161</v>
      </c>
      <c r="AI181" s="23" t="s">
        <v>1021</v>
      </c>
      <c r="AJ181" s="23" t="s">
        <v>1008</v>
      </c>
      <c r="AK181" s="23" t="s">
        <v>1022</v>
      </c>
      <c r="AL181" s="78" t="s">
        <v>1175</v>
      </c>
      <c r="AM181" s="269">
        <v>28787</v>
      </c>
      <c r="AN181" s="207" t="s">
        <v>2364</v>
      </c>
      <c r="AO181" s="78" t="s">
        <v>401</v>
      </c>
      <c r="AP181" s="78" t="s">
        <v>1025</v>
      </c>
      <c r="AQ181" s="201" t="s">
        <v>1026</v>
      </c>
      <c r="AR181" s="201" t="s">
        <v>1027</v>
      </c>
      <c r="AS181" s="209" t="s">
        <v>1006</v>
      </c>
      <c r="AT181" s="23" t="s">
        <v>201</v>
      </c>
      <c r="AU181" s="23" t="s">
        <v>435</v>
      </c>
      <c r="AV181" s="210" t="s">
        <v>454</v>
      </c>
      <c r="AW181" s="251">
        <v>5353000</v>
      </c>
      <c r="AX181" s="175">
        <v>5353000</v>
      </c>
      <c r="AY181" s="212">
        <v>12</v>
      </c>
      <c r="AZ181" s="213">
        <f t="shared" si="63"/>
        <v>64236000</v>
      </c>
      <c r="BC181" s="214">
        <v>45839</v>
      </c>
      <c r="BD181" s="215">
        <v>35004000</v>
      </c>
      <c r="BE181" s="215">
        <v>35604000</v>
      </c>
      <c r="BF181" s="215">
        <f t="shared" si="66"/>
        <v>35604000</v>
      </c>
      <c r="BG181" s="215">
        <f t="shared" si="67"/>
        <v>2967000</v>
      </c>
      <c r="BH181" s="215">
        <v>2478600</v>
      </c>
      <c r="BI181" s="216">
        <f t="shared" si="81"/>
        <v>12816.27</v>
      </c>
      <c r="BJ181" s="216">
        <f>IF(AT181="통상",209,VLOOKUP(AD181,'[2]스케줄 분석_20260109'!$B$3:$F$20,5,FALSE))</f>
        <v>209</v>
      </c>
      <c r="BK181" s="216">
        <f>IF(AT181="통상",15,VLOOKUP(AD181,'[2]스케줄 분석_20260109'!$B$3:$P$20,10,FALSE))</f>
        <v>15</v>
      </c>
      <c r="BL181" s="216">
        <f>IF(AT181="통상",0,VLOOKUP(AD181,'[2]스케줄 분석_20260109'!$B$3:$P$20,11,FALSE))</f>
        <v>0</v>
      </c>
      <c r="BM181" s="215">
        <f t="shared" si="68"/>
        <v>288400</v>
      </c>
      <c r="BN181" s="175">
        <f t="shared" si="69"/>
        <v>0</v>
      </c>
      <c r="BO181" s="213">
        <v>200000</v>
      </c>
      <c r="BP181" s="175">
        <f>IF(OR(AT181="스케줄",AT181="스케줄_파라"),ROUNDUP(VLOOKUP(AD181,'[2]스케줄 분석_20260109'!$B$3:$Y$20,23,FALSE)*(VLOOKUP(AD181,'[2]스케줄 분석_20260109'!$B$3:$Y$20,21,FALSE)/VLOOKUP(AD181,'[2]스케줄 분석_20260109'!$B$3:$Y$20,20,FALSE))*VLOOKUP(AD181,'[2]스케줄 분석_20260109'!$B$3:$Y$20,22,FALSE)*VLOOKUP(AD181,'[2]스케줄 분석_20260109'!$B$3:$Y$20,2,FALSE)*1.5*BI181,0),0)</f>
        <v>0</v>
      </c>
      <c r="BQ181" s="217" t="str">
        <f t="shared" si="70"/>
        <v>적합</v>
      </c>
      <c r="BR181" s="213"/>
      <c r="BS181" s="218">
        <f t="shared" si="71"/>
        <v>512650.80000000005</v>
      </c>
      <c r="BT181" s="219">
        <f t="shared" si="72"/>
        <v>3009720.9</v>
      </c>
      <c r="BU181" s="175">
        <f t="shared" si="73"/>
        <v>1577190</v>
      </c>
      <c r="BV181" s="175">
        <f t="shared" si="74"/>
        <v>1352412.2016</v>
      </c>
      <c r="BW181" s="175">
        <f t="shared" si="75"/>
        <v>514662</v>
      </c>
      <c r="BX181" s="175">
        <f t="shared" si="76"/>
        <v>219146.4</v>
      </c>
      <c r="BY181" s="213">
        <f t="shared" si="65"/>
        <v>3708750</v>
      </c>
      <c r="BZ181" s="220">
        <f t="shared" si="77"/>
        <v>39126371.699999996</v>
      </c>
      <c r="CA181" s="213">
        <f t="shared" si="83"/>
        <v>3663410.6016000002</v>
      </c>
      <c r="CB181" s="220">
        <f t="shared" si="79"/>
        <v>44505000</v>
      </c>
      <c r="CC181" s="222">
        <f t="shared" si="80"/>
        <v>19731000</v>
      </c>
      <c r="CD181" s="301">
        <f t="shared" si="64"/>
        <v>30.716420698673641</v>
      </c>
      <c r="CK181" s="187"/>
      <c r="CL181" s="188"/>
    </row>
    <row r="182" spans="1:117" ht="17.25" customHeight="1">
      <c r="A182" s="23">
        <f t="shared" si="62"/>
        <v>179</v>
      </c>
      <c r="B182" s="23" t="s">
        <v>439</v>
      </c>
      <c r="C182" s="190">
        <v>2025030</v>
      </c>
      <c r="D182" s="191" t="s">
        <v>1007</v>
      </c>
      <c r="E182" s="227" t="s">
        <v>1008</v>
      </c>
      <c r="F182" s="227" t="s">
        <v>2365</v>
      </c>
      <c r="G182" s="23" t="s">
        <v>1724</v>
      </c>
      <c r="H182" s="227" t="s">
        <v>1167</v>
      </c>
      <c r="I182" s="227" t="s">
        <v>741</v>
      </c>
      <c r="J182" s="194" t="s">
        <v>178</v>
      </c>
      <c r="K182" s="79" t="s">
        <v>1401</v>
      </c>
      <c r="L182" s="227" t="s">
        <v>2366</v>
      </c>
      <c r="M182" s="227"/>
      <c r="N182" s="228" t="s">
        <v>2367</v>
      </c>
      <c r="O182" s="237" t="s">
        <v>2368</v>
      </c>
      <c r="P182" s="229" t="s">
        <v>2369</v>
      </c>
      <c r="Q182" s="214">
        <v>45824</v>
      </c>
      <c r="R182" s="214">
        <v>45824</v>
      </c>
      <c r="S182" s="214"/>
      <c r="T182" s="231" t="s">
        <v>2370</v>
      </c>
      <c r="U182" s="231" t="s">
        <v>2371</v>
      </c>
      <c r="V182" s="201" t="s">
        <v>2372</v>
      </c>
      <c r="W182" s="200"/>
      <c r="X182" s="200"/>
      <c r="Y182" s="200"/>
      <c r="Z182" s="203">
        <f t="shared" ca="1" si="85"/>
        <v>337</v>
      </c>
      <c r="AA182" s="203">
        <f t="shared" ca="1" si="86"/>
        <v>337</v>
      </c>
      <c r="AB182" s="232"/>
      <c r="AC182" s="232"/>
      <c r="AD182" s="78" t="s">
        <v>1470</v>
      </c>
      <c r="AE182" s="78" t="s">
        <v>833</v>
      </c>
      <c r="AF182" s="78" t="s">
        <v>191</v>
      </c>
      <c r="AG182" s="78" t="s">
        <v>191</v>
      </c>
      <c r="AH182" s="23" t="s">
        <v>161</v>
      </c>
      <c r="AI182" s="23" t="s">
        <v>1021</v>
      </c>
      <c r="AJ182" s="23" t="s">
        <v>2373</v>
      </c>
      <c r="AK182" s="23" t="s">
        <v>1022</v>
      </c>
      <c r="AL182" s="78" t="s">
        <v>1175</v>
      </c>
      <c r="AM182" s="206" t="s">
        <v>2374</v>
      </c>
      <c r="AN182" s="207" t="s">
        <v>2375</v>
      </c>
      <c r="AO182" s="78" t="s">
        <v>401</v>
      </c>
      <c r="AP182" s="208" t="s">
        <v>2376</v>
      </c>
      <c r="AQ182" s="201" t="s">
        <v>433</v>
      </c>
      <c r="AS182" s="209" t="s">
        <v>1006</v>
      </c>
      <c r="AT182" s="23" t="s">
        <v>434</v>
      </c>
      <c r="AU182" s="23" t="s">
        <v>435</v>
      </c>
      <c r="AV182" s="210" t="s">
        <v>454</v>
      </c>
      <c r="AW182" s="251">
        <v>4097000</v>
      </c>
      <c r="AX182" s="175">
        <v>4097000</v>
      </c>
      <c r="AY182" s="212">
        <v>12</v>
      </c>
      <c r="AZ182" s="213">
        <f t="shared" si="63"/>
        <v>49164000</v>
      </c>
      <c r="BA182" s="213"/>
      <c r="BB182" s="213"/>
      <c r="BC182" s="230">
        <v>46023</v>
      </c>
      <c r="BD182" s="235">
        <v>27500040</v>
      </c>
      <c r="BE182" s="215">
        <v>27500400</v>
      </c>
      <c r="BF182" s="261">
        <f t="shared" si="66"/>
        <v>27727200</v>
      </c>
      <c r="BG182" s="215">
        <f t="shared" si="67"/>
        <v>2310600</v>
      </c>
      <c r="BH182" s="215">
        <v>1824700</v>
      </c>
      <c r="BI182" s="216">
        <f t="shared" si="81"/>
        <v>10320.1</v>
      </c>
      <c r="BJ182" s="216">
        <f>IF(AT182="통상",209,VLOOKUP(AD182,'[2]스케줄 분석_20260109'!$B$3:$F$20,5,FALSE))</f>
        <v>196.19</v>
      </c>
      <c r="BK182" s="216">
        <f>IF(AT182="통상",15,VLOOKUP(AD182,'[2]스케줄 분석_20260109'!$B$3:$P$20,10,FALSE))</f>
        <v>2.17</v>
      </c>
      <c r="BL182" s="216">
        <f>IF(AT182="통상",0,VLOOKUP(AD182,'[2]스케줄 분석_20260109'!$B$3:$P$20,11,FALSE))</f>
        <v>53.23</v>
      </c>
      <c r="BM182" s="215">
        <f t="shared" si="68"/>
        <v>11200</v>
      </c>
      <c r="BN182" s="175">
        <f t="shared" si="69"/>
        <v>274700</v>
      </c>
      <c r="BO182" s="213">
        <v>200000</v>
      </c>
      <c r="BP182" s="175">
        <f>IF(OR(AT182="스케줄",AT182="스케줄_파라"),ROUNDUP(VLOOKUP(AD182,'[2]스케줄 분석_20260109'!$B$3:$Y$20,23,FALSE)*(VLOOKUP(AD182,'[2]스케줄 분석_20260109'!$B$3:$Y$20,21,FALSE)/VLOOKUP(AD182,'[2]스케줄 분석_20260109'!$B$3:$Y$20,20,FALSE))*VLOOKUP(AD182,'[2]스케줄 분석_20260109'!$B$3:$Y$20,22,FALSE)*VLOOKUP(AD182,'[2]스케줄 분석_20260109'!$B$3:$Y$20,2,FALSE)*1.5*BI182,0),0)</f>
        <v>1869229</v>
      </c>
      <c r="BQ182" s="217" t="str">
        <f t="shared" si="70"/>
        <v>적합</v>
      </c>
      <c r="BR182" s="213"/>
      <c r="BS182" s="218">
        <f t="shared" si="71"/>
        <v>1032010</v>
      </c>
      <c r="BT182" s="219">
        <f t="shared" si="72"/>
        <v>2396600.8333333335</v>
      </c>
      <c r="BU182" s="175">
        <f t="shared" si="73"/>
        <v>1203042</v>
      </c>
      <c r="BV182" s="175">
        <f t="shared" si="74"/>
        <v>1031586.98688</v>
      </c>
      <c r="BW182" s="175">
        <f t="shared" si="75"/>
        <v>392571.6</v>
      </c>
      <c r="BX182" s="175">
        <f t="shared" si="76"/>
        <v>167159.51999999999</v>
      </c>
      <c r="BY182" s="213">
        <f t="shared" si="65"/>
        <v>2888250</v>
      </c>
      <c r="BZ182" s="220">
        <f t="shared" si="77"/>
        <v>31155810.833333332</v>
      </c>
      <c r="CA182" s="213">
        <f t="shared" si="83"/>
        <v>2794360.1068799999</v>
      </c>
      <c r="CB182" s="220">
        <f t="shared" si="79"/>
        <v>34659000</v>
      </c>
      <c r="CC182" s="222">
        <f t="shared" si="80"/>
        <v>12243232.91</v>
      </c>
      <c r="CD182" s="301">
        <f t="shared" si="64"/>
        <v>24.902841326987225</v>
      </c>
      <c r="CG182" s="23" t="s">
        <v>1679</v>
      </c>
      <c r="CH182" s="23" t="s">
        <v>2175</v>
      </c>
      <c r="CK182" s="187"/>
      <c r="CL182" s="188"/>
    </row>
    <row r="183" spans="1:117" ht="17.25" customHeight="1">
      <c r="A183" s="23">
        <f t="shared" si="62"/>
        <v>180</v>
      </c>
      <c r="B183" s="23" t="s">
        <v>439</v>
      </c>
      <c r="C183" s="286">
        <v>2025031</v>
      </c>
      <c r="D183" s="194" t="s">
        <v>1599</v>
      </c>
      <c r="E183" s="227" t="s">
        <v>1600</v>
      </c>
      <c r="F183" s="227" t="s">
        <v>2377</v>
      </c>
      <c r="G183" s="23" t="s">
        <v>1192</v>
      </c>
      <c r="H183" s="227" t="s">
        <v>1167</v>
      </c>
      <c r="I183" s="227" t="s">
        <v>741</v>
      </c>
      <c r="J183" s="194" t="s">
        <v>207</v>
      </c>
      <c r="K183" s="194" t="s">
        <v>1601</v>
      </c>
      <c r="L183" s="227" t="s">
        <v>2378</v>
      </c>
      <c r="M183" s="227"/>
      <c r="N183" s="228" t="s">
        <v>2379</v>
      </c>
      <c r="O183" s="330" t="s">
        <v>2380</v>
      </c>
      <c r="P183" s="229" t="s">
        <v>2381</v>
      </c>
      <c r="Q183" s="255">
        <v>43269</v>
      </c>
      <c r="R183" s="214">
        <v>45826</v>
      </c>
      <c r="S183" s="214"/>
      <c r="T183" s="231" t="s">
        <v>2382</v>
      </c>
      <c r="U183" s="231" t="s">
        <v>1973</v>
      </c>
      <c r="V183" s="201" t="s">
        <v>316</v>
      </c>
      <c r="W183" s="329" t="s">
        <v>425</v>
      </c>
      <c r="X183" s="200"/>
      <c r="Y183" s="200"/>
      <c r="Z183" s="203">
        <f t="shared" ca="1" si="85"/>
        <v>2892</v>
      </c>
      <c r="AA183" s="203">
        <f t="shared" ca="1" si="86"/>
        <v>335</v>
      </c>
      <c r="AB183" s="232"/>
      <c r="AC183" s="232"/>
      <c r="AD183" s="78" t="s">
        <v>610</v>
      </c>
      <c r="AE183" s="78" t="s">
        <v>217</v>
      </c>
      <c r="AF183" s="78" t="s">
        <v>218</v>
      </c>
      <c r="AG183" s="78" t="s">
        <v>218</v>
      </c>
      <c r="AH183" s="23" t="s">
        <v>161</v>
      </c>
      <c r="AI183" s="23" t="s">
        <v>162</v>
      </c>
      <c r="AJ183" s="23" t="s">
        <v>1600</v>
      </c>
      <c r="AK183" s="23">
        <v>13558</v>
      </c>
      <c r="AL183" s="78" t="s">
        <v>1606</v>
      </c>
      <c r="AM183" s="206" t="s">
        <v>2383</v>
      </c>
      <c r="AN183" s="207" t="s">
        <v>2384</v>
      </c>
      <c r="AO183" s="78" t="s">
        <v>613</v>
      </c>
      <c r="AP183" s="201" t="s">
        <v>1609</v>
      </c>
      <c r="AQ183" s="201" t="s">
        <v>1610</v>
      </c>
      <c r="AR183" s="201" t="s">
        <v>2385</v>
      </c>
      <c r="AS183" s="209" t="s">
        <v>616</v>
      </c>
      <c r="AT183" s="23" t="s">
        <v>201</v>
      </c>
      <c r="AU183" s="23" t="s">
        <v>435</v>
      </c>
      <c r="AV183" s="210" t="s">
        <v>454</v>
      </c>
      <c r="AW183" s="251">
        <v>4635000</v>
      </c>
      <c r="AX183" s="175">
        <v>4635000</v>
      </c>
      <c r="AY183" s="212">
        <v>12</v>
      </c>
      <c r="AZ183" s="213">
        <f t="shared" si="63"/>
        <v>55620000</v>
      </c>
      <c r="BC183" s="214">
        <v>45839</v>
      </c>
      <c r="BD183" s="235">
        <v>35004000</v>
      </c>
      <c r="BE183" s="215">
        <v>35005200</v>
      </c>
      <c r="BF183" s="215">
        <f t="shared" si="66"/>
        <v>35005200</v>
      </c>
      <c r="BG183" s="215">
        <f t="shared" si="67"/>
        <v>2917100</v>
      </c>
      <c r="BH183" s="215">
        <v>2433500</v>
      </c>
      <c r="BI183" s="216">
        <f t="shared" si="81"/>
        <v>12600.48</v>
      </c>
      <c r="BJ183" s="216">
        <f>IF(AT183="통상",209,VLOOKUP(AD183,'[2]스케줄 분석_20260109'!$B$3:$F$20,5,FALSE))</f>
        <v>209</v>
      </c>
      <c r="BK183" s="216">
        <f>IF(AT183="통상",15,VLOOKUP(AD183,'[2]스케줄 분석_20260109'!$B$3:$P$20,10,FALSE))</f>
        <v>15</v>
      </c>
      <c r="BL183" s="216">
        <f>IF(AT183="통상",0,VLOOKUP(AD183,'[2]스케줄 분석_20260109'!$B$3:$P$20,11,FALSE))</f>
        <v>0</v>
      </c>
      <c r="BM183" s="215">
        <f t="shared" si="68"/>
        <v>283600</v>
      </c>
      <c r="BN183" s="175">
        <f t="shared" si="69"/>
        <v>0</v>
      </c>
      <c r="BO183" s="213">
        <v>200000</v>
      </c>
      <c r="BP183" s="175">
        <f>IF(OR(AT183="스케줄",AT183="스케줄_파라"),ROUNDUP(VLOOKUP(AD183,'[2]스케줄 분석_20260109'!$B$3:$Y$20,23,FALSE)*(VLOOKUP(AD183,'[2]스케줄 분석_20260109'!$B$3:$Y$20,21,FALSE)/VLOOKUP(AD183,'[2]스케줄 분석_20260109'!$B$3:$Y$20,20,FALSE))*VLOOKUP(AD183,'[2]스케줄 분석_20260109'!$B$3:$Y$20,22,FALSE)*VLOOKUP(AD183,'[2]스케줄 분석_20260109'!$B$3:$Y$20,2,FALSE)*1.5*BI183,0),0)</f>
        <v>0</v>
      </c>
      <c r="BQ183" s="217" t="str">
        <f t="shared" si="70"/>
        <v>적합</v>
      </c>
      <c r="BR183" s="213"/>
      <c r="BS183" s="218">
        <f t="shared" si="71"/>
        <v>504019.19999999995</v>
      </c>
      <c r="BT183" s="219">
        <f t="shared" si="72"/>
        <v>2959101.6</v>
      </c>
      <c r="BU183" s="175">
        <f t="shared" si="73"/>
        <v>1548747</v>
      </c>
      <c r="BV183" s="175">
        <f t="shared" si="74"/>
        <v>1328022.8380799999</v>
      </c>
      <c r="BW183" s="175">
        <f t="shared" si="75"/>
        <v>505380.6</v>
      </c>
      <c r="BX183" s="175">
        <f t="shared" si="76"/>
        <v>215194.32</v>
      </c>
      <c r="BY183" s="213">
        <f t="shared" si="65"/>
        <v>3646375</v>
      </c>
      <c r="BZ183" s="220">
        <f t="shared" si="77"/>
        <v>38468320.800000004</v>
      </c>
      <c r="CA183" s="213">
        <f t="shared" si="83"/>
        <v>3597344.7580800001</v>
      </c>
      <c r="CB183" s="220">
        <f t="shared" si="79"/>
        <v>43756500</v>
      </c>
      <c r="CC183" s="222">
        <f t="shared" si="80"/>
        <v>11863500</v>
      </c>
      <c r="CD183" s="301">
        <f t="shared" si="64"/>
        <v>21.329557713052857</v>
      </c>
      <c r="CE183" s="281"/>
      <c r="CF183" s="281"/>
      <c r="CG183" s="282" t="s">
        <v>2386</v>
      </c>
      <c r="CH183" s="23" t="s">
        <v>2175</v>
      </c>
      <c r="CK183" s="187"/>
      <c r="CL183" s="188"/>
    </row>
    <row r="184" spans="1:117" ht="17.25" customHeight="1">
      <c r="A184" s="23">
        <f>ROW()-3</f>
        <v>181</v>
      </c>
      <c r="B184" s="23" t="s">
        <v>439</v>
      </c>
      <c r="C184" s="190">
        <v>2023016</v>
      </c>
      <c r="D184" s="302" t="s">
        <v>2387</v>
      </c>
      <c r="E184" s="227" t="s">
        <v>990</v>
      </c>
      <c r="F184" s="227" t="s">
        <v>2388</v>
      </c>
      <c r="G184" s="23" t="s">
        <v>1192</v>
      </c>
      <c r="H184" s="227" t="s">
        <v>1167</v>
      </c>
      <c r="I184" s="227" t="s">
        <v>1204</v>
      </c>
      <c r="J184" s="194" t="s">
        <v>178</v>
      </c>
      <c r="K184" s="79" t="s">
        <v>415</v>
      </c>
      <c r="L184" s="227" t="s">
        <v>2389</v>
      </c>
      <c r="M184" s="227"/>
      <c r="N184" s="228" t="s">
        <v>2390</v>
      </c>
      <c r="O184" s="303" t="s">
        <v>2391</v>
      </c>
      <c r="P184" s="229" t="s">
        <v>2392</v>
      </c>
      <c r="Q184" s="214">
        <v>44136</v>
      </c>
      <c r="R184" s="214">
        <v>44991</v>
      </c>
      <c r="S184" s="214"/>
      <c r="T184" s="231" t="s">
        <v>2393</v>
      </c>
      <c r="U184" s="231" t="s">
        <v>2394</v>
      </c>
      <c r="V184" s="201" t="s">
        <v>423</v>
      </c>
      <c r="W184" s="200"/>
      <c r="X184" s="200"/>
      <c r="Y184" s="200"/>
      <c r="Z184" s="203">
        <f ca="1">IF(Q184&lt;&gt;"",$A$1-Q184,"")</f>
        <v>2025</v>
      </c>
      <c r="AA184" s="203">
        <f t="shared" ca="1" si="86"/>
        <v>1170</v>
      </c>
      <c r="AB184" s="232"/>
      <c r="AC184" s="232"/>
      <c r="AD184" s="78" t="s">
        <v>1835</v>
      </c>
      <c r="AE184" s="78" t="s">
        <v>217</v>
      </c>
      <c r="AF184" s="78" t="s">
        <v>263</v>
      </c>
      <c r="AG184" s="78" t="s">
        <v>191</v>
      </c>
      <c r="AH184" s="23" t="s">
        <v>161</v>
      </c>
      <c r="AI184" s="23" t="s">
        <v>365</v>
      </c>
      <c r="AJ184" s="23" t="s">
        <v>2254</v>
      </c>
      <c r="AK184" s="23" t="s">
        <v>1000</v>
      </c>
      <c r="AL184" s="78" t="s">
        <v>1001</v>
      </c>
      <c r="AM184" s="206" t="s">
        <v>2395</v>
      </c>
      <c r="AN184" s="207" t="s">
        <v>2396</v>
      </c>
      <c r="AO184" s="78" t="s">
        <v>401</v>
      </c>
      <c r="AP184" s="264" t="s">
        <v>2257</v>
      </c>
      <c r="AQ184" s="264" t="s">
        <v>433</v>
      </c>
      <c r="AS184" s="201"/>
      <c r="AT184" s="23" t="s">
        <v>434</v>
      </c>
      <c r="AU184" s="23" t="s">
        <v>435</v>
      </c>
      <c r="AV184" s="210" t="s">
        <v>454</v>
      </c>
      <c r="AW184" s="211">
        <v>4097000</v>
      </c>
      <c r="AX184" s="175">
        <v>4097000</v>
      </c>
      <c r="AY184" s="236">
        <v>12</v>
      </c>
      <c r="AZ184" s="175">
        <f>AX184*AY184</f>
        <v>49164000</v>
      </c>
      <c r="BA184" s="175"/>
      <c r="BB184" s="175"/>
      <c r="BC184" s="214">
        <v>45839</v>
      </c>
      <c r="BD184" s="215">
        <v>29509080</v>
      </c>
      <c r="BE184" s="215">
        <v>28344000</v>
      </c>
      <c r="BF184" s="215">
        <f>BG184*12</f>
        <v>30829200</v>
      </c>
      <c r="BG184" s="215">
        <f>BH184+BM184+BN184+BO184</f>
        <v>2569100</v>
      </c>
      <c r="BH184" s="215">
        <v>1893200</v>
      </c>
      <c r="BI184" s="216">
        <f>ROUND((BH184+BO184)/BJ184,2)</f>
        <v>11376.09</v>
      </c>
      <c r="BJ184" s="216">
        <f>IF(AT184="통상",209,VLOOKUP(AD184,'[2]스케줄 분석_20260109'!$B$3:$F$20,5,FALSE))</f>
        <v>184</v>
      </c>
      <c r="BK184" s="216">
        <f>IF(AT184="통상",15,VLOOKUP(AD184,'[2]스케줄 분석_20260109'!$B$3:$P$20,10,FALSE))</f>
        <v>38.020000000000003</v>
      </c>
      <c r="BL184" s="216">
        <f>IF(AT184="통상",0,VLOOKUP(AD184,'[2]스케줄 분석_20260109'!$B$3:$P$20,11,FALSE))</f>
        <v>45.63</v>
      </c>
      <c r="BM184" s="215">
        <f>IF(OR(AT184="통상",AT184="스케줄_파라"),ROUNDUP(BI184*BK184*1.5,-2),IF(OR(AT184="스케줄",AT184="휴직_스케줄"),ROUNDUP(BI184*BK184*0.5,-2),"확인바람"))</f>
        <v>216300</v>
      </c>
      <c r="BN184" s="215">
        <f>ROUNDUP(BI184*BL184*0.5,-2)</f>
        <v>259600</v>
      </c>
      <c r="BO184" s="175">
        <v>200000</v>
      </c>
      <c r="BP184" s="175">
        <f>IF(OR(AT184="스케줄",AT184="스케줄_파라"),ROUNDUP(VLOOKUP(AD184,'[2]스케줄 분석_20260109'!$B$3:$Y$20,23,FALSE)*(VLOOKUP(AD184,'[2]스케줄 분석_20260109'!$B$3:$Y$20,21,FALSE)/VLOOKUP(AD184,'[2]스케줄 분석_20260109'!$B$3:$Y$20,20,FALSE))*VLOOKUP(AD184,'[2]스케줄 분석_20260109'!$B$3:$Y$20,22,FALSE)*VLOOKUP(AD184,'[2]스케줄 분석_20260109'!$B$3:$Y$20,2,FALSE)*1.5*BI184,0),0)</f>
        <v>2060495</v>
      </c>
      <c r="BQ184" s="291" t="str">
        <f>IF(BI184&gt;=$D$1,"적합","미달")</f>
        <v>적합</v>
      </c>
      <c r="BR184" s="175"/>
      <c r="BS184" s="218">
        <f>IF(AT184="통상",BI184*8*5,IF(OR(AT184="스케줄",AT184="스케줄_파라"),BI184*100,"확인"))</f>
        <v>1137609</v>
      </c>
      <c r="BT184" s="218">
        <f>BG184+BS184/12</f>
        <v>2663900.75</v>
      </c>
      <c r="BU184" s="175">
        <f>(BF184-BO184*12)*0.0475</f>
        <v>1350387</v>
      </c>
      <c r="BV184" s="175">
        <f>(BF184-BO184*12)*0.036+(BF184-BO184*12)*0.036*0.1314</f>
        <v>1157932.68768</v>
      </c>
      <c r="BW184" s="175">
        <f>(BF184-BO184*12)*(0.009+0.0065)</f>
        <v>440652.6</v>
      </c>
      <c r="BX184" s="175">
        <f>(BF184-BO184*12)*0.0066</f>
        <v>187632.72</v>
      </c>
      <c r="BY184" s="175">
        <f>CB184/AY184</f>
        <v>3211375</v>
      </c>
      <c r="BZ184" s="292">
        <f>SUM(BF184,BS184:BT184)</f>
        <v>34630709.75</v>
      </c>
      <c r="CA184" s="175">
        <f>SUM(BU184:BX184)</f>
        <v>3136605.0076800003</v>
      </c>
      <c r="CB184" s="292">
        <f>BF184*1.25</f>
        <v>38536500</v>
      </c>
      <c r="CC184" s="294">
        <f>AZ184-CB184-BP184*1.21</f>
        <v>8134301.0500000007</v>
      </c>
      <c r="CD184" s="301">
        <f>IFERROR((CC184/AZ184)*100,0)</f>
        <v>16.545238487511188</v>
      </c>
      <c r="CG184" s="23" t="s">
        <v>437</v>
      </c>
      <c r="CH184" s="23" t="s">
        <v>1710</v>
      </c>
      <c r="CK184" s="187"/>
      <c r="CL184" s="295"/>
    </row>
    <row r="185" spans="1:117" ht="17.25" customHeight="1">
      <c r="A185" s="23">
        <f t="shared" si="62"/>
        <v>182</v>
      </c>
      <c r="B185" s="23" t="s">
        <v>439</v>
      </c>
      <c r="C185" s="190">
        <v>2025034</v>
      </c>
      <c r="D185" s="194" t="s">
        <v>1286</v>
      </c>
      <c r="E185" s="227" t="s">
        <v>2397</v>
      </c>
      <c r="F185" s="23" t="s">
        <v>2398</v>
      </c>
      <c r="G185" s="23" t="s">
        <v>1724</v>
      </c>
      <c r="H185" s="227" t="s">
        <v>1167</v>
      </c>
      <c r="I185" s="23" t="s">
        <v>1204</v>
      </c>
      <c r="J185" s="201" t="s">
        <v>232</v>
      </c>
      <c r="K185" s="79" t="s">
        <v>529</v>
      </c>
      <c r="L185" s="23" t="s">
        <v>2399</v>
      </c>
      <c r="N185" s="229" t="s">
        <v>2400</v>
      </c>
      <c r="O185" s="330" t="s">
        <v>2401</v>
      </c>
      <c r="P185" s="229" t="s">
        <v>2402</v>
      </c>
      <c r="Q185" s="214">
        <v>45833</v>
      </c>
      <c r="R185" s="214">
        <v>45833</v>
      </c>
      <c r="T185" s="231" t="s">
        <v>2403</v>
      </c>
      <c r="U185" s="231" t="s">
        <v>2404</v>
      </c>
      <c r="V185" s="201" t="s">
        <v>1210</v>
      </c>
      <c r="W185" s="329"/>
      <c r="X185" s="200"/>
      <c r="Y185" s="326"/>
      <c r="Z185" s="203">
        <f t="shared" ca="1" si="85"/>
        <v>328</v>
      </c>
      <c r="AA185" s="203">
        <f t="shared" ca="1" si="86"/>
        <v>328</v>
      </c>
      <c r="AB185" s="232"/>
      <c r="AC185" s="232"/>
      <c r="AD185" s="78" t="s">
        <v>519</v>
      </c>
      <c r="AE185" s="78" t="s">
        <v>217</v>
      </c>
      <c r="AF185" s="78" t="s">
        <v>218</v>
      </c>
      <c r="AG185" s="78" t="s">
        <v>218</v>
      </c>
      <c r="AH185" s="23" t="s">
        <v>161</v>
      </c>
      <c r="AI185" s="23" t="s">
        <v>1560</v>
      </c>
      <c r="AJ185" s="23" t="s">
        <v>1253</v>
      </c>
      <c r="AK185" s="23">
        <v>13486</v>
      </c>
      <c r="AL185" s="78" t="s">
        <v>1296</v>
      </c>
      <c r="AM185" s="269" t="s">
        <v>2405</v>
      </c>
      <c r="AN185" s="78" t="s">
        <v>2406</v>
      </c>
      <c r="AO185" s="78" t="s">
        <v>1299</v>
      </c>
      <c r="AP185" s="78" t="s">
        <v>2407</v>
      </c>
      <c r="AQ185" s="201" t="s">
        <v>539</v>
      </c>
      <c r="AR185" s="201" t="s">
        <v>540</v>
      </c>
      <c r="AS185" s="209" t="s">
        <v>1300</v>
      </c>
      <c r="AT185" s="23" t="s">
        <v>201</v>
      </c>
      <c r="AU185" s="23" t="s">
        <v>435</v>
      </c>
      <c r="AV185" s="210" t="s">
        <v>454</v>
      </c>
      <c r="AW185" s="251">
        <v>4264000</v>
      </c>
      <c r="AX185" s="175">
        <v>4264000</v>
      </c>
      <c r="AY185" s="23">
        <v>12</v>
      </c>
      <c r="AZ185" s="213">
        <f t="shared" si="63"/>
        <v>51168000</v>
      </c>
      <c r="BC185" s="214">
        <v>45833</v>
      </c>
      <c r="BD185" s="235">
        <v>29400000</v>
      </c>
      <c r="BE185" s="215">
        <v>29400000</v>
      </c>
      <c r="BF185" s="215">
        <f t="shared" si="66"/>
        <v>29400000</v>
      </c>
      <c r="BG185" s="215">
        <f t="shared" si="67"/>
        <v>2450000</v>
      </c>
      <c r="BH185" s="215">
        <v>2011800</v>
      </c>
      <c r="BI185" s="216">
        <f t="shared" si="81"/>
        <v>10582.78</v>
      </c>
      <c r="BJ185" s="216">
        <f>IF(AT185="통상",209,VLOOKUP(AD185,'[2]스케줄 분석_20260109'!$B$3:$F$20,5,FALSE))</f>
        <v>209</v>
      </c>
      <c r="BK185" s="216">
        <f>IF(AT185="통상",15,VLOOKUP(AD185,'[2]스케줄 분석_20260109'!$B$3:$P$20,10,FALSE))</f>
        <v>15</v>
      </c>
      <c r="BL185" s="216">
        <f>IF(AT185="통상",0,VLOOKUP(AD185,'[2]스케줄 분석_20260109'!$B$3:$P$20,11,FALSE))</f>
        <v>0</v>
      </c>
      <c r="BM185" s="215">
        <f t="shared" si="68"/>
        <v>238200</v>
      </c>
      <c r="BN185" s="175">
        <f t="shared" si="69"/>
        <v>0</v>
      </c>
      <c r="BO185" s="213">
        <v>200000</v>
      </c>
      <c r="BP185" s="175">
        <f>IF(OR(AT185="스케줄",AT185="스케줄_파라"),ROUNDUP(VLOOKUP(AD185,'[2]스케줄 분석_20260109'!$B$3:$Y$20,23,FALSE)*(VLOOKUP(AD185,'[2]스케줄 분석_20260109'!$B$3:$Y$20,21,FALSE)/VLOOKUP(AD185,'[2]스케줄 분석_20260109'!$B$3:$Y$20,20,FALSE))*VLOOKUP(AD185,'[2]스케줄 분석_20260109'!$B$3:$Y$20,22,FALSE)*VLOOKUP(AD185,'[2]스케줄 분석_20260109'!$B$3:$Y$20,2,FALSE)*1.5*BI185,0),0)</f>
        <v>0</v>
      </c>
      <c r="BQ185" s="217" t="str">
        <f t="shared" si="70"/>
        <v>적합</v>
      </c>
      <c r="BR185" s="213"/>
      <c r="BS185" s="218">
        <f t="shared" si="71"/>
        <v>423311.2</v>
      </c>
      <c r="BT185" s="219">
        <f t="shared" si="72"/>
        <v>2485275.9333333331</v>
      </c>
      <c r="BU185" s="175">
        <f t="shared" si="73"/>
        <v>1282500</v>
      </c>
      <c r="BV185" s="175">
        <f t="shared" si="74"/>
        <v>1099720.7999999998</v>
      </c>
      <c r="BW185" s="175">
        <f t="shared" si="75"/>
        <v>418500</v>
      </c>
      <c r="BX185" s="175">
        <f t="shared" si="76"/>
        <v>178200</v>
      </c>
      <c r="BY185" s="213">
        <f t="shared" si="65"/>
        <v>3062500</v>
      </c>
      <c r="BZ185" s="220">
        <f t="shared" si="77"/>
        <v>32308587.133333333</v>
      </c>
      <c r="CA185" s="213">
        <f t="shared" si="83"/>
        <v>2978920.8</v>
      </c>
      <c r="CB185" s="220">
        <f t="shared" si="79"/>
        <v>36750000</v>
      </c>
      <c r="CC185" s="222">
        <f t="shared" si="80"/>
        <v>14418000</v>
      </c>
      <c r="CD185" s="301">
        <f t="shared" si="64"/>
        <v>28.177767354596622</v>
      </c>
      <c r="CG185" s="23" t="s">
        <v>437</v>
      </c>
      <c r="CH185" s="23" t="s">
        <v>438</v>
      </c>
      <c r="CK185" s="187"/>
      <c r="CL185" s="188"/>
    </row>
    <row r="186" spans="1:117" ht="17.25" customHeight="1">
      <c r="A186" s="23">
        <f t="shared" si="62"/>
        <v>183</v>
      </c>
      <c r="B186" s="23" t="s">
        <v>439</v>
      </c>
      <c r="C186" s="190">
        <v>2025035</v>
      </c>
      <c r="D186" s="194" t="s">
        <v>474</v>
      </c>
      <c r="E186" s="250" t="s">
        <v>475</v>
      </c>
      <c r="F186" s="24" t="s">
        <v>2408</v>
      </c>
      <c r="G186" s="23" t="s">
        <v>412</v>
      </c>
      <c r="H186" s="227" t="s">
        <v>1167</v>
      </c>
      <c r="I186" s="227" t="s">
        <v>741</v>
      </c>
      <c r="J186" s="194" t="s">
        <v>178</v>
      </c>
      <c r="K186" s="79" t="s">
        <v>2409</v>
      </c>
      <c r="L186" s="227" t="s">
        <v>2410</v>
      </c>
      <c r="M186" s="227"/>
      <c r="N186" s="228" t="s">
        <v>2411</v>
      </c>
      <c r="O186" s="197" t="s">
        <v>2412</v>
      </c>
      <c r="P186" s="229" t="s">
        <v>2413</v>
      </c>
      <c r="Q186" s="214">
        <v>45170</v>
      </c>
      <c r="R186" s="255">
        <v>45839</v>
      </c>
      <c r="S186" s="214"/>
      <c r="T186" s="231" t="s">
        <v>1209</v>
      </c>
      <c r="U186" s="231" t="s">
        <v>1086</v>
      </c>
      <c r="V186" s="201" t="s">
        <v>2414</v>
      </c>
      <c r="W186" s="201" t="s">
        <v>2415</v>
      </c>
      <c r="Z186" s="203">
        <f t="shared" ca="1" si="85"/>
        <v>991</v>
      </c>
      <c r="AA186" s="203">
        <f t="shared" ca="1" si="86"/>
        <v>322</v>
      </c>
      <c r="AB186" s="203"/>
      <c r="AC186" s="232"/>
      <c r="AD186" s="78" t="s">
        <v>482</v>
      </c>
      <c r="AE186" s="78" t="s">
        <v>217</v>
      </c>
      <c r="AF186" s="78" t="s">
        <v>160</v>
      </c>
      <c r="AG186" s="78" t="s">
        <v>160</v>
      </c>
      <c r="AH186" s="23" t="s">
        <v>161</v>
      </c>
      <c r="AI186" s="23" t="s">
        <v>162</v>
      </c>
      <c r="AJ186" s="23" t="s">
        <v>149</v>
      </c>
      <c r="AK186" s="23">
        <v>13486</v>
      </c>
      <c r="AL186" s="78" t="s">
        <v>2307</v>
      </c>
      <c r="AM186" s="206" t="s">
        <v>1984</v>
      </c>
      <c r="AN186" s="207" t="s">
        <v>2416</v>
      </c>
      <c r="AO186" s="78" t="s">
        <v>166</v>
      </c>
      <c r="AP186" s="78" t="s">
        <v>877</v>
      </c>
      <c r="AQ186" s="201" t="s">
        <v>1372</v>
      </c>
      <c r="AS186" s="209" t="s">
        <v>1876</v>
      </c>
      <c r="AT186" s="23" t="s">
        <v>201</v>
      </c>
      <c r="AU186" s="23" t="s">
        <v>435</v>
      </c>
      <c r="AV186" s="210" t="s">
        <v>454</v>
      </c>
      <c r="AW186" s="251">
        <v>4447000</v>
      </c>
      <c r="AX186" s="175">
        <v>4447000</v>
      </c>
      <c r="AY186" s="212">
        <v>12</v>
      </c>
      <c r="AZ186" s="213">
        <f t="shared" si="63"/>
        <v>53364000</v>
      </c>
      <c r="BA186" s="251"/>
      <c r="BB186" s="251"/>
      <c r="BC186" s="214">
        <v>45839</v>
      </c>
      <c r="BD186" s="235">
        <v>30000000</v>
      </c>
      <c r="BE186" s="215">
        <v>30000000</v>
      </c>
      <c r="BF186" s="215">
        <f t="shared" si="66"/>
        <v>30000000</v>
      </c>
      <c r="BG186" s="215">
        <f t="shared" si="67"/>
        <v>2500000</v>
      </c>
      <c r="BH186" s="215">
        <v>2057000</v>
      </c>
      <c r="BI186" s="216">
        <f t="shared" si="81"/>
        <v>10799.04</v>
      </c>
      <c r="BJ186" s="216">
        <f>IF(AT186="통상",209,VLOOKUP(AD186,'[2]스케줄 분석_20260109'!$B$3:$F$20,5,FALSE))</f>
        <v>209</v>
      </c>
      <c r="BK186" s="216">
        <f>IF(AT186="통상",15,VLOOKUP(AD186,'[2]스케줄 분석_20260109'!$B$3:$P$20,10,FALSE))</f>
        <v>15</v>
      </c>
      <c r="BL186" s="216">
        <f>IF(AT186="통상",0,VLOOKUP(AD186,'[2]스케줄 분석_20260109'!$B$3:$P$20,11,FALSE))</f>
        <v>0</v>
      </c>
      <c r="BM186" s="215">
        <f t="shared" si="68"/>
        <v>243000</v>
      </c>
      <c r="BN186" s="175">
        <f t="shared" si="69"/>
        <v>0</v>
      </c>
      <c r="BO186" s="213">
        <v>200000</v>
      </c>
      <c r="BP186" s="175">
        <f>IF(OR(AT186="스케줄",AT186="스케줄_파라"),ROUNDUP(VLOOKUP(AD186,'[2]스케줄 분석_20260109'!$B$3:$Y$20,23,FALSE)*(VLOOKUP(AD186,'[2]스케줄 분석_20260109'!$B$3:$Y$20,21,FALSE)/VLOOKUP(AD186,'[2]스케줄 분석_20260109'!$B$3:$Y$20,20,FALSE))*VLOOKUP(AD186,'[2]스케줄 분석_20260109'!$B$3:$Y$20,22,FALSE)*VLOOKUP(AD186,'[2]스케줄 분석_20260109'!$B$3:$Y$20,2,FALSE)*1.5*BI186,0),0)</f>
        <v>0</v>
      </c>
      <c r="BQ186" s="217" t="str">
        <f t="shared" si="70"/>
        <v>적합</v>
      </c>
      <c r="BR186" s="213"/>
      <c r="BS186" s="218">
        <f t="shared" si="71"/>
        <v>431961.60000000003</v>
      </c>
      <c r="BT186" s="219">
        <f t="shared" si="72"/>
        <v>2535996.7999999998</v>
      </c>
      <c r="BU186" s="175">
        <f t="shared" si="73"/>
        <v>1311000</v>
      </c>
      <c r="BV186" s="175">
        <f t="shared" si="74"/>
        <v>1124159.0399999998</v>
      </c>
      <c r="BW186" s="175">
        <f t="shared" si="75"/>
        <v>427800</v>
      </c>
      <c r="BX186" s="175">
        <f t="shared" si="76"/>
        <v>182160</v>
      </c>
      <c r="BY186" s="213">
        <f t="shared" si="65"/>
        <v>3125000</v>
      </c>
      <c r="BZ186" s="220">
        <f t="shared" si="77"/>
        <v>32967958.400000002</v>
      </c>
      <c r="CA186" s="213">
        <f t="shared" si="83"/>
        <v>3045119.04</v>
      </c>
      <c r="CB186" s="220">
        <f t="shared" si="79"/>
        <v>37500000</v>
      </c>
      <c r="CC186" s="222">
        <f t="shared" si="80"/>
        <v>15864000</v>
      </c>
      <c r="CD186" s="301">
        <f t="shared" si="64"/>
        <v>29.727906453789071</v>
      </c>
      <c r="CE186" s="283"/>
      <c r="CF186" s="283"/>
      <c r="CG186" s="23" t="s">
        <v>1733</v>
      </c>
      <c r="CH186" s="23" t="s">
        <v>2175</v>
      </c>
      <c r="CK186" s="187"/>
      <c r="CL186" s="188"/>
    </row>
    <row r="187" spans="1:117" ht="17.25" customHeight="1">
      <c r="A187" s="23">
        <f t="shared" si="62"/>
        <v>184</v>
      </c>
      <c r="B187" s="23" t="s">
        <v>439</v>
      </c>
      <c r="C187" s="190">
        <v>2025036</v>
      </c>
      <c r="D187" s="194" t="s">
        <v>2417</v>
      </c>
      <c r="E187" s="227" t="s">
        <v>2418</v>
      </c>
      <c r="F187" s="227" t="s">
        <v>2418</v>
      </c>
      <c r="G187" s="23" t="s">
        <v>1724</v>
      </c>
      <c r="H187" s="227" t="s">
        <v>826</v>
      </c>
      <c r="I187" s="227" t="s">
        <v>1204</v>
      </c>
      <c r="J187" s="194" t="s">
        <v>207</v>
      </c>
      <c r="K187" s="79" t="s">
        <v>641</v>
      </c>
      <c r="L187" s="227" t="s">
        <v>2419</v>
      </c>
      <c r="M187" s="227"/>
      <c r="N187" s="228" t="s">
        <v>2420</v>
      </c>
      <c r="O187" s="197" t="s">
        <v>2421</v>
      </c>
      <c r="P187" s="229" t="s">
        <v>2422</v>
      </c>
      <c r="Q187" s="214">
        <v>44621</v>
      </c>
      <c r="R187" s="214">
        <v>45839</v>
      </c>
      <c r="S187" s="214"/>
      <c r="T187" s="231" t="s">
        <v>1209</v>
      </c>
      <c r="U187" s="231" t="s">
        <v>159</v>
      </c>
      <c r="V187" s="201" t="s">
        <v>394</v>
      </c>
      <c r="W187" s="231" t="s">
        <v>1211</v>
      </c>
      <c r="X187" s="200" t="s">
        <v>1319</v>
      </c>
      <c r="Y187" s="324" t="s">
        <v>684</v>
      </c>
      <c r="Z187" s="203">
        <f t="shared" ca="1" si="85"/>
        <v>1540</v>
      </c>
      <c r="AA187" s="203">
        <f t="shared" ca="1" si="86"/>
        <v>322</v>
      </c>
      <c r="AB187" s="232"/>
      <c r="AC187" s="232"/>
      <c r="AD187" s="78" t="s">
        <v>1845</v>
      </c>
      <c r="AE187" s="78" t="s">
        <v>190</v>
      </c>
      <c r="AF187" s="78" t="s">
        <v>218</v>
      </c>
      <c r="AG187" s="78" t="s">
        <v>218</v>
      </c>
      <c r="AH187" s="23" t="s">
        <v>161</v>
      </c>
      <c r="AI187" s="23" t="s">
        <v>162</v>
      </c>
      <c r="AJ187" s="227" t="s">
        <v>542</v>
      </c>
      <c r="AK187" s="244" t="s">
        <v>1846</v>
      </c>
      <c r="AL187" s="78" t="s">
        <v>2423</v>
      </c>
      <c r="AM187" s="206" t="s">
        <v>2424</v>
      </c>
      <c r="AN187" s="207" t="s">
        <v>2425</v>
      </c>
      <c r="AO187" s="78" t="s">
        <v>2426</v>
      </c>
      <c r="AP187" s="78" t="s">
        <v>2427</v>
      </c>
      <c r="AQ187" s="201" t="s">
        <v>921</v>
      </c>
      <c r="AR187" s="201" t="s">
        <v>2428</v>
      </c>
      <c r="AS187" s="209" t="s">
        <v>2429</v>
      </c>
      <c r="AT187" s="23" t="s">
        <v>201</v>
      </c>
      <c r="AU187" s="23" t="s">
        <v>435</v>
      </c>
      <c r="AV187" s="210" t="s">
        <v>454</v>
      </c>
      <c r="AW187" s="251">
        <v>4900000</v>
      </c>
      <c r="AX187" s="175">
        <v>4900000</v>
      </c>
      <c r="AY187" s="212">
        <v>12</v>
      </c>
      <c r="AZ187" s="213">
        <f t="shared" si="63"/>
        <v>58800000</v>
      </c>
      <c r="BA187" s="213"/>
      <c r="BB187" s="213"/>
      <c r="BC187" s="214">
        <v>45839</v>
      </c>
      <c r="BD187" s="235">
        <v>33000000</v>
      </c>
      <c r="BE187" s="215">
        <v>33000000</v>
      </c>
      <c r="BF187" s="215">
        <f t="shared" si="66"/>
        <v>33000000</v>
      </c>
      <c r="BG187" s="215">
        <f t="shared" si="67"/>
        <v>2750000</v>
      </c>
      <c r="BH187" s="215">
        <v>2282700</v>
      </c>
      <c r="BI187" s="216">
        <f t="shared" si="81"/>
        <v>11878.95</v>
      </c>
      <c r="BJ187" s="216">
        <f>IF(AT187="통상",209,VLOOKUP(AD187,'[2]스케줄 분석_20260109'!$B$3:$F$20,5,FALSE))</f>
        <v>209</v>
      </c>
      <c r="BK187" s="216">
        <f>IF(AT187="통상",15,VLOOKUP(AD187,'[2]스케줄 분석_20260109'!$B$3:$P$20,10,FALSE))</f>
        <v>15</v>
      </c>
      <c r="BL187" s="216">
        <f>IF(AT187="통상",0,VLOOKUP(AD187,'[2]스케줄 분석_20260109'!$B$3:$P$20,11,FALSE))</f>
        <v>0</v>
      </c>
      <c r="BM187" s="215">
        <f t="shared" si="68"/>
        <v>267300</v>
      </c>
      <c r="BN187" s="175">
        <f t="shared" si="69"/>
        <v>0</v>
      </c>
      <c r="BO187" s="213">
        <v>200000</v>
      </c>
      <c r="BP187" s="175">
        <f>IF(OR(AT187="스케줄",AT187="스케줄_파라"),ROUNDUP(VLOOKUP(AD187,'[2]스케줄 분석_20260109'!$B$3:$Y$20,23,FALSE)*(VLOOKUP(AD187,'[2]스케줄 분석_20260109'!$B$3:$Y$20,21,FALSE)/VLOOKUP(AD187,'[2]스케줄 분석_20260109'!$B$3:$Y$20,20,FALSE))*VLOOKUP(AD187,'[2]스케줄 분석_20260109'!$B$3:$Y$20,22,FALSE)*VLOOKUP(AD187,'[2]스케줄 분석_20260109'!$B$3:$Y$20,2,FALSE)*1.5*BI187,0),0)</f>
        <v>0</v>
      </c>
      <c r="BQ187" s="217" t="str">
        <f t="shared" si="70"/>
        <v>적합</v>
      </c>
      <c r="BR187" s="213"/>
      <c r="BS187" s="218">
        <f t="shared" si="71"/>
        <v>475158</v>
      </c>
      <c r="BT187" s="219">
        <f t="shared" si="72"/>
        <v>2789596.5</v>
      </c>
      <c r="BU187" s="175">
        <f t="shared" si="73"/>
        <v>1453500</v>
      </c>
      <c r="BV187" s="175">
        <f t="shared" si="74"/>
        <v>1246350.24</v>
      </c>
      <c r="BW187" s="175">
        <f t="shared" si="75"/>
        <v>474300</v>
      </c>
      <c r="BX187" s="175">
        <f t="shared" si="76"/>
        <v>201960</v>
      </c>
      <c r="BY187" s="213">
        <f t="shared" si="65"/>
        <v>3437500</v>
      </c>
      <c r="BZ187" s="220">
        <f t="shared" si="77"/>
        <v>36264754.5</v>
      </c>
      <c r="CA187" s="213">
        <f t="shared" si="83"/>
        <v>3376110.24</v>
      </c>
      <c r="CB187" s="220">
        <f t="shared" si="79"/>
        <v>41250000</v>
      </c>
      <c r="CC187" s="222">
        <f t="shared" si="80"/>
        <v>17550000</v>
      </c>
      <c r="CD187" s="301">
        <f t="shared" si="64"/>
        <v>29.846938775510207</v>
      </c>
      <c r="CE187" s="262"/>
      <c r="CF187" s="262"/>
      <c r="CG187" s="23" t="s">
        <v>1733</v>
      </c>
      <c r="CH187" s="23" t="s">
        <v>2175</v>
      </c>
      <c r="CK187" s="187"/>
      <c r="CL187" s="188"/>
    </row>
    <row r="188" spans="1:117" ht="17.25" customHeight="1">
      <c r="A188" s="23">
        <f t="shared" si="62"/>
        <v>185</v>
      </c>
      <c r="B188" s="23" t="s">
        <v>439</v>
      </c>
      <c r="C188" s="190">
        <v>2025038</v>
      </c>
      <c r="D188" s="201" t="s">
        <v>283</v>
      </c>
      <c r="E188" s="23" t="s">
        <v>2280</v>
      </c>
      <c r="F188" s="23" t="s">
        <v>2430</v>
      </c>
      <c r="G188" s="23" t="s">
        <v>1521</v>
      </c>
      <c r="H188" s="23" t="s">
        <v>1541</v>
      </c>
      <c r="I188" s="23" t="s">
        <v>414</v>
      </c>
      <c r="J188" s="194" t="s">
        <v>178</v>
      </c>
      <c r="K188" s="78" t="s">
        <v>2282</v>
      </c>
      <c r="L188" s="23" t="s">
        <v>2262</v>
      </c>
      <c r="N188" s="229" t="s">
        <v>2431</v>
      </c>
      <c r="O188" s="237" t="s">
        <v>2432</v>
      </c>
      <c r="P188" s="247" t="s">
        <v>2433</v>
      </c>
      <c r="Q188" s="214">
        <v>43722</v>
      </c>
      <c r="R188" s="214">
        <v>45852</v>
      </c>
      <c r="T188" s="201" t="s">
        <v>1822</v>
      </c>
      <c r="U188" s="201" t="s">
        <v>2434</v>
      </c>
      <c r="V188" s="201" t="s">
        <v>394</v>
      </c>
      <c r="X188" s="328"/>
      <c r="Z188" s="203">
        <f ca="1">IF(Q188&lt;&gt;"",$A$1-Q188,"")</f>
        <v>2439</v>
      </c>
      <c r="AA188" s="203">
        <f t="shared" ca="1" si="86"/>
        <v>309</v>
      </c>
      <c r="AB188" s="214"/>
      <c r="AD188" s="78" t="s">
        <v>2290</v>
      </c>
      <c r="AE188" s="78" t="s">
        <v>217</v>
      </c>
      <c r="AF188" s="78" t="s">
        <v>263</v>
      </c>
      <c r="AG188" s="78" t="s">
        <v>263</v>
      </c>
      <c r="AH188" s="23" t="s">
        <v>161</v>
      </c>
      <c r="AI188" s="23" t="s">
        <v>295</v>
      </c>
      <c r="AJ188" s="23" t="s">
        <v>296</v>
      </c>
      <c r="AK188" s="23">
        <v>22376</v>
      </c>
      <c r="AL188" s="78" t="s">
        <v>2435</v>
      </c>
      <c r="AM188" s="269" t="s">
        <v>2436</v>
      </c>
      <c r="AN188" s="78" t="s">
        <v>2437</v>
      </c>
      <c r="AO188" s="78" t="s">
        <v>301</v>
      </c>
      <c r="AP188" s="78" t="s">
        <v>2294</v>
      </c>
      <c r="AQ188" s="201" t="s">
        <v>2295</v>
      </c>
      <c r="AS188" s="209" t="s">
        <v>2296</v>
      </c>
      <c r="AT188" s="23" t="s">
        <v>2297</v>
      </c>
      <c r="AU188" s="23" t="s">
        <v>435</v>
      </c>
      <c r="AV188" s="210" t="s">
        <v>454</v>
      </c>
      <c r="AW188" s="318">
        <v>4300000</v>
      </c>
      <c r="AX188" s="148">
        <v>4300000</v>
      </c>
      <c r="AY188" s="23">
        <v>12</v>
      </c>
      <c r="AZ188" s="213">
        <f t="shared" si="63"/>
        <v>51600000</v>
      </c>
      <c r="BC188" s="214">
        <v>45852</v>
      </c>
      <c r="BD188" s="304">
        <v>30000000</v>
      </c>
      <c r="BE188" s="304">
        <v>30000000</v>
      </c>
      <c r="BF188" s="304">
        <f t="shared" si="66"/>
        <v>30000000</v>
      </c>
      <c r="BG188" s="215">
        <f t="shared" si="67"/>
        <v>2500000</v>
      </c>
      <c r="BH188" s="215">
        <v>2057000.0000000002</v>
      </c>
      <c r="BI188" s="216">
        <f t="shared" si="81"/>
        <v>10799.04</v>
      </c>
      <c r="BJ188" s="216">
        <f>IF(AT188="통상",209,VLOOKUP(AD188,'[2]스케줄 분석_20260109'!$B$3:$F$20,5,FALSE))</f>
        <v>209</v>
      </c>
      <c r="BK188" s="216">
        <f>IF(AT188="통상",15,VLOOKUP(AD188,'[2]스케줄 분석_20260109'!$B$3:$P$20,10,FALSE))</f>
        <v>15</v>
      </c>
      <c r="BL188" s="216">
        <f>IF(AT188="통상",0,VLOOKUP(AD188,'[2]스케줄 분석_20260109'!$B$3:$P$20,11,FALSE))</f>
        <v>0</v>
      </c>
      <c r="BM188" s="215">
        <f t="shared" si="68"/>
        <v>243000</v>
      </c>
      <c r="BN188" s="175">
        <f t="shared" si="69"/>
        <v>0</v>
      </c>
      <c r="BO188" s="175">
        <v>200000</v>
      </c>
      <c r="BP188" s="175">
        <f>IF(OR(AT188="스케줄",AT188="스케줄_파라"),ROUNDUP(VLOOKUP(AD188,'[2]스케줄 분석_20260109'!$B$3:$Y$20,23,FALSE)*(VLOOKUP(AD188,'[2]스케줄 분석_20260109'!$B$3:$Y$20,21,FALSE)/VLOOKUP(AD188,'[2]스케줄 분석_20260109'!$B$3:$Y$20,20,FALSE))*VLOOKUP(AD188,'[2]스케줄 분석_20260109'!$B$3:$Y$20,22,FALSE)*VLOOKUP(AD188,'[2]스케줄 분석_20260109'!$B$3:$Y$20,2,FALSE)*1.5*BI188,0),0)</f>
        <v>1676551</v>
      </c>
      <c r="BQ188" s="217" t="str">
        <f t="shared" si="70"/>
        <v>적합</v>
      </c>
      <c r="BR188" s="175"/>
      <c r="BS188" s="218">
        <f t="shared" si="71"/>
        <v>1079904</v>
      </c>
      <c r="BT188" s="219">
        <f t="shared" si="72"/>
        <v>2589992</v>
      </c>
      <c r="BU188" s="175">
        <f t="shared" si="73"/>
        <v>1311000</v>
      </c>
      <c r="BV188" s="175">
        <f t="shared" si="74"/>
        <v>1124159.0399999998</v>
      </c>
      <c r="BW188" s="175">
        <f t="shared" si="75"/>
        <v>427800</v>
      </c>
      <c r="BX188" s="175">
        <f t="shared" si="76"/>
        <v>182160</v>
      </c>
      <c r="BY188" s="213">
        <f t="shared" si="65"/>
        <v>3125000</v>
      </c>
      <c r="BZ188" s="220">
        <f t="shared" si="77"/>
        <v>33669896</v>
      </c>
      <c r="CA188" s="175">
        <f>SUM(BU188:BX188)</f>
        <v>3045119.04</v>
      </c>
      <c r="CB188" s="292">
        <f t="shared" si="79"/>
        <v>37500000</v>
      </c>
      <c r="CC188" s="294">
        <f t="shared" si="80"/>
        <v>12071373.289999999</v>
      </c>
      <c r="CD188" s="301">
        <f t="shared" si="64"/>
        <v>23.394134282945735</v>
      </c>
      <c r="CG188" s="23" t="s">
        <v>1679</v>
      </c>
      <c r="CH188" s="23" t="s">
        <v>2175</v>
      </c>
      <c r="CK188" s="187"/>
      <c r="CL188" s="188"/>
    </row>
    <row r="189" spans="1:117" ht="17.25" customHeight="1">
      <c r="A189" s="23">
        <f t="shared" si="62"/>
        <v>186</v>
      </c>
      <c r="B189" s="23" t="s">
        <v>439</v>
      </c>
      <c r="C189" s="190">
        <v>2025040</v>
      </c>
      <c r="D189" s="194" t="s">
        <v>283</v>
      </c>
      <c r="E189" s="227" t="s">
        <v>2438</v>
      </c>
      <c r="F189" s="227" t="s">
        <v>2439</v>
      </c>
      <c r="G189" s="23" t="s">
        <v>476</v>
      </c>
      <c r="H189" s="227" t="s">
        <v>640</v>
      </c>
      <c r="I189" s="227" t="s">
        <v>309</v>
      </c>
      <c r="J189" s="194" t="s">
        <v>232</v>
      </c>
      <c r="K189" s="79" t="s">
        <v>627</v>
      </c>
      <c r="L189" s="227" t="s">
        <v>2440</v>
      </c>
      <c r="M189" s="227"/>
      <c r="N189" s="228" t="s">
        <v>2441</v>
      </c>
      <c r="O189" s="237" t="s">
        <v>2442</v>
      </c>
      <c r="P189" s="229" t="s">
        <v>2443</v>
      </c>
      <c r="Q189" s="214">
        <v>37734</v>
      </c>
      <c r="R189" s="214">
        <v>45861</v>
      </c>
      <c r="S189" s="214"/>
      <c r="T189" s="231" t="s">
        <v>2444</v>
      </c>
      <c r="U189" s="200" t="s">
        <v>2445</v>
      </c>
      <c r="V189" s="201" t="s">
        <v>423</v>
      </c>
      <c r="W189" s="200" t="s">
        <v>2446</v>
      </c>
      <c r="X189" s="200"/>
      <c r="Y189" s="200"/>
      <c r="Z189" s="203">
        <f ca="1">IF(Q189&lt;&gt;"",$A$1-Q189,"")</f>
        <v>8427</v>
      </c>
      <c r="AA189" s="203">
        <f t="shared" ca="1" si="86"/>
        <v>300</v>
      </c>
      <c r="AB189" s="232"/>
      <c r="AC189" s="232"/>
      <c r="AD189" s="78" t="s">
        <v>2447</v>
      </c>
      <c r="AE189" s="78" t="s">
        <v>217</v>
      </c>
      <c r="AF189" s="78" t="s">
        <v>263</v>
      </c>
      <c r="AG189" s="78" t="s">
        <v>263</v>
      </c>
      <c r="AH189" s="23" t="s">
        <v>348</v>
      </c>
      <c r="AI189" s="23" t="s">
        <v>295</v>
      </c>
      <c r="AJ189" s="23" t="s">
        <v>296</v>
      </c>
      <c r="AK189" s="23">
        <v>22011</v>
      </c>
      <c r="AL189" s="78" t="s">
        <v>2448</v>
      </c>
      <c r="AM189" s="206" t="s">
        <v>2449</v>
      </c>
      <c r="AN189" s="207" t="s">
        <v>2450</v>
      </c>
      <c r="AO189" s="78" t="s">
        <v>301</v>
      </c>
      <c r="AP189" s="78" t="s">
        <v>2451</v>
      </c>
      <c r="AQ189" s="201" t="s">
        <v>2452</v>
      </c>
      <c r="AS189" s="209" t="s">
        <v>2296</v>
      </c>
      <c r="AT189" s="23" t="s">
        <v>201</v>
      </c>
      <c r="AU189" s="23" t="s">
        <v>435</v>
      </c>
      <c r="AV189" s="210" t="s">
        <v>454</v>
      </c>
      <c r="AW189" s="251">
        <v>8100000</v>
      </c>
      <c r="AX189" s="175">
        <v>8100000</v>
      </c>
      <c r="AY189" s="212">
        <v>12</v>
      </c>
      <c r="AZ189" s="213">
        <f t="shared" si="63"/>
        <v>97200000</v>
      </c>
      <c r="BA189" s="234"/>
      <c r="BB189" s="331"/>
      <c r="BC189" s="214">
        <v>45861</v>
      </c>
      <c r="BD189" s="332"/>
      <c r="BE189" s="304">
        <v>68004000</v>
      </c>
      <c r="BF189" s="304">
        <f t="shared" si="66"/>
        <v>68004000</v>
      </c>
      <c r="BG189" s="235">
        <f t="shared" si="67"/>
        <v>5667000</v>
      </c>
      <c r="BH189" s="235">
        <v>4916200</v>
      </c>
      <c r="BI189" s="216">
        <f t="shared" si="81"/>
        <v>24479.43</v>
      </c>
      <c r="BJ189" s="216">
        <f>IF(AT189="통상",209,VLOOKUP(AD189,'[2]스케줄 분석_20260109'!$B$3:$F$20,5,FALSE))</f>
        <v>209</v>
      </c>
      <c r="BK189" s="216">
        <f>IF(AT189="통상",15,VLOOKUP(AD189,'[2]스케줄 분석_20260109'!$B$3:$P$20,10,FALSE))</f>
        <v>15</v>
      </c>
      <c r="BL189" s="216">
        <f>IF(AT189="통상",0,VLOOKUP(AD189,'[2]스케줄 분석_20260109'!$B$3:$P$20,11,FALSE))</f>
        <v>0</v>
      </c>
      <c r="BM189" s="215">
        <f t="shared" si="68"/>
        <v>550800</v>
      </c>
      <c r="BN189" s="175">
        <f t="shared" si="69"/>
        <v>0</v>
      </c>
      <c r="BO189" s="175">
        <v>200000</v>
      </c>
      <c r="BP189" s="175">
        <f>IF(OR(AT189="스케줄",AT189="스케줄_파라"),ROUNDUP(VLOOKUP(AD189,'[2]스케줄 분석_20260109'!$B$3:$Y$20,23,FALSE)*(VLOOKUP(AD189,'[2]스케줄 분석_20260109'!$B$3:$Y$20,21,FALSE)/VLOOKUP(AD189,'[2]스케줄 분석_20260109'!$B$3:$Y$20,20,FALSE))*VLOOKUP(AD189,'[2]스케줄 분석_20260109'!$B$3:$Y$20,22,FALSE)*VLOOKUP(AD189,'[2]스케줄 분석_20260109'!$B$3:$Y$20,2,FALSE)*1.5*BI189,0),0)</f>
        <v>0</v>
      </c>
      <c r="BQ189" s="217" t="str">
        <f t="shared" si="70"/>
        <v>적합</v>
      </c>
      <c r="BR189" s="213"/>
      <c r="BS189" s="218">
        <f t="shared" si="71"/>
        <v>979177.2</v>
      </c>
      <c r="BT189" s="219">
        <f t="shared" si="72"/>
        <v>5748598.0999999996</v>
      </c>
      <c r="BU189" s="175">
        <f t="shared" si="73"/>
        <v>3116190</v>
      </c>
      <c r="BV189" s="175">
        <f t="shared" si="74"/>
        <v>2672077.1616000002</v>
      </c>
      <c r="BW189" s="175">
        <f t="shared" si="75"/>
        <v>1016862</v>
      </c>
      <c r="BX189" s="175">
        <f t="shared" si="76"/>
        <v>432986.4</v>
      </c>
      <c r="BY189" s="252">
        <f t="shared" si="65"/>
        <v>7083750</v>
      </c>
      <c r="BZ189" s="220">
        <f t="shared" si="77"/>
        <v>74731775.299999997</v>
      </c>
      <c r="CA189" s="213">
        <f>SUM(BU189:BX189)</f>
        <v>7238115.5616000006</v>
      </c>
      <c r="CB189" s="220">
        <f t="shared" si="79"/>
        <v>85005000</v>
      </c>
      <c r="CC189" s="222">
        <f t="shared" si="80"/>
        <v>12195000</v>
      </c>
      <c r="CD189" s="301">
        <f t="shared" si="64"/>
        <v>12.546296296296298</v>
      </c>
      <c r="CG189" s="23" t="s">
        <v>339</v>
      </c>
      <c r="CH189" s="23" t="s">
        <v>2175</v>
      </c>
      <c r="CJ189" s="111"/>
      <c r="CK189" s="187"/>
      <c r="CL189" s="188"/>
      <c r="CM189" s="111"/>
      <c r="CN189" s="111"/>
      <c r="CO189" s="111"/>
      <c r="CP189" s="111"/>
      <c r="CQ189" s="111"/>
      <c r="CR189" s="111"/>
      <c r="CS189" s="111"/>
      <c r="CT189" s="111"/>
      <c r="CU189" s="111"/>
      <c r="CV189" s="111"/>
      <c r="CW189" s="111"/>
      <c r="CX189" s="111"/>
      <c r="CY189" s="111"/>
      <c r="CZ189" s="111"/>
      <c r="DA189" s="111"/>
      <c r="DB189" s="111"/>
      <c r="DC189" s="111"/>
      <c r="DD189" s="111"/>
      <c r="DE189" s="111"/>
      <c r="DF189" s="111"/>
      <c r="DG189" s="111"/>
      <c r="DH189" s="111"/>
      <c r="DI189" s="111"/>
      <c r="DJ189" s="111"/>
      <c r="DK189" s="111"/>
    </row>
    <row r="190" spans="1:117" ht="17.25" customHeight="1">
      <c r="A190" s="23">
        <f t="shared" si="62"/>
        <v>187</v>
      </c>
      <c r="B190" s="23" t="s">
        <v>439</v>
      </c>
      <c r="C190" s="286">
        <v>2025041</v>
      </c>
      <c r="D190" s="194" t="s">
        <v>561</v>
      </c>
      <c r="E190" s="227" t="s">
        <v>2453</v>
      </c>
      <c r="F190" s="227" t="s">
        <v>2454</v>
      </c>
      <c r="G190" s="23" t="s">
        <v>412</v>
      </c>
      <c r="H190" s="227" t="s">
        <v>1622</v>
      </c>
      <c r="I190" s="227" t="s">
        <v>1454</v>
      </c>
      <c r="J190" s="194" t="s">
        <v>178</v>
      </c>
      <c r="K190" s="79" t="s">
        <v>233</v>
      </c>
      <c r="L190" s="287" t="s">
        <v>2455</v>
      </c>
      <c r="M190" s="227"/>
      <c r="N190" s="228" t="s">
        <v>2456</v>
      </c>
      <c r="O190" s="197" t="s">
        <v>2457</v>
      </c>
      <c r="P190" s="239" t="s">
        <v>2458</v>
      </c>
      <c r="Q190" s="214">
        <v>45870</v>
      </c>
      <c r="R190" s="214">
        <v>45870</v>
      </c>
      <c r="S190" s="230"/>
      <c r="T190" s="231" t="s">
        <v>2459</v>
      </c>
      <c r="U190" s="231" t="s">
        <v>2460</v>
      </c>
      <c r="V190" s="201" t="s">
        <v>290</v>
      </c>
      <c r="W190" s="200" t="s">
        <v>2446</v>
      </c>
      <c r="Z190" s="203">
        <f t="shared" ref="Z190" ca="1" si="87">IF(Q190&lt;&gt;"",$A$1-Q190,"")</f>
        <v>291</v>
      </c>
      <c r="AA190" s="203">
        <f t="shared" ca="1" si="86"/>
        <v>291</v>
      </c>
      <c r="AB190" s="232"/>
      <c r="AC190" s="232"/>
      <c r="AD190" s="78" t="s">
        <v>189</v>
      </c>
      <c r="AE190" s="78" t="s">
        <v>190</v>
      </c>
      <c r="AF190" s="78" t="s">
        <v>191</v>
      </c>
      <c r="AG190" s="78" t="s">
        <v>191</v>
      </c>
      <c r="AH190" s="23" t="s">
        <v>161</v>
      </c>
      <c r="AI190" s="23" t="s">
        <v>192</v>
      </c>
      <c r="AJ190" s="23" t="s">
        <v>569</v>
      </c>
      <c r="AK190" s="233" t="s">
        <v>193</v>
      </c>
      <c r="AL190" s="78" t="s">
        <v>570</v>
      </c>
      <c r="AM190" s="206" t="s">
        <v>2461</v>
      </c>
      <c r="AN190" s="207" t="s">
        <v>2462</v>
      </c>
      <c r="AO190" s="78" t="s">
        <v>197</v>
      </c>
      <c r="AP190" s="78" t="s">
        <v>198</v>
      </c>
      <c r="AQ190" s="201" t="s">
        <v>987</v>
      </c>
      <c r="AS190" s="209" t="s">
        <v>200</v>
      </c>
      <c r="AT190" s="23" t="s">
        <v>201</v>
      </c>
      <c r="AU190" s="23" t="s">
        <v>435</v>
      </c>
      <c r="AV190" s="210" t="s">
        <v>454</v>
      </c>
      <c r="AW190" s="211">
        <v>3875000</v>
      </c>
      <c r="AX190" s="270">
        <v>4000000</v>
      </c>
      <c r="AY190" s="212">
        <v>12</v>
      </c>
      <c r="AZ190" s="213">
        <f t="shared" si="63"/>
        <v>48000000</v>
      </c>
      <c r="BC190" s="214">
        <v>45962</v>
      </c>
      <c r="BD190" s="215">
        <v>27513600</v>
      </c>
      <c r="BE190" s="215">
        <v>29400000</v>
      </c>
      <c r="BF190" s="215">
        <f t="shared" si="66"/>
        <v>29400000</v>
      </c>
      <c r="BG190" s="215">
        <f t="shared" si="67"/>
        <v>2450000</v>
      </c>
      <c r="BH190" s="215">
        <v>2011800.0000000002</v>
      </c>
      <c r="BI190" s="216">
        <f t="shared" si="81"/>
        <v>10582.78</v>
      </c>
      <c r="BJ190" s="216">
        <f>IF(AT190="통상",209,VLOOKUP(AD190,'[2]스케줄 분석_20260109'!$B$3:$F$20,5,FALSE))</f>
        <v>209</v>
      </c>
      <c r="BK190" s="216">
        <f>IF(AT190="통상",15,VLOOKUP(AD190,'[2]스케줄 분석_20260109'!$B$3:$P$20,10,FALSE))</f>
        <v>15</v>
      </c>
      <c r="BL190" s="216">
        <f>IF(AT190="통상",0,VLOOKUP(AD190,'[2]스케줄 분석_20260109'!$B$3:$P$20,11,FALSE))</f>
        <v>0</v>
      </c>
      <c r="BM190" s="215">
        <f t="shared" si="68"/>
        <v>238200</v>
      </c>
      <c r="BN190" s="175">
        <f t="shared" si="69"/>
        <v>0</v>
      </c>
      <c r="BO190" s="213">
        <v>200000</v>
      </c>
      <c r="BP190" s="175">
        <f>IF(OR(AT190="스케줄",AT190="스케줄_파라"),ROUNDUP(VLOOKUP(AD190,'[2]스케줄 분석_20260109'!$B$3:$Y$20,23,FALSE)*(VLOOKUP(AD190,'[2]스케줄 분석_20260109'!$B$3:$Y$20,21,FALSE)/VLOOKUP(AD190,'[2]스케줄 분석_20260109'!$B$3:$Y$20,20,FALSE))*VLOOKUP(AD190,'[2]스케줄 분석_20260109'!$B$3:$Y$20,22,FALSE)*VLOOKUP(AD190,'[2]스케줄 분석_20260109'!$B$3:$Y$20,2,FALSE)*1.5*BI190,0),0)</f>
        <v>0</v>
      </c>
      <c r="BQ190" s="217" t="str">
        <f t="shared" si="70"/>
        <v>적합</v>
      </c>
      <c r="BR190" s="213"/>
      <c r="BS190" s="218">
        <f t="shared" si="71"/>
        <v>423311.2</v>
      </c>
      <c r="BT190" s="219">
        <f t="shared" si="72"/>
        <v>2485275.9333333331</v>
      </c>
      <c r="BU190" s="175">
        <f t="shared" si="73"/>
        <v>1282500</v>
      </c>
      <c r="BV190" s="175">
        <f t="shared" si="74"/>
        <v>1099720.7999999998</v>
      </c>
      <c r="BW190" s="175">
        <f t="shared" si="75"/>
        <v>418500</v>
      </c>
      <c r="BX190" s="175">
        <f t="shared" si="76"/>
        <v>178200</v>
      </c>
      <c r="BY190" s="213">
        <f t="shared" si="65"/>
        <v>3062500</v>
      </c>
      <c r="BZ190" s="220">
        <f t="shared" si="77"/>
        <v>32308587.133333333</v>
      </c>
      <c r="CA190" s="213">
        <f t="shared" ref="CA190" si="88">SUM(BU190:BX190)</f>
        <v>2978920.8</v>
      </c>
      <c r="CB190" s="221">
        <f t="shared" si="79"/>
        <v>36750000</v>
      </c>
      <c r="CC190" s="222">
        <f t="shared" si="80"/>
        <v>11250000</v>
      </c>
      <c r="CD190" s="223">
        <f t="shared" si="64"/>
        <v>23.4375</v>
      </c>
      <c r="CE190" s="283"/>
      <c r="CF190" s="283"/>
      <c r="CG190" s="282"/>
      <c r="CH190" s="23" t="s">
        <v>2175</v>
      </c>
      <c r="CK190" s="187"/>
      <c r="CL190" s="188"/>
    </row>
    <row r="191" spans="1:117" ht="17.25" customHeight="1">
      <c r="A191" s="23">
        <f t="shared" si="62"/>
        <v>188</v>
      </c>
      <c r="B191" s="23" t="s">
        <v>439</v>
      </c>
      <c r="C191" s="286">
        <v>2025043</v>
      </c>
      <c r="D191" s="194" t="s">
        <v>2387</v>
      </c>
      <c r="E191" s="227" t="s">
        <v>2463</v>
      </c>
      <c r="F191" s="227" t="s">
        <v>2464</v>
      </c>
      <c r="G191" s="23" t="s">
        <v>412</v>
      </c>
      <c r="H191" s="227" t="s">
        <v>1167</v>
      </c>
      <c r="I191" s="227" t="s">
        <v>741</v>
      </c>
      <c r="J191" s="194" t="s">
        <v>178</v>
      </c>
      <c r="K191" s="79" t="s">
        <v>1401</v>
      </c>
      <c r="L191" s="227" t="s">
        <v>2465</v>
      </c>
      <c r="M191" s="227"/>
      <c r="N191" s="228" t="s">
        <v>2466</v>
      </c>
      <c r="O191" s="237" t="s">
        <v>2467</v>
      </c>
      <c r="P191" s="229" t="s">
        <v>2468</v>
      </c>
      <c r="Q191" s="214">
        <v>45887</v>
      </c>
      <c r="R191" s="214">
        <v>45887</v>
      </c>
      <c r="S191" s="214"/>
      <c r="T191" s="231" t="s">
        <v>481</v>
      </c>
      <c r="U191" s="231" t="s">
        <v>2469</v>
      </c>
      <c r="V191" s="201" t="s">
        <v>394</v>
      </c>
      <c r="X191" s="328"/>
      <c r="Y191" s="326"/>
      <c r="Z191" s="203">
        <f ca="1">IF(Q191&lt;&gt;"",$A$1-Q191,"")</f>
        <v>274</v>
      </c>
      <c r="AA191" s="203">
        <f ca="1">$A$1-R191</f>
        <v>274</v>
      </c>
      <c r="AB191" s="232"/>
      <c r="AC191" s="232"/>
      <c r="AD191" s="78" t="s">
        <v>1835</v>
      </c>
      <c r="AE191" s="78" t="s">
        <v>217</v>
      </c>
      <c r="AF191" s="78" t="s">
        <v>191</v>
      </c>
      <c r="AG191" s="78" t="s">
        <v>191</v>
      </c>
      <c r="AH191" s="23" t="s">
        <v>161</v>
      </c>
      <c r="AI191" s="23" t="s">
        <v>365</v>
      </c>
      <c r="AJ191" s="23" t="s">
        <v>990</v>
      </c>
      <c r="AK191" s="23" t="s">
        <v>1000</v>
      </c>
      <c r="AL191" s="78" t="s">
        <v>1001</v>
      </c>
      <c r="AM191" s="206" t="s">
        <v>2470</v>
      </c>
      <c r="AN191" s="207" t="s">
        <v>2471</v>
      </c>
      <c r="AO191" s="78" t="s">
        <v>401</v>
      </c>
      <c r="AP191" s="78" t="s">
        <v>1038</v>
      </c>
      <c r="AQ191" s="201" t="s">
        <v>433</v>
      </c>
      <c r="AS191" s="209" t="s">
        <v>1006</v>
      </c>
      <c r="AT191" s="23" t="s">
        <v>434</v>
      </c>
      <c r="AU191" s="23" t="s">
        <v>435</v>
      </c>
      <c r="AV191" s="210" t="s">
        <v>454</v>
      </c>
      <c r="AW191" s="251">
        <v>4056000</v>
      </c>
      <c r="AX191" s="175">
        <v>4056000</v>
      </c>
      <c r="AY191" s="212">
        <v>12</v>
      </c>
      <c r="AZ191" s="213">
        <f t="shared" si="63"/>
        <v>48672000</v>
      </c>
      <c r="BA191" s="251"/>
      <c r="BB191" s="251"/>
      <c r="BC191" s="230">
        <v>46023</v>
      </c>
      <c r="BD191" s="22"/>
      <c r="BE191" s="22">
        <v>27499200</v>
      </c>
      <c r="BF191" s="333">
        <f t="shared" si="66"/>
        <v>27967200</v>
      </c>
      <c r="BG191" s="235">
        <f t="shared" si="67"/>
        <v>2330600</v>
      </c>
      <c r="BH191" s="215">
        <v>1698899.9999999998</v>
      </c>
      <c r="BI191" s="312">
        <f t="shared" si="81"/>
        <v>10320.11</v>
      </c>
      <c r="BJ191" s="216">
        <f>IF(AT191="통상",209,VLOOKUP(AD191,'[2]스케줄 분석_20260109'!$B$3:$F$20,5,FALSE))</f>
        <v>184</v>
      </c>
      <c r="BK191" s="216">
        <f>IF(AT191="통상",15,VLOOKUP(AD191,'[2]스케줄 분석_20260109'!$B$3:$P$20,10,FALSE))</f>
        <v>38.020000000000003</v>
      </c>
      <c r="BL191" s="216">
        <f>IF(AT191="통상",0,VLOOKUP(AD191,'[2]스케줄 분석_20260109'!$B$3:$P$20,11,FALSE))</f>
        <v>45.63</v>
      </c>
      <c r="BM191" s="215">
        <f t="shared" si="68"/>
        <v>196200</v>
      </c>
      <c r="BN191" s="213">
        <f t="shared" si="69"/>
        <v>235500</v>
      </c>
      <c r="BO191" s="213">
        <v>200000</v>
      </c>
      <c r="BP191" s="175">
        <f>IF(OR(AT191="스케줄",AT191="스케줄_파라"),ROUNDUP(VLOOKUP(AD191,'[2]스케줄 분석_20260109'!$B$3:$Y$20,23,FALSE)*(VLOOKUP(AD191,'[2]스케줄 분석_20260109'!$B$3:$Y$20,21,FALSE)/VLOOKUP(AD191,'[2]스케줄 분석_20260109'!$B$3:$Y$20,20,FALSE))*VLOOKUP(AD191,'[2]스케줄 분석_20260109'!$B$3:$Y$20,22,FALSE)*VLOOKUP(AD191,'[2]스케줄 분석_20260109'!$B$3:$Y$20,2,FALSE)*1.5*BI191,0),0)</f>
        <v>1869230</v>
      </c>
      <c r="BQ191" s="217" t="str">
        <f t="shared" si="70"/>
        <v>적합</v>
      </c>
      <c r="BR191" s="213"/>
      <c r="BS191" s="218">
        <f t="shared" si="71"/>
        <v>1032011</v>
      </c>
      <c r="BT191" s="219">
        <f t="shared" si="72"/>
        <v>2416600.9166666665</v>
      </c>
      <c r="BU191" s="175">
        <f t="shared" si="73"/>
        <v>1214442</v>
      </c>
      <c r="BV191" s="175">
        <f t="shared" si="74"/>
        <v>1041362.28288</v>
      </c>
      <c r="BW191" s="175">
        <f t="shared" si="75"/>
        <v>396291.6</v>
      </c>
      <c r="BX191" s="175">
        <f t="shared" si="76"/>
        <v>168743.52</v>
      </c>
      <c r="BY191" s="213">
        <f t="shared" si="65"/>
        <v>2913250</v>
      </c>
      <c r="BZ191" s="220">
        <f t="shared" si="77"/>
        <v>31415811.916666668</v>
      </c>
      <c r="CA191" s="213">
        <f>SUM(BU191:BX191)</f>
        <v>2820839.40288</v>
      </c>
      <c r="CB191" s="220">
        <f t="shared" si="79"/>
        <v>34959000</v>
      </c>
      <c r="CC191" s="222">
        <f t="shared" si="80"/>
        <v>11451231.699999999</v>
      </c>
      <c r="CD191" s="301">
        <f t="shared" si="64"/>
        <v>23.527349810979619</v>
      </c>
      <c r="CE191" s="283"/>
      <c r="CF191" s="283"/>
      <c r="CG191" s="23" t="s">
        <v>1679</v>
      </c>
      <c r="CH191" s="23" t="s">
        <v>2175</v>
      </c>
      <c r="CI191" s="111"/>
      <c r="CK191" s="187"/>
      <c r="CL191" s="188"/>
    </row>
    <row r="192" spans="1:117" ht="17.25" customHeight="1">
      <c r="A192" s="23">
        <f t="shared" si="62"/>
        <v>189</v>
      </c>
      <c r="B192" s="23" t="s">
        <v>439</v>
      </c>
      <c r="C192" s="190">
        <v>2025046</v>
      </c>
      <c r="D192" s="194" t="s">
        <v>490</v>
      </c>
      <c r="E192" s="227" t="s">
        <v>492</v>
      </c>
      <c r="F192" s="227" t="s">
        <v>2472</v>
      </c>
      <c r="G192" s="23" t="s">
        <v>1724</v>
      </c>
      <c r="H192" s="227" t="s">
        <v>1541</v>
      </c>
      <c r="I192" s="227" t="s">
        <v>414</v>
      </c>
      <c r="J192" s="194" t="s">
        <v>178</v>
      </c>
      <c r="K192" s="79" t="s">
        <v>1401</v>
      </c>
      <c r="L192" s="23" t="s">
        <v>1909</v>
      </c>
      <c r="M192" s="227"/>
      <c r="N192" s="228" t="s">
        <v>2473</v>
      </c>
      <c r="O192" s="334" t="s">
        <v>2474</v>
      </c>
      <c r="P192" s="229" t="s">
        <v>2475</v>
      </c>
      <c r="Q192" s="214">
        <v>45874</v>
      </c>
      <c r="R192" s="214">
        <v>45931</v>
      </c>
      <c r="S192" s="214"/>
      <c r="T192" s="231" t="s">
        <v>2476</v>
      </c>
      <c r="U192" s="200" t="s">
        <v>2163</v>
      </c>
      <c r="V192" s="201" t="s">
        <v>334</v>
      </c>
      <c r="W192" s="200" t="s">
        <v>2477</v>
      </c>
      <c r="X192" s="200"/>
      <c r="Y192" s="200"/>
      <c r="Z192" s="203">
        <f t="shared" ref="Z192:Z201" ca="1" si="89">IF(Q192&lt;&gt;"",$A$1-Q192,"")</f>
        <v>287</v>
      </c>
      <c r="AA192" s="203">
        <f t="shared" ref="AA192:AA198" ca="1" si="90">$A$1-R192</f>
        <v>230</v>
      </c>
      <c r="AB192" s="232"/>
      <c r="AC192" s="232"/>
      <c r="AD192" s="78" t="s">
        <v>2040</v>
      </c>
      <c r="AE192" s="78" t="s">
        <v>190</v>
      </c>
      <c r="AF192" s="78" t="s">
        <v>218</v>
      </c>
      <c r="AG192" s="78" t="s">
        <v>218</v>
      </c>
      <c r="AH192" s="23" t="s">
        <v>161</v>
      </c>
      <c r="AI192" s="23" t="s">
        <v>2041</v>
      </c>
      <c r="AJ192" s="23" t="s">
        <v>492</v>
      </c>
      <c r="AK192" s="23" t="s">
        <v>505</v>
      </c>
      <c r="AL192" s="78" t="s">
        <v>891</v>
      </c>
      <c r="AM192" s="206" t="s">
        <v>2478</v>
      </c>
      <c r="AN192" s="207" t="s">
        <v>2479</v>
      </c>
      <c r="AO192" s="78" t="s">
        <v>222</v>
      </c>
      <c r="AP192" s="78" t="s">
        <v>2044</v>
      </c>
      <c r="AQ192" s="201" t="s">
        <v>433</v>
      </c>
      <c r="AS192" s="209" t="s">
        <v>226</v>
      </c>
      <c r="AT192" s="23" t="s">
        <v>434</v>
      </c>
      <c r="AU192" s="23" t="s">
        <v>435</v>
      </c>
      <c r="AV192" s="210" t="s">
        <v>454</v>
      </c>
      <c r="AW192" s="213">
        <v>3810000</v>
      </c>
      <c r="AX192" s="175">
        <v>3810000</v>
      </c>
      <c r="AY192" s="212">
        <v>12</v>
      </c>
      <c r="AZ192" s="213">
        <f t="shared" si="63"/>
        <v>45720000</v>
      </c>
      <c r="BA192" s="213"/>
      <c r="BB192" s="213"/>
      <c r="BC192" s="230">
        <v>46023</v>
      </c>
      <c r="BD192" s="215"/>
      <c r="BE192" s="215">
        <v>30666000</v>
      </c>
      <c r="BF192" s="261">
        <f t="shared" si="66"/>
        <v>31554000</v>
      </c>
      <c r="BG192" s="215">
        <f t="shared" si="67"/>
        <v>2629500</v>
      </c>
      <c r="BH192" s="215">
        <v>1921200</v>
      </c>
      <c r="BI192" s="216">
        <f t="shared" si="81"/>
        <v>10320.629999999999</v>
      </c>
      <c r="BJ192" s="216">
        <f>IF(AT192="통상",209,VLOOKUP(AD192,'[2]스케줄 분석_20260109'!$B$3:$F$20,5,FALSE))</f>
        <v>205.53</v>
      </c>
      <c r="BK192" s="216">
        <f>IF(AT192="통상",15,VLOOKUP(AD192,'[2]스케줄 분석_20260109'!$B$3:$P$20,10,FALSE))</f>
        <v>32.590000000000003</v>
      </c>
      <c r="BL192" s="216">
        <f>IF(AT192="통상",0,VLOOKUP(AD192,'[2]스케줄 분석_20260109'!$B$3:$P$20,11,FALSE))</f>
        <v>65.900000000000006</v>
      </c>
      <c r="BM192" s="215">
        <f t="shared" si="68"/>
        <v>168200</v>
      </c>
      <c r="BN192" s="175">
        <f t="shared" si="69"/>
        <v>340100</v>
      </c>
      <c r="BO192" s="213">
        <v>200000</v>
      </c>
      <c r="BP192" s="175">
        <f>IF(OR(AT192="스케줄",AT192="스케줄_파라"),ROUNDUP(VLOOKUP(AD192,'[2]스케줄 분석_20260109'!$B$3:$Y$20,23,FALSE)*(VLOOKUP(AD192,'[2]스케줄 분석_20260109'!$B$3:$Y$20,21,FALSE)/VLOOKUP(AD192,'[2]스케줄 분석_20260109'!$B$3:$Y$20,20,FALSE))*VLOOKUP(AD192,'[2]스케줄 분석_20260109'!$B$3:$Y$20,22,FALSE)*VLOOKUP(AD192,'[2]스케줄 분석_20260109'!$B$3:$Y$20,2,FALSE)*1.5*BI192,0),0)</f>
        <v>1013081</v>
      </c>
      <c r="BQ192" s="217" t="str">
        <f t="shared" si="70"/>
        <v>적합</v>
      </c>
      <c r="BR192" s="213"/>
      <c r="BS192" s="218">
        <f t="shared" si="71"/>
        <v>1032062.9999999999</v>
      </c>
      <c r="BT192" s="219">
        <f t="shared" si="72"/>
        <v>2715505.25</v>
      </c>
      <c r="BU192" s="175">
        <f t="shared" si="73"/>
        <v>1384815</v>
      </c>
      <c r="BV192" s="175">
        <f t="shared" si="74"/>
        <v>1187454.0815999999</v>
      </c>
      <c r="BW192" s="175">
        <f t="shared" si="75"/>
        <v>451887</v>
      </c>
      <c r="BX192" s="175">
        <f t="shared" si="76"/>
        <v>192416.4</v>
      </c>
      <c r="BY192" s="213">
        <f t="shared" si="65"/>
        <v>3286875</v>
      </c>
      <c r="BZ192" s="220">
        <f t="shared" si="77"/>
        <v>35301568.25</v>
      </c>
      <c r="CA192" s="213">
        <f t="shared" ref="CA192:CA197" si="91">SUM(BU192:BX192)</f>
        <v>3216572.4816000001</v>
      </c>
      <c r="CB192" s="221">
        <f t="shared" si="79"/>
        <v>39442500</v>
      </c>
      <c r="CC192" s="222">
        <f t="shared" si="80"/>
        <v>5051671.99</v>
      </c>
      <c r="CD192" s="223">
        <f t="shared" si="64"/>
        <v>11.049151334208226</v>
      </c>
      <c r="CE192" s="283"/>
      <c r="CF192" s="283"/>
      <c r="CG192" s="23" t="s">
        <v>2480</v>
      </c>
      <c r="CH192" s="23" t="s">
        <v>2175</v>
      </c>
      <c r="CK192" s="187"/>
      <c r="CL192" s="188"/>
    </row>
    <row r="193" spans="1:117" ht="17.25" customHeight="1">
      <c r="A193" s="23">
        <f t="shared" si="62"/>
        <v>190</v>
      </c>
      <c r="B193" s="23" t="s">
        <v>439</v>
      </c>
      <c r="C193" s="190">
        <v>2025047</v>
      </c>
      <c r="D193" s="194" t="s">
        <v>1201</v>
      </c>
      <c r="E193" s="227" t="s">
        <v>1202</v>
      </c>
      <c r="F193" s="227" t="s">
        <v>2481</v>
      </c>
      <c r="G193" s="23" t="s">
        <v>1724</v>
      </c>
      <c r="H193" s="227" t="s">
        <v>177</v>
      </c>
      <c r="I193" s="227" t="s">
        <v>151</v>
      </c>
      <c r="J193" s="194" t="s">
        <v>178</v>
      </c>
      <c r="K193" s="79" t="s">
        <v>708</v>
      </c>
      <c r="L193" s="227" t="s">
        <v>2482</v>
      </c>
      <c r="M193" s="227"/>
      <c r="N193" s="228" t="s">
        <v>2483</v>
      </c>
      <c r="O193" s="197" t="s">
        <v>2484</v>
      </c>
      <c r="P193" s="239" t="s">
        <v>2485</v>
      </c>
      <c r="Q193" s="214">
        <v>45940</v>
      </c>
      <c r="R193" s="214">
        <v>45940</v>
      </c>
      <c r="S193" s="214"/>
      <c r="T193" s="231" t="s">
        <v>1095</v>
      </c>
      <c r="U193" s="231" t="s">
        <v>1252</v>
      </c>
      <c r="V193" s="201" t="s">
        <v>394</v>
      </c>
      <c r="W193" s="201" t="s">
        <v>1019</v>
      </c>
      <c r="Z193" s="203">
        <f t="shared" ca="1" si="89"/>
        <v>221</v>
      </c>
      <c r="AA193" s="203">
        <f t="shared" ca="1" si="90"/>
        <v>221</v>
      </c>
      <c r="AB193" s="232"/>
      <c r="AC193" s="232"/>
      <c r="AD193" s="78" t="s">
        <v>1213</v>
      </c>
      <c r="AE193" s="78" t="s">
        <v>217</v>
      </c>
      <c r="AF193" s="78" t="s">
        <v>218</v>
      </c>
      <c r="AG193" s="78" t="s">
        <v>218</v>
      </c>
      <c r="AH193" s="23" t="s">
        <v>161</v>
      </c>
      <c r="AI193" s="23" t="s">
        <v>1214</v>
      </c>
      <c r="AJ193" s="23" t="s">
        <v>1215</v>
      </c>
      <c r="AK193" s="23">
        <v>13595</v>
      </c>
      <c r="AL193" s="78" t="s">
        <v>1216</v>
      </c>
      <c r="AM193" s="206" t="s">
        <v>2486</v>
      </c>
      <c r="AN193" s="207" t="s">
        <v>2487</v>
      </c>
      <c r="AO193" s="78" t="s">
        <v>1219</v>
      </c>
      <c r="AP193" s="78" t="s">
        <v>1220</v>
      </c>
      <c r="AQ193" s="201" t="s">
        <v>717</v>
      </c>
      <c r="AS193" s="209" t="s">
        <v>1221</v>
      </c>
      <c r="AT193" s="23" t="s">
        <v>201</v>
      </c>
      <c r="AU193" s="23" t="s">
        <v>435</v>
      </c>
      <c r="AV193" s="210" t="s">
        <v>454</v>
      </c>
      <c r="AW193" s="211">
        <v>5412000</v>
      </c>
      <c r="AX193" s="175">
        <v>5412000</v>
      </c>
      <c r="AY193" s="212">
        <v>12</v>
      </c>
      <c r="AZ193" s="213">
        <f t="shared" si="63"/>
        <v>64944000</v>
      </c>
      <c r="BC193" s="214">
        <v>45940</v>
      </c>
      <c r="BD193" s="235"/>
      <c r="BE193" s="235">
        <v>29400000</v>
      </c>
      <c r="BF193" s="235">
        <f t="shared" si="66"/>
        <v>29400000</v>
      </c>
      <c r="BG193" s="235">
        <f t="shared" si="67"/>
        <v>2450000</v>
      </c>
      <c r="BH193" s="235">
        <v>2011800</v>
      </c>
      <c r="BI193" s="312">
        <f t="shared" si="81"/>
        <v>10582.78</v>
      </c>
      <c r="BJ193" s="216">
        <f>IF(AT193="통상",209,VLOOKUP(AD193,'[2]스케줄 분석_20260109'!$B$3:$F$20,5,FALSE))</f>
        <v>209</v>
      </c>
      <c r="BK193" s="216">
        <f>IF(AT193="통상",15,VLOOKUP(AD193,'[2]스케줄 분석_20260109'!$B$3:$P$20,10,FALSE))</f>
        <v>15</v>
      </c>
      <c r="BL193" s="216">
        <f>IF(AT193="통상",0,VLOOKUP(AD193,'[2]스케줄 분석_20260109'!$B$3:$P$20,11,FALSE))</f>
        <v>0</v>
      </c>
      <c r="BM193" s="215">
        <f t="shared" si="68"/>
        <v>238200</v>
      </c>
      <c r="BN193" s="213">
        <f t="shared" si="69"/>
        <v>0</v>
      </c>
      <c r="BO193" s="213">
        <v>200000</v>
      </c>
      <c r="BP193" s="175">
        <f>IF(OR(AT193="스케줄",AT193="스케줄_파라"),ROUNDUP(VLOOKUP(AD193,'[2]스케줄 분석_20260109'!$B$3:$Y$20,23,FALSE)*(VLOOKUP(AD193,'[2]스케줄 분석_20260109'!$B$3:$Y$20,21,FALSE)/VLOOKUP(AD193,'[2]스케줄 분석_20260109'!$B$3:$Y$20,20,FALSE))*VLOOKUP(AD193,'[2]스케줄 분석_20260109'!$B$3:$Y$20,22,FALSE)*VLOOKUP(AD193,'[2]스케줄 분석_20260109'!$B$3:$Y$20,2,FALSE)*1.5*BI193,0),0)</f>
        <v>0</v>
      </c>
      <c r="BQ193" s="217" t="str">
        <f t="shared" si="70"/>
        <v>적합</v>
      </c>
      <c r="BR193" s="213"/>
      <c r="BS193" s="218">
        <f t="shared" si="71"/>
        <v>423311.2</v>
      </c>
      <c r="BT193" s="219">
        <f t="shared" si="72"/>
        <v>2485275.9333333331</v>
      </c>
      <c r="BU193" s="175">
        <f t="shared" si="73"/>
        <v>1282500</v>
      </c>
      <c r="BV193" s="175">
        <f t="shared" si="74"/>
        <v>1099720.7999999998</v>
      </c>
      <c r="BW193" s="175">
        <f t="shared" si="75"/>
        <v>418500</v>
      </c>
      <c r="BX193" s="175">
        <f t="shared" si="76"/>
        <v>178200</v>
      </c>
      <c r="BY193" s="213">
        <f t="shared" si="65"/>
        <v>3062500</v>
      </c>
      <c r="BZ193" s="220">
        <f t="shared" si="77"/>
        <v>32308587.133333333</v>
      </c>
      <c r="CA193" s="213">
        <f t="shared" si="91"/>
        <v>2978920.8</v>
      </c>
      <c r="CB193" s="220">
        <f t="shared" si="79"/>
        <v>36750000</v>
      </c>
      <c r="CC193" s="222">
        <f t="shared" si="80"/>
        <v>28194000</v>
      </c>
      <c r="CD193" s="301">
        <f t="shared" si="64"/>
        <v>43.41278640059128</v>
      </c>
      <c r="CE193" s="262"/>
      <c r="CF193" s="262"/>
      <c r="CH193" s="23" t="s">
        <v>2175</v>
      </c>
      <c r="CK193" s="187"/>
      <c r="CL193" s="188"/>
    </row>
    <row r="194" spans="1:117" ht="17.25" customHeight="1">
      <c r="A194" s="23">
        <f t="shared" si="62"/>
        <v>191</v>
      </c>
      <c r="B194" s="23" t="s">
        <v>439</v>
      </c>
      <c r="C194" s="190">
        <v>2025049</v>
      </c>
      <c r="D194" s="194" t="s">
        <v>1201</v>
      </c>
      <c r="E194" s="227" t="s">
        <v>2488</v>
      </c>
      <c r="F194" s="227" t="s">
        <v>2488</v>
      </c>
      <c r="G194" s="23" t="s">
        <v>1400</v>
      </c>
      <c r="H194" s="227" t="s">
        <v>2489</v>
      </c>
      <c r="I194" s="227" t="s">
        <v>2490</v>
      </c>
      <c r="J194" s="194" t="s">
        <v>178</v>
      </c>
      <c r="K194" s="79" t="s">
        <v>708</v>
      </c>
      <c r="L194" s="227" t="s">
        <v>2351</v>
      </c>
      <c r="M194" s="227"/>
      <c r="N194" s="228" t="s">
        <v>2491</v>
      </c>
      <c r="O194" s="197" t="s">
        <v>2492</v>
      </c>
      <c r="P194" s="239" t="s">
        <v>2493</v>
      </c>
      <c r="Q194" s="214">
        <v>44225</v>
      </c>
      <c r="R194" s="214">
        <v>45959</v>
      </c>
      <c r="S194" s="214"/>
      <c r="T194" s="231" t="s">
        <v>1869</v>
      </c>
      <c r="U194" s="231" t="s">
        <v>1617</v>
      </c>
      <c r="V194" s="201" t="s">
        <v>1210</v>
      </c>
      <c r="W194" s="201" t="s">
        <v>2494</v>
      </c>
      <c r="Z194" s="203">
        <f t="shared" ca="1" si="89"/>
        <v>1936</v>
      </c>
      <c r="AA194" s="203">
        <f t="shared" ca="1" si="90"/>
        <v>202</v>
      </c>
      <c r="AB194" s="232"/>
      <c r="AC194" s="232"/>
      <c r="AD194" s="78" t="s">
        <v>2495</v>
      </c>
      <c r="AE194" s="78" t="s">
        <v>217</v>
      </c>
      <c r="AF194" s="78" t="s">
        <v>320</v>
      </c>
      <c r="AG194" s="78" t="s">
        <v>218</v>
      </c>
      <c r="AH194" s="23" t="s">
        <v>161</v>
      </c>
      <c r="AI194" s="23" t="s">
        <v>2496</v>
      </c>
      <c r="AJ194" s="227" t="s">
        <v>2488</v>
      </c>
      <c r="AK194" s="23">
        <v>13486</v>
      </c>
      <c r="AL194" s="78" t="s">
        <v>2497</v>
      </c>
      <c r="AM194" s="206" t="s">
        <v>2498</v>
      </c>
      <c r="AN194" s="207" t="s">
        <v>2499</v>
      </c>
      <c r="AO194" s="78" t="s">
        <v>1219</v>
      </c>
      <c r="AQ194" s="78" t="s">
        <v>2500</v>
      </c>
      <c r="AR194" s="78" t="s">
        <v>2501</v>
      </c>
      <c r="AS194" s="209" t="s">
        <v>2502</v>
      </c>
      <c r="AT194" s="23" t="s">
        <v>201</v>
      </c>
      <c r="AU194" s="23" t="s">
        <v>435</v>
      </c>
      <c r="AV194" s="210" t="s">
        <v>454</v>
      </c>
      <c r="AW194" s="252">
        <v>5300000</v>
      </c>
      <c r="AX194" s="175">
        <v>5300000</v>
      </c>
      <c r="AY194" s="212">
        <v>12</v>
      </c>
      <c r="AZ194" s="213">
        <f t="shared" si="63"/>
        <v>63600000</v>
      </c>
      <c r="BC194" s="214">
        <v>45959</v>
      </c>
      <c r="BD194" s="235"/>
      <c r="BE194" s="235">
        <v>42000000</v>
      </c>
      <c r="BF194" s="235">
        <f t="shared" si="66"/>
        <v>42000000</v>
      </c>
      <c r="BG194" s="235">
        <f t="shared" si="67"/>
        <v>3500000</v>
      </c>
      <c r="BH194" s="235">
        <v>2959800</v>
      </c>
      <c r="BI194" s="312">
        <f t="shared" si="81"/>
        <v>15118.66</v>
      </c>
      <c r="BJ194" s="216">
        <f>IF(AT194="통상",209,VLOOKUP(AD194,'[2]스케줄 분석_20260109'!$B$3:$F$20,5,FALSE))</f>
        <v>209</v>
      </c>
      <c r="BK194" s="216">
        <f>IF(AT194="통상",15,VLOOKUP(AD194,'[2]스케줄 분석_20260109'!$B$3:$P$20,10,FALSE))</f>
        <v>15</v>
      </c>
      <c r="BL194" s="216">
        <f>IF(AT194="통상",0,VLOOKUP(AD194,'[2]스케줄 분석_20260109'!$B$3:$P$20,11,FALSE))</f>
        <v>0</v>
      </c>
      <c r="BM194" s="215">
        <f t="shared" si="68"/>
        <v>340200</v>
      </c>
      <c r="BN194" s="213">
        <f t="shared" si="69"/>
        <v>0</v>
      </c>
      <c r="BO194" s="213">
        <v>200000</v>
      </c>
      <c r="BP194" s="175">
        <f>IF(OR(AT194="스케줄",AT194="스케줄_파라"),ROUNDUP(VLOOKUP(AD194,'[2]스케줄 분석_20260109'!$B$3:$Y$20,23,FALSE)*(VLOOKUP(AD194,'[2]스케줄 분석_20260109'!$B$3:$Y$20,21,FALSE)/VLOOKUP(AD194,'[2]스케줄 분석_20260109'!$B$3:$Y$20,20,FALSE))*VLOOKUP(AD194,'[2]스케줄 분석_20260109'!$B$3:$Y$20,22,FALSE)*VLOOKUP(AD194,'[2]스케줄 분석_20260109'!$B$3:$Y$20,2,FALSE)*1.5*BI194,0),0)</f>
        <v>0</v>
      </c>
      <c r="BQ194" s="217" t="str">
        <f t="shared" si="70"/>
        <v>적합</v>
      </c>
      <c r="BR194" s="213"/>
      <c r="BS194" s="218">
        <f t="shared" si="71"/>
        <v>604746.4</v>
      </c>
      <c r="BT194" s="219">
        <f t="shared" si="72"/>
        <v>3550395.5333333332</v>
      </c>
      <c r="BU194" s="175">
        <f t="shared" si="73"/>
        <v>1881000</v>
      </c>
      <c r="BV194" s="175">
        <f t="shared" si="74"/>
        <v>1612923.84</v>
      </c>
      <c r="BW194" s="175">
        <f t="shared" si="75"/>
        <v>613800</v>
      </c>
      <c r="BX194" s="175">
        <f t="shared" si="76"/>
        <v>261360</v>
      </c>
      <c r="BY194" s="213">
        <f t="shared" si="65"/>
        <v>4375000</v>
      </c>
      <c r="BZ194" s="220">
        <f t="shared" si="77"/>
        <v>46155141.93333333</v>
      </c>
      <c r="CA194" s="213">
        <f t="shared" si="91"/>
        <v>4369083.84</v>
      </c>
      <c r="CB194" s="220">
        <f t="shared" si="79"/>
        <v>52500000</v>
      </c>
      <c r="CC194" s="222">
        <f t="shared" si="80"/>
        <v>11100000</v>
      </c>
      <c r="CD194" s="301">
        <f t="shared" si="64"/>
        <v>17.452830188679243</v>
      </c>
      <c r="CE194" s="262"/>
      <c r="CF194" s="262"/>
      <c r="CG194" s="23" t="s">
        <v>437</v>
      </c>
      <c r="CH194" s="23" t="s">
        <v>438</v>
      </c>
      <c r="CK194" s="187"/>
      <c r="CL194" s="188"/>
    </row>
    <row r="195" spans="1:117" ht="17.25" customHeight="1">
      <c r="A195" s="23">
        <f t="shared" si="62"/>
        <v>192</v>
      </c>
      <c r="B195" s="23" t="s">
        <v>439</v>
      </c>
      <c r="C195" s="190">
        <v>2025050</v>
      </c>
      <c r="D195" s="335" t="s">
        <v>2503</v>
      </c>
      <c r="E195" s="227" t="s">
        <v>492</v>
      </c>
      <c r="F195" s="227" t="s">
        <v>2504</v>
      </c>
      <c r="G195" s="23" t="s">
        <v>1724</v>
      </c>
      <c r="H195" s="227" t="s">
        <v>740</v>
      </c>
      <c r="I195" s="227" t="s">
        <v>1204</v>
      </c>
      <c r="J195" s="194" t="s">
        <v>178</v>
      </c>
      <c r="K195" s="79" t="s">
        <v>310</v>
      </c>
      <c r="L195" s="227" t="s">
        <v>2262</v>
      </c>
      <c r="M195" s="227"/>
      <c r="N195" s="228" t="s">
        <v>2505</v>
      </c>
      <c r="O195" s="197" t="s">
        <v>2506</v>
      </c>
      <c r="P195" s="229" t="s">
        <v>2507</v>
      </c>
      <c r="Q195" s="214">
        <v>45022</v>
      </c>
      <c r="R195" s="214">
        <v>45966</v>
      </c>
      <c r="S195" s="214"/>
      <c r="T195" s="231" t="s">
        <v>1869</v>
      </c>
      <c r="U195" s="200" t="s">
        <v>1431</v>
      </c>
      <c r="V195" s="201" t="s">
        <v>394</v>
      </c>
      <c r="W195" s="200" t="s">
        <v>1019</v>
      </c>
      <c r="X195" s="200" t="s">
        <v>1211</v>
      </c>
      <c r="Y195" s="324" t="s">
        <v>2508</v>
      </c>
      <c r="Z195" s="203">
        <f t="shared" ca="1" si="89"/>
        <v>1139</v>
      </c>
      <c r="AA195" s="203">
        <f t="shared" ca="1" si="90"/>
        <v>195</v>
      </c>
      <c r="AB195" s="232"/>
      <c r="AC195" s="232"/>
      <c r="AD195" s="78" t="s">
        <v>2509</v>
      </c>
      <c r="AE195" s="78" t="s">
        <v>217</v>
      </c>
      <c r="AF195" s="78" t="s">
        <v>218</v>
      </c>
      <c r="AG195" s="78" t="s">
        <v>218</v>
      </c>
      <c r="AH195" s="23" t="s">
        <v>161</v>
      </c>
      <c r="AI195" s="23" t="s">
        <v>2041</v>
      </c>
      <c r="AJ195" s="23" t="s">
        <v>492</v>
      </c>
      <c r="AK195" s="23" t="s">
        <v>505</v>
      </c>
      <c r="AL195" s="78" t="s">
        <v>2510</v>
      </c>
      <c r="AM195" s="206" t="s">
        <v>2511</v>
      </c>
      <c r="AN195" s="207" t="s">
        <v>2512</v>
      </c>
      <c r="AO195" s="78" t="s">
        <v>197</v>
      </c>
      <c r="AP195" s="78" t="s">
        <v>1422</v>
      </c>
      <c r="AQ195" s="201" t="s">
        <v>921</v>
      </c>
      <c r="AS195" s="209" t="s">
        <v>1423</v>
      </c>
      <c r="AT195" s="23" t="s">
        <v>201</v>
      </c>
      <c r="AU195" s="23" t="s">
        <v>435</v>
      </c>
      <c r="AV195" s="210" t="s">
        <v>454</v>
      </c>
      <c r="AW195" s="251">
        <v>4600000</v>
      </c>
      <c r="AX195" s="175">
        <v>4600000</v>
      </c>
      <c r="AY195" s="212">
        <v>12</v>
      </c>
      <c r="AZ195" s="213">
        <f t="shared" si="63"/>
        <v>55200000</v>
      </c>
      <c r="BA195" s="213"/>
      <c r="BB195" s="213"/>
      <c r="BC195" s="214">
        <v>45966</v>
      </c>
      <c r="BD195" s="22"/>
      <c r="BE195" s="22">
        <v>32004000</v>
      </c>
      <c r="BF195" s="22">
        <f t="shared" si="66"/>
        <v>32004000</v>
      </c>
      <c r="BG195" s="235">
        <f t="shared" si="67"/>
        <v>2667000</v>
      </c>
      <c r="BH195" s="235">
        <v>2207700</v>
      </c>
      <c r="BI195" s="312">
        <f t="shared" si="81"/>
        <v>11520.1</v>
      </c>
      <c r="BJ195" s="216">
        <f>IF(AT195="통상",209,VLOOKUP(AD195,'[2]스케줄 분석_20260109'!$B$3:$F$20,5,FALSE))</f>
        <v>209</v>
      </c>
      <c r="BK195" s="216">
        <f>IF(AT195="통상",15,VLOOKUP(AD195,'[2]스케줄 분석_20260109'!$B$3:$P$20,10,FALSE))</f>
        <v>15</v>
      </c>
      <c r="BL195" s="216">
        <f>IF(AT195="통상",0,VLOOKUP(AD195,'[2]스케줄 분석_20260109'!$B$3:$P$20,11,FALSE))</f>
        <v>0</v>
      </c>
      <c r="BM195" s="215">
        <f t="shared" si="68"/>
        <v>259300</v>
      </c>
      <c r="BN195" s="213">
        <f t="shared" si="69"/>
        <v>0</v>
      </c>
      <c r="BO195" s="213">
        <v>200000</v>
      </c>
      <c r="BP195" s="175">
        <f>IF(OR(AT195="스케줄",AT195="스케줄_파라"),ROUNDUP(VLOOKUP(AD195,'[2]스케줄 분석_20260109'!$B$3:$Y$20,23,FALSE)*(VLOOKUP(AD195,'[2]스케줄 분석_20260109'!$B$3:$Y$20,21,FALSE)/VLOOKUP(AD195,'[2]스케줄 분석_20260109'!$B$3:$Y$20,20,FALSE))*VLOOKUP(AD195,'[2]스케줄 분석_20260109'!$B$3:$Y$20,22,FALSE)*VLOOKUP(AD195,'[2]스케줄 분석_20260109'!$B$3:$Y$20,2,FALSE)*1.5*BI195,0),0)</f>
        <v>0</v>
      </c>
      <c r="BQ195" s="217" t="str">
        <f t="shared" si="70"/>
        <v>적합</v>
      </c>
      <c r="BR195" s="213"/>
      <c r="BS195" s="218">
        <f t="shared" si="71"/>
        <v>460804</v>
      </c>
      <c r="BT195" s="219">
        <f t="shared" si="72"/>
        <v>2705400.3333333335</v>
      </c>
      <c r="BU195" s="175">
        <f t="shared" si="73"/>
        <v>1406190</v>
      </c>
      <c r="BV195" s="175">
        <f t="shared" si="74"/>
        <v>1205782.7616000001</v>
      </c>
      <c r="BW195" s="175">
        <f t="shared" si="75"/>
        <v>458862</v>
      </c>
      <c r="BX195" s="175">
        <f t="shared" si="76"/>
        <v>195386.4</v>
      </c>
      <c r="BY195" s="213">
        <f t="shared" si="65"/>
        <v>3333750</v>
      </c>
      <c r="BZ195" s="220">
        <f t="shared" si="77"/>
        <v>35170204.333333336</v>
      </c>
      <c r="CA195" s="213">
        <f t="shared" si="91"/>
        <v>3266221.1615999998</v>
      </c>
      <c r="CB195" s="220">
        <f t="shared" si="79"/>
        <v>40005000</v>
      </c>
      <c r="CC195" s="222">
        <f t="shared" si="80"/>
        <v>15195000</v>
      </c>
      <c r="CD195" s="301">
        <f t="shared" si="64"/>
        <v>27.52717391304348</v>
      </c>
      <c r="CE195" s="309">
        <v>44660</v>
      </c>
      <c r="CF195" s="309"/>
      <c r="CG195" s="282" t="s">
        <v>339</v>
      </c>
      <c r="CH195" s="23" t="s">
        <v>340</v>
      </c>
      <c r="CK195" s="187"/>
      <c r="CL195" s="188"/>
    </row>
    <row r="196" spans="1:117" ht="17.25" customHeight="1">
      <c r="A196" s="23">
        <f t="shared" si="62"/>
        <v>193</v>
      </c>
      <c r="B196" s="23" t="s">
        <v>439</v>
      </c>
      <c r="C196" s="190">
        <v>2025052</v>
      </c>
      <c r="D196" s="194" t="s">
        <v>1201</v>
      </c>
      <c r="E196" s="227" t="s">
        <v>2488</v>
      </c>
      <c r="F196" s="227" t="s">
        <v>2513</v>
      </c>
      <c r="G196" s="23" t="s">
        <v>412</v>
      </c>
      <c r="H196" s="227" t="s">
        <v>2489</v>
      </c>
      <c r="I196" s="227" t="s">
        <v>2490</v>
      </c>
      <c r="J196" s="194" t="s">
        <v>178</v>
      </c>
      <c r="K196" s="79" t="s">
        <v>708</v>
      </c>
      <c r="L196" s="227" t="s">
        <v>2351</v>
      </c>
      <c r="M196" s="227"/>
      <c r="N196" s="228" t="s">
        <v>2514</v>
      </c>
      <c r="O196" s="197" t="s">
        <v>2515</v>
      </c>
      <c r="P196" s="239" t="s">
        <v>2516</v>
      </c>
      <c r="Q196" s="214">
        <v>44692</v>
      </c>
      <c r="R196" s="214">
        <v>45974</v>
      </c>
      <c r="S196" s="214"/>
      <c r="T196" s="231" t="s">
        <v>2517</v>
      </c>
      <c r="U196" s="231" t="s">
        <v>2518</v>
      </c>
      <c r="V196" s="201" t="s">
        <v>334</v>
      </c>
      <c r="Z196" s="203">
        <f t="shared" ca="1" si="89"/>
        <v>1469</v>
      </c>
      <c r="AA196" s="203">
        <f t="shared" ca="1" si="90"/>
        <v>187</v>
      </c>
      <c r="AB196" s="232"/>
      <c r="AC196" s="232"/>
      <c r="AD196" s="78" t="s">
        <v>2495</v>
      </c>
      <c r="AE196" s="78" t="s">
        <v>217</v>
      </c>
      <c r="AF196" s="78" t="s">
        <v>320</v>
      </c>
      <c r="AG196" s="78" t="s">
        <v>218</v>
      </c>
      <c r="AH196" s="23" t="s">
        <v>161</v>
      </c>
      <c r="AI196" s="23" t="s">
        <v>2496</v>
      </c>
      <c r="AJ196" s="227" t="s">
        <v>2488</v>
      </c>
      <c r="AK196" s="23">
        <v>13486</v>
      </c>
      <c r="AL196" s="78" t="s">
        <v>2497</v>
      </c>
      <c r="AM196" s="206" t="s">
        <v>2519</v>
      </c>
      <c r="AN196" s="207" t="s">
        <v>2520</v>
      </c>
      <c r="AO196" s="78" t="s">
        <v>1219</v>
      </c>
      <c r="AQ196" s="78" t="s">
        <v>2500</v>
      </c>
      <c r="AR196" s="78" t="s">
        <v>2501</v>
      </c>
      <c r="AS196" s="209" t="s">
        <v>2502</v>
      </c>
      <c r="AT196" s="23" t="s">
        <v>201</v>
      </c>
      <c r="AU196" s="23" t="s">
        <v>435</v>
      </c>
      <c r="AV196" s="210" t="s">
        <v>454</v>
      </c>
      <c r="AW196" s="252">
        <v>5300000</v>
      </c>
      <c r="AX196" s="175">
        <v>5300000</v>
      </c>
      <c r="AY196" s="212">
        <v>12</v>
      </c>
      <c r="AZ196" s="213">
        <f t="shared" si="63"/>
        <v>63600000</v>
      </c>
      <c r="BC196" s="214">
        <v>45974</v>
      </c>
      <c r="BD196" s="235"/>
      <c r="BE196" s="235">
        <v>38000400</v>
      </c>
      <c r="BF196" s="235">
        <f t="shared" si="66"/>
        <v>38000400</v>
      </c>
      <c r="BG196" s="235">
        <f t="shared" si="67"/>
        <v>3166700</v>
      </c>
      <c r="BH196" s="235">
        <v>2658900</v>
      </c>
      <c r="BI196" s="312">
        <f t="shared" si="81"/>
        <v>13678.95</v>
      </c>
      <c r="BJ196" s="216">
        <f>IF(AT196="통상",209,VLOOKUP(AD196,'[2]스케줄 분석_20260109'!$B$3:$F$20,5,FALSE))</f>
        <v>209</v>
      </c>
      <c r="BK196" s="216">
        <f>IF(AT196="통상",15,VLOOKUP(AD196,'[2]스케줄 분석_20260109'!$B$3:$P$20,10,FALSE))</f>
        <v>15</v>
      </c>
      <c r="BL196" s="216">
        <f>IF(AT196="통상",0,VLOOKUP(AD196,'[2]스케줄 분석_20260109'!$B$3:$P$20,11,FALSE))</f>
        <v>0</v>
      </c>
      <c r="BM196" s="215">
        <f t="shared" si="68"/>
        <v>307800</v>
      </c>
      <c r="BN196" s="213">
        <f>ROUNDUP(BI196*BL196*0.5,-2)</f>
        <v>0</v>
      </c>
      <c r="BO196" s="213">
        <v>200000</v>
      </c>
      <c r="BP196" s="175">
        <f>IF(OR(AT196="스케줄",AT196="스케줄_파라"),ROUNDUP(VLOOKUP(AD196,'[2]스케줄 분석_20260109'!$B$3:$Y$20,23,FALSE)*(VLOOKUP(AD196,'[2]스케줄 분석_20260109'!$B$3:$Y$20,21,FALSE)/VLOOKUP(AD196,'[2]스케줄 분석_20260109'!$B$3:$Y$20,20,FALSE))*VLOOKUP(AD196,'[2]스케줄 분석_20260109'!$B$3:$Y$20,22,FALSE)*VLOOKUP(AD196,'[2]스케줄 분석_20260109'!$B$3:$Y$20,2,FALSE)*1.5*BI196,0),0)</f>
        <v>0</v>
      </c>
      <c r="BQ196" s="217" t="str">
        <f t="shared" si="70"/>
        <v>적합</v>
      </c>
      <c r="BR196" s="213"/>
      <c r="BS196" s="218">
        <f t="shared" si="71"/>
        <v>547158</v>
      </c>
      <c r="BT196" s="219">
        <f t="shared" si="72"/>
        <v>3212296.5</v>
      </c>
      <c r="BU196" s="175">
        <f t="shared" si="73"/>
        <v>1691019</v>
      </c>
      <c r="BV196" s="175">
        <f t="shared" si="74"/>
        <v>1450018.5321599999</v>
      </c>
      <c r="BW196" s="175">
        <f t="shared" si="75"/>
        <v>551806.19999999995</v>
      </c>
      <c r="BX196" s="175">
        <f t="shared" si="76"/>
        <v>234962.63999999998</v>
      </c>
      <c r="BY196" s="213">
        <f t="shared" si="65"/>
        <v>3958375</v>
      </c>
      <c r="BZ196" s="220">
        <f t="shared" si="77"/>
        <v>41759854.5</v>
      </c>
      <c r="CA196" s="213">
        <f t="shared" si="91"/>
        <v>3927806.3721600003</v>
      </c>
      <c r="CB196" s="220">
        <f t="shared" si="79"/>
        <v>47500500</v>
      </c>
      <c r="CC196" s="222">
        <f t="shared" si="80"/>
        <v>16099500</v>
      </c>
      <c r="CD196" s="301">
        <f t="shared" si="64"/>
        <v>25.313679245283016</v>
      </c>
      <c r="CE196" s="262"/>
      <c r="CF196" s="262"/>
      <c r="CG196" s="23" t="s">
        <v>437</v>
      </c>
      <c r="CH196" s="23" t="s">
        <v>438</v>
      </c>
      <c r="CK196" s="187"/>
      <c r="CL196" s="188"/>
    </row>
    <row r="197" spans="1:117" ht="17.100000000000001" customHeight="1">
      <c r="A197" s="23">
        <f t="shared" ref="A197:A207" si="92">ROW()-3</f>
        <v>194</v>
      </c>
      <c r="B197" s="23" t="s">
        <v>439</v>
      </c>
      <c r="C197" s="190">
        <v>2025053</v>
      </c>
      <c r="D197" s="194" t="s">
        <v>1201</v>
      </c>
      <c r="E197" s="227" t="s">
        <v>2521</v>
      </c>
      <c r="F197" s="227" t="s">
        <v>2522</v>
      </c>
      <c r="G197" s="23" t="s">
        <v>1192</v>
      </c>
      <c r="H197" s="227" t="s">
        <v>2489</v>
      </c>
      <c r="I197" s="227" t="s">
        <v>2490</v>
      </c>
      <c r="J197" s="194" t="s">
        <v>178</v>
      </c>
      <c r="K197" s="79" t="s">
        <v>708</v>
      </c>
      <c r="L197" s="227" t="s">
        <v>2351</v>
      </c>
      <c r="M197" s="227"/>
      <c r="N197" s="228" t="s">
        <v>2523</v>
      </c>
      <c r="O197" s="330" t="s">
        <v>2524</v>
      </c>
      <c r="P197" s="239" t="s">
        <v>2525</v>
      </c>
      <c r="Q197" s="214">
        <v>44007</v>
      </c>
      <c r="R197" s="214">
        <v>45986</v>
      </c>
      <c r="S197" s="214"/>
      <c r="T197" s="231" t="s">
        <v>2526</v>
      </c>
      <c r="U197" s="231" t="s">
        <v>2527</v>
      </c>
      <c r="V197" s="201" t="s">
        <v>334</v>
      </c>
      <c r="Z197" s="203">
        <f t="shared" ca="1" si="89"/>
        <v>2154</v>
      </c>
      <c r="AA197" s="203">
        <f t="shared" ca="1" si="90"/>
        <v>175</v>
      </c>
      <c r="AB197" s="232"/>
      <c r="AC197" s="232"/>
      <c r="AD197" s="78" t="s">
        <v>2495</v>
      </c>
      <c r="AE197" s="78" t="s">
        <v>217</v>
      </c>
      <c r="AF197" s="78" t="s">
        <v>320</v>
      </c>
      <c r="AG197" s="78" t="s">
        <v>218</v>
      </c>
      <c r="AH197" s="23" t="s">
        <v>161</v>
      </c>
      <c r="AI197" s="23" t="s">
        <v>2496</v>
      </c>
      <c r="AJ197" s="227" t="s">
        <v>2488</v>
      </c>
      <c r="AK197" s="23">
        <v>13486</v>
      </c>
      <c r="AL197" s="78" t="s">
        <v>2497</v>
      </c>
      <c r="AM197" s="206" t="s">
        <v>2528</v>
      </c>
      <c r="AN197" s="207" t="s">
        <v>2529</v>
      </c>
      <c r="AO197" s="78" t="s">
        <v>1219</v>
      </c>
      <c r="AQ197" s="78" t="s">
        <v>2500</v>
      </c>
      <c r="AR197" s="78" t="s">
        <v>2501</v>
      </c>
      <c r="AS197" s="209" t="s">
        <v>2502</v>
      </c>
      <c r="AT197" s="23" t="s">
        <v>201</v>
      </c>
      <c r="AU197" s="23" t="s">
        <v>435</v>
      </c>
      <c r="AV197" s="210" t="s">
        <v>454</v>
      </c>
      <c r="AW197" s="252">
        <v>5300000</v>
      </c>
      <c r="AX197" s="175">
        <v>5300000</v>
      </c>
      <c r="AY197" s="212">
        <v>12</v>
      </c>
      <c r="AZ197" s="213">
        <f t="shared" si="63"/>
        <v>63600000</v>
      </c>
      <c r="BC197" s="214">
        <v>45986</v>
      </c>
      <c r="BD197" s="235"/>
      <c r="BE197" s="235">
        <v>40007999.999999993</v>
      </c>
      <c r="BF197" s="235">
        <f t="shared" si="66"/>
        <v>40007999.999999993</v>
      </c>
      <c r="BG197" s="235">
        <f t="shared" si="67"/>
        <v>3333999.9999999995</v>
      </c>
      <c r="BH197" s="235">
        <v>2809899.9999999995</v>
      </c>
      <c r="BI197" s="312">
        <f t="shared" si="81"/>
        <v>14401.44</v>
      </c>
      <c r="BJ197" s="216">
        <f>IF(AT197="통상",209,VLOOKUP(AD197,'[2]스케줄 분석_20260109'!$B$3:$F$20,5,FALSE))</f>
        <v>209</v>
      </c>
      <c r="BK197" s="216">
        <f>IF(AT197="통상",15,VLOOKUP(AD197,'[2]스케줄 분석_20260109'!$B$3:$P$20,10,FALSE))</f>
        <v>15</v>
      </c>
      <c r="BL197" s="216">
        <f>IF(AT197="통상",0,VLOOKUP(AD197,'[2]스케줄 분석_20260109'!$B$3:$P$20,11,FALSE))</f>
        <v>0</v>
      </c>
      <c r="BM197" s="215">
        <f t="shared" si="68"/>
        <v>324100</v>
      </c>
      <c r="BN197" s="213">
        <f>ROUNDUP(BI197*BL197*0.5,-2)</f>
        <v>0</v>
      </c>
      <c r="BO197" s="213">
        <v>200000</v>
      </c>
      <c r="BP197" s="175">
        <f>IF(OR(AT197="스케줄",AT197="스케줄_파라"),ROUNDUP(VLOOKUP(AD197,'[2]스케줄 분석_20260109'!$B$3:$Y$20,23,FALSE)*(VLOOKUP(AD197,'[2]스케줄 분석_20260109'!$B$3:$Y$20,21,FALSE)/VLOOKUP(AD197,'[2]스케줄 분석_20260109'!$B$3:$Y$20,20,FALSE))*VLOOKUP(AD197,'[2]스케줄 분석_20260109'!$B$3:$Y$20,22,FALSE)*VLOOKUP(AD197,'[2]스케줄 분석_20260109'!$B$3:$Y$20,2,FALSE)*1.5*BI197,0),0)</f>
        <v>0</v>
      </c>
      <c r="BQ197" s="217" t="str">
        <f t="shared" si="70"/>
        <v>적합</v>
      </c>
      <c r="BR197" s="213"/>
      <c r="BS197" s="218">
        <f t="shared" si="71"/>
        <v>576057.59999999998</v>
      </c>
      <c r="BT197" s="219">
        <f t="shared" si="72"/>
        <v>3382004.7999999993</v>
      </c>
      <c r="BU197" s="175">
        <f t="shared" si="73"/>
        <v>1786379.9999999998</v>
      </c>
      <c r="BV197" s="175">
        <f t="shared" si="74"/>
        <v>1531788.8831999996</v>
      </c>
      <c r="BW197" s="175">
        <f t="shared" si="75"/>
        <v>582923.99999999988</v>
      </c>
      <c r="BX197" s="175">
        <f t="shared" si="76"/>
        <v>248212.79999999996</v>
      </c>
      <c r="BY197" s="213">
        <f t="shared" si="65"/>
        <v>4167499.9999999995</v>
      </c>
      <c r="BZ197" s="220">
        <f t="shared" si="77"/>
        <v>43966062.399999991</v>
      </c>
      <c r="CA197" s="213">
        <f t="shared" si="91"/>
        <v>4149305.6831999989</v>
      </c>
      <c r="CB197" s="220">
        <f t="shared" si="79"/>
        <v>50009999.999999993</v>
      </c>
      <c r="CC197" s="222">
        <f t="shared" si="80"/>
        <v>13590000.000000007</v>
      </c>
      <c r="CD197" s="301">
        <f t="shared" si="64"/>
        <v>21.367924528301899</v>
      </c>
      <c r="CE197" s="262"/>
      <c r="CF197" s="262"/>
      <c r="CG197" s="23" t="s">
        <v>2530</v>
      </c>
      <c r="CH197" s="23" t="s">
        <v>438</v>
      </c>
      <c r="CK197" s="187"/>
      <c r="CL197" s="188"/>
    </row>
    <row r="198" spans="1:117" ht="17.25" customHeight="1">
      <c r="A198" s="23">
        <f t="shared" si="92"/>
        <v>195</v>
      </c>
      <c r="B198" s="23" t="s">
        <v>439</v>
      </c>
      <c r="C198" s="190">
        <v>2025054</v>
      </c>
      <c r="D198" s="194" t="s">
        <v>474</v>
      </c>
      <c r="E198" s="227" t="s">
        <v>656</v>
      </c>
      <c r="F198" s="227" t="s">
        <v>2531</v>
      </c>
      <c r="G198" s="23" t="s">
        <v>412</v>
      </c>
      <c r="H198" s="227" t="s">
        <v>740</v>
      </c>
      <c r="I198" s="227" t="s">
        <v>741</v>
      </c>
      <c r="J198" s="194" t="s">
        <v>207</v>
      </c>
      <c r="K198" s="79" t="s">
        <v>233</v>
      </c>
      <c r="L198" s="227" t="s">
        <v>2532</v>
      </c>
      <c r="M198" s="227"/>
      <c r="N198" s="228" t="s">
        <v>2533</v>
      </c>
      <c r="O198" s="197" t="s">
        <v>2534</v>
      </c>
      <c r="P198" s="229" t="s">
        <v>2535</v>
      </c>
      <c r="Q198" s="214">
        <v>44228</v>
      </c>
      <c r="R198" s="214">
        <v>45992</v>
      </c>
      <c r="S198" s="214"/>
      <c r="T198" s="231" t="s">
        <v>2536</v>
      </c>
      <c r="U198" s="200" t="s">
        <v>2537</v>
      </c>
      <c r="V198" s="201" t="s">
        <v>334</v>
      </c>
      <c r="W198" s="200" t="s">
        <v>2477</v>
      </c>
      <c r="X198" s="200"/>
      <c r="Y198" s="200"/>
      <c r="Z198" s="203">
        <f t="shared" ca="1" si="89"/>
        <v>1933</v>
      </c>
      <c r="AA198" s="203">
        <f t="shared" ca="1" si="90"/>
        <v>169</v>
      </c>
      <c r="AB198" s="232"/>
      <c r="AC198" s="232"/>
      <c r="AD198" s="78" t="s">
        <v>241</v>
      </c>
      <c r="AE198" s="78" t="s">
        <v>217</v>
      </c>
      <c r="AF198" s="78" t="s">
        <v>160</v>
      </c>
      <c r="AG198" s="78" t="s">
        <v>160</v>
      </c>
      <c r="AH198" s="23" t="s">
        <v>161</v>
      </c>
      <c r="AI198" s="23" t="s">
        <v>162</v>
      </c>
      <c r="AJ198" s="23" t="s">
        <v>483</v>
      </c>
      <c r="AK198" s="23">
        <v>13486</v>
      </c>
      <c r="AL198" s="78" t="s">
        <v>163</v>
      </c>
      <c r="AM198" s="206" t="s">
        <v>2538</v>
      </c>
      <c r="AN198" s="207" t="s">
        <v>2539</v>
      </c>
      <c r="AO198" s="78" t="s">
        <v>166</v>
      </c>
      <c r="AP198" s="78" t="s">
        <v>2540</v>
      </c>
      <c r="AQ198" s="201" t="s">
        <v>769</v>
      </c>
      <c r="AS198" s="209" t="s">
        <v>488</v>
      </c>
      <c r="AT198" s="23" t="s">
        <v>201</v>
      </c>
      <c r="AU198" s="23" t="s">
        <v>435</v>
      </c>
      <c r="AV198" s="210" t="s">
        <v>454</v>
      </c>
      <c r="AW198" s="251">
        <v>4223000</v>
      </c>
      <c r="AX198" s="175">
        <v>4223000</v>
      </c>
      <c r="AY198" s="212">
        <v>12</v>
      </c>
      <c r="AZ198" s="213">
        <f t="shared" si="63"/>
        <v>50676000</v>
      </c>
      <c r="BA198" s="213"/>
      <c r="BB198" s="213"/>
      <c r="BC198" s="214">
        <v>45992</v>
      </c>
      <c r="BD198" s="22"/>
      <c r="BE198" s="22">
        <v>31000800</v>
      </c>
      <c r="BF198" s="22">
        <f>BG198*12</f>
        <v>31000800</v>
      </c>
      <c r="BG198" s="235">
        <f t="shared" si="67"/>
        <v>2583400</v>
      </c>
      <c r="BH198" s="235">
        <v>2132300</v>
      </c>
      <c r="BI198" s="312">
        <f t="shared" si="81"/>
        <v>11159.33</v>
      </c>
      <c r="BJ198" s="216">
        <f>IF(AT198="통상",209,VLOOKUP(AD198,'[2]스케줄 분석_20260109'!$B$3:$F$20,5,FALSE))</f>
        <v>209</v>
      </c>
      <c r="BK198" s="216">
        <f>IF(AT198="통상",15,VLOOKUP(AD198,'[2]스케줄 분석_20260109'!$B$3:$P$20,10,FALSE))</f>
        <v>15</v>
      </c>
      <c r="BL198" s="216">
        <f>IF(AT198="통상",0,VLOOKUP(AD198,'[2]스케줄 분석_20260109'!$B$3:$P$20,11,FALSE))</f>
        <v>0</v>
      </c>
      <c r="BM198" s="215">
        <f t="shared" si="68"/>
        <v>251100</v>
      </c>
      <c r="BN198" s="213">
        <f t="shared" ref="BN198:BN212" si="93">ROUNDUP(BI198*BL198*0.5,-2)</f>
        <v>0</v>
      </c>
      <c r="BO198" s="213">
        <v>200000</v>
      </c>
      <c r="BP198" s="175">
        <f>IF(OR(AT198="스케줄",AT198="스케줄_파라"),ROUNDUP(VLOOKUP(AD198,'[2]스케줄 분석_20260109'!$B$3:$Y$20,23,FALSE)*(VLOOKUP(AD198,'[2]스케줄 분석_20260109'!$B$3:$Y$20,21,FALSE)/VLOOKUP(AD198,'[2]스케줄 분석_20260109'!$B$3:$Y$20,20,FALSE))*VLOOKUP(AD198,'[2]스케줄 분석_20260109'!$B$3:$Y$20,22,FALSE)*VLOOKUP(AD198,'[2]스케줄 분석_20260109'!$B$3:$Y$20,2,FALSE)*1.5*BI198,0),0)</f>
        <v>0</v>
      </c>
      <c r="BQ198" s="217" t="str">
        <f t="shared" si="70"/>
        <v>적합</v>
      </c>
      <c r="BR198" s="213"/>
      <c r="BS198" s="218">
        <f t="shared" si="71"/>
        <v>446373.2</v>
      </c>
      <c r="BT198" s="219">
        <f t="shared" si="72"/>
        <v>2620597.7666666666</v>
      </c>
      <c r="BU198" s="175">
        <f t="shared" si="73"/>
        <v>1358538</v>
      </c>
      <c r="BV198" s="175">
        <f t="shared" si="74"/>
        <v>1164922.0243199999</v>
      </c>
      <c r="BW198" s="175">
        <f t="shared" si="75"/>
        <v>443312.4</v>
      </c>
      <c r="BX198" s="175">
        <f t="shared" si="76"/>
        <v>188765.28</v>
      </c>
      <c r="BY198" s="213">
        <f t="shared" si="65"/>
        <v>3229250</v>
      </c>
      <c r="BZ198" s="220">
        <f t="shared" si="77"/>
        <v>34067770.966666669</v>
      </c>
      <c r="CA198" s="213">
        <f>SUM(BU198:BX198)</f>
        <v>3155537.7043199996</v>
      </c>
      <c r="CB198" s="220">
        <f t="shared" si="79"/>
        <v>38751000</v>
      </c>
      <c r="CC198" s="222">
        <f t="shared" si="80"/>
        <v>11925000</v>
      </c>
      <c r="CD198" s="301">
        <f t="shared" si="64"/>
        <v>23.531849396163864</v>
      </c>
      <c r="CE198" s="309">
        <v>44660</v>
      </c>
      <c r="CF198" s="309"/>
      <c r="CH198" s="23" t="s">
        <v>340</v>
      </c>
      <c r="CK198" s="187"/>
      <c r="CL198" s="188"/>
    </row>
    <row r="199" spans="1:117" ht="17.100000000000001" customHeight="1">
      <c r="A199" s="23">
        <f t="shared" si="92"/>
        <v>196</v>
      </c>
      <c r="B199" s="23" t="s">
        <v>439</v>
      </c>
      <c r="C199" s="190">
        <v>2025055</v>
      </c>
      <c r="D199" s="201" t="s">
        <v>283</v>
      </c>
      <c r="E199" s="23" t="s">
        <v>2280</v>
      </c>
      <c r="F199" s="23" t="s">
        <v>2541</v>
      </c>
      <c r="G199" s="23" t="s">
        <v>1010</v>
      </c>
      <c r="H199" s="23" t="s">
        <v>992</v>
      </c>
      <c r="I199" s="23" t="s">
        <v>741</v>
      </c>
      <c r="J199" s="194" t="s">
        <v>178</v>
      </c>
      <c r="K199" s="78" t="s">
        <v>2282</v>
      </c>
      <c r="L199" s="23" t="s">
        <v>2542</v>
      </c>
      <c r="N199" s="229" t="s">
        <v>2543</v>
      </c>
      <c r="O199" s="237" t="s">
        <v>2544</v>
      </c>
      <c r="P199" s="247" t="s">
        <v>2545</v>
      </c>
      <c r="Q199" s="214">
        <v>38930</v>
      </c>
      <c r="R199" s="214">
        <v>45992</v>
      </c>
      <c r="T199" s="201" t="s">
        <v>2546</v>
      </c>
      <c r="U199" s="201" t="s">
        <v>2547</v>
      </c>
      <c r="V199" s="201" t="s">
        <v>394</v>
      </c>
      <c r="X199" s="328"/>
      <c r="Z199" s="203">
        <f t="shared" ca="1" si="89"/>
        <v>7231</v>
      </c>
      <c r="AA199" s="203">
        <f ca="1">IF(R199&lt;&gt;"",$A$1-R199,"")</f>
        <v>169</v>
      </c>
      <c r="AB199" s="214"/>
      <c r="AD199" s="78" t="s">
        <v>2290</v>
      </c>
      <c r="AE199" s="78" t="s">
        <v>217</v>
      </c>
      <c r="AF199" s="78" t="s">
        <v>263</v>
      </c>
      <c r="AG199" s="78" t="s">
        <v>263</v>
      </c>
      <c r="AH199" s="23" t="s">
        <v>161</v>
      </c>
      <c r="AI199" s="23" t="s">
        <v>295</v>
      </c>
      <c r="AJ199" s="23" t="s">
        <v>296</v>
      </c>
      <c r="AK199" s="23">
        <v>22382</v>
      </c>
      <c r="AL199" s="78" t="s">
        <v>2291</v>
      </c>
      <c r="AM199" s="269" t="s">
        <v>2548</v>
      </c>
      <c r="AN199" s="78" t="s">
        <v>2549</v>
      </c>
      <c r="AO199" s="78" t="s">
        <v>301</v>
      </c>
      <c r="AP199" s="78" t="s">
        <v>2294</v>
      </c>
      <c r="AQ199" s="201" t="s">
        <v>2550</v>
      </c>
      <c r="AS199" s="209" t="s">
        <v>2296</v>
      </c>
      <c r="AT199" s="23" t="s">
        <v>2297</v>
      </c>
      <c r="AU199" s="23" t="s">
        <v>435</v>
      </c>
      <c r="AV199" s="210" t="s">
        <v>454</v>
      </c>
      <c r="AW199" s="318">
        <v>5500000</v>
      </c>
      <c r="AX199" s="148">
        <v>5500000</v>
      </c>
      <c r="AY199" s="23">
        <v>12</v>
      </c>
      <c r="AZ199" s="213">
        <f t="shared" ref="AZ199:AZ212" si="94">AX199*AY199</f>
        <v>66000000</v>
      </c>
      <c r="BC199" s="214">
        <v>45992</v>
      </c>
      <c r="BD199" s="271"/>
      <c r="BE199" s="235">
        <v>38000400</v>
      </c>
      <c r="BF199" s="235">
        <v>38000400</v>
      </c>
      <c r="BG199" s="235">
        <f t="shared" si="67"/>
        <v>3166700.0000000005</v>
      </c>
      <c r="BH199" s="235">
        <v>2658900.0000000005</v>
      </c>
      <c r="BI199" s="312">
        <f t="shared" si="81"/>
        <v>13678.95</v>
      </c>
      <c r="BJ199" s="216">
        <f>IF(AT199="통상",209,VLOOKUP(AD199,'[2]스케줄 분석_20260109'!$B$3:$F$20,5,FALSE))</f>
        <v>209</v>
      </c>
      <c r="BK199" s="216">
        <f>IF(AT199="통상",15,VLOOKUP(AD199,'[2]스케줄 분석_20260109'!$B$3:$P$20,10,FALSE))</f>
        <v>15</v>
      </c>
      <c r="BL199" s="216">
        <f>IF(AT199="통상",0,VLOOKUP(AD199,'[2]스케줄 분석_20260109'!$B$3:$P$20,11,FALSE))</f>
        <v>0</v>
      </c>
      <c r="BM199" s="215">
        <f t="shared" si="68"/>
        <v>307800</v>
      </c>
      <c r="BN199" s="213">
        <f t="shared" si="93"/>
        <v>0</v>
      </c>
      <c r="BO199" s="213">
        <v>200000</v>
      </c>
      <c r="BP199" s="175">
        <f>IF(OR(AT199="스케줄",AT199="스케줄_파라"),ROUNDUP(VLOOKUP(AD199,'[2]스케줄 분석_20260109'!$B$3:$Y$20,23,FALSE)*(VLOOKUP(AD199,'[2]스케줄 분석_20260109'!$B$3:$Y$20,21,FALSE)/VLOOKUP(AD199,'[2]스케줄 분석_20260109'!$B$3:$Y$20,20,FALSE))*VLOOKUP(AD199,'[2]스케줄 분석_20260109'!$B$3:$Y$20,22,FALSE)*VLOOKUP(AD199,'[2]스케줄 분석_20260109'!$B$3:$Y$20,2,FALSE)*1.5*BI199,0),0)</f>
        <v>2123657</v>
      </c>
      <c r="BQ199" s="217" t="str">
        <f t="shared" si="70"/>
        <v>적합</v>
      </c>
      <c r="BR199" s="213"/>
      <c r="BS199" s="218">
        <f t="shared" si="71"/>
        <v>1367895</v>
      </c>
      <c r="BT199" s="219">
        <f t="shared" si="72"/>
        <v>3280691.2500000005</v>
      </c>
      <c r="BU199" s="175">
        <f t="shared" si="73"/>
        <v>1691019</v>
      </c>
      <c r="BV199" s="175">
        <f t="shared" si="74"/>
        <v>1450018.5321599999</v>
      </c>
      <c r="BW199" s="175">
        <f t="shared" si="75"/>
        <v>551806.19999999995</v>
      </c>
      <c r="BX199" s="175">
        <f t="shared" si="76"/>
        <v>234962.63999999998</v>
      </c>
      <c r="BY199" s="213">
        <f t="shared" si="65"/>
        <v>3958375</v>
      </c>
      <c r="BZ199" s="220">
        <f t="shared" si="77"/>
        <v>42648986.25</v>
      </c>
      <c r="CA199" s="213">
        <f>SUM(BU199:BX199)</f>
        <v>3927806.3721600003</v>
      </c>
      <c r="CB199" s="220">
        <f t="shared" si="79"/>
        <v>47500500</v>
      </c>
      <c r="CC199" s="222">
        <f t="shared" si="80"/>
        <v>15929875.030000001</v>
      </c>
      <c r="CD199" s="301">
        <f t="shared" ref="CD199:CD212" si="95">IFERROR((CC199/AZ199)*100,0)</f>
        <v>24.136174287878788</v>
      </c>
      <c r="CG199" s="23" t="s">
        <v>1733</v>
      </c>
      <c r="CH199" s="23" t="s">
        <v>2175</v>
      </c>
      <c r="CK199" s="187"/>
      <c r="CL199" s="188"/>
    </row>
    <row r="200" spans="1:117" ht="17.100000000000001" customHeight="1">
      <c r="A200" s="23">
        <f t="shared" si="92"/>
        <v>197</v>
      </c>
      <c r="B200" s="23" t="s">
        <v>439</v>
      </c>
      <c r="C200" s="286">
        <v>2025058</v>
      </c>
      <c r="D200" s="194" t="s">
        <v>2387</v>
      </c>
      <c r="E200" s="227" t="s">
        <v>2463</v>
      </c>
      <c r="F200" s="227" t="s">
        <v>2551</v>
      </c>
      <c r="G200" s="23" t="s">
        <v>412</v>
      </c>
      <c r="H200" s="227" t="s">
        <v>1167</v>
      </c>
      <c r="I200" s="227" t="s">
        <v>741</v>
      </c>
      <c r="J200" s="194" t="s">
        <v>178</v>
      </c>
      <c r="K200" s="79" t="s">
        <v>1401</v>
      </c>
      <c r="L200" s="227" t="s">
        <v>2552</v>
      </c>
      <c r="M200" s="227"/>
      <c r="N200" s="228" t="s">
        <v>2553</v>
      </c>
      <c r="O200" s="197" t="s">
        <v>2554</v>
      </c>
      <c r="P200" s="229" t="s">
        <v>2555</v>
      </c>
      <c r="Q200" s="214">
        <v>46006</v>
      </c>
      <c r="R200" s="214">
        <v>46006</v>
      </c>
      <c r="S200" s="214"/>
      <c r="T200" s="231" t="s">
        <v>1377</v>
      </c>
      <c r="U200" s="231" t="s">
        <v>2556</v>
      </c>
      <c r="V200" s="201" t="s">
        <v>2252</v>
      </c>
      <c r="X200" s="328"/>
      <c r="Y200" s="326"/>
      <c r="Z200" s="203">
        <f t="shared" ca="1" si="89"/>
        <v>155</v>
      </c>
      <c r="AA200" s="203">
        <f ca="1">$A$1-R200</f>
        <v>155</v>
      </c>
      <c r="AB200" s="232"/>
      <c r="AC200" s="232"/>
      <c r="AD200" s="78" t="s">
        <v>1835</v>
      </c>
      <c r="AE200" s="78" t="s">
        <v>217</v>
      </c>
      <c r="AF200" s="78" t="s">
        <v>191</v>
      </c>
      <c r="AG200" s="78" t="s">
        <v>191</v>
      </c>
      <c r="AH200" s="23" t="s">
        <v>161</v>
      </c>
      <c r="AI200" s="23" t="s">
        <v>365</v>
      </c>
      <c r="AJ200" s="23" t="s">
        <v>990</v>
      </c>
      <c r="AK200" s="23" t="s">
        <v>1000</v>
      </c>
      <c r="AL200" s="78" t="s">
        <v>1001</v>
      </c>
      <c r="AM200" s="206" t="s">
        <v>2557</v>
      </c>
      <c r="AN200" s="207" t="s">
        <v>2558</v>
      </c>
      <c r="AO200" s="78" t="s">
        <v>401</v>
      </c>
      <c r="AP200" s="78" t="s">
        <v>1038</v>
      </c>
      <c r="AQ200" s="201" t="s">
        <v>433</v>
      </c>
      <c r="AS200" s="209" t="s">
        <v>1006</v>
      </c>
      <c r="AT200" s="23" t="s">
        <v>434</v>
      </c>
      <c r="AU200" s="23" t="s">
        <v>435</v>
      </c>
      <c r="AV200" s="210" t="s">
        <v>454</v>
      </c>
      <c r="AW200" s="251">
        <v>4056000</v>
      </c>
      <c r="AX200" s="175">
        <v>4056000</v>
      </c>
      <c r="AY200" s="212">
        <v>12</v>
      </c>
      <c r="AZ200" s="213">
        <f t="shared" si="94"/>
        <v>48672000</v>
      </c>
      <c r="BA200" s="251"/>
      <c r="BB200" s="251"/>
      <c r="BC200" s="214">
        <v>46006</v>
      </c>
      <c r="BD200" s="22"/>
      <c r="BE200" s="22">
        <v>27967200</v>
      </c>
      <c r="BF200" s="22">
        <f>BG200*12</f>
        <v>27967200</v>
      </c>
      <c r="BG200" s="235">
        <f t="shared" si="67"/>
        <v>2330600</v>
      </c>
      <c r="BH200" s="235">
        <v>1698900.0000000002</v>
      </c>
      <c r="BI200" s="312">
        <f t="shared" si="81"/>
        <v>10320.11</v>
      </c>
      <c r="BJ200" s="216">
        <f>IF(AT200="통상",209,VLOOKUP(AD200,'[2]스케줄 분석_20260109'!$B$3:$F$20,5,FALSE))</f>
        <v>184</v>
      </c>
      <c r="BK200" s="216">
        <f>IF(AT200="통상",15,VLOOKUP(AD200,'[2]스케줄 분석_20260109'!$B$3:$P$20,10,FALSE))</f>
        <v>38.020000000000003</v>
      </c>
      <c r="BL200" s="216">
        <f>IF(AT200="통상",0,VLOOKUP(AD200,'[2]스케줄 분석_20260109'!$B$3:$P$20,11,FALSE))</f>
        <v>45.63</v>
      </c>
      <c r="BM200" s="215">
        <f t="shared" si="68"/>
        <v>196200</v>
      </c>
      <c r="BN200" s="213">
        <f t="shared" si="93"/>
        <v>235500</v>
      </c>
      <c r="BO200" s="213">
        <v>200000</v>
      </c>
      <c r="BP200" s="175">
        <f>IF(OR(AT200="스케줄",AT200="스케줄_파라"),ROUNDUP(VLOOKUP(AD200,'[2]스케줄 분석_20260109'!$B$3:$Y$20,23,FALSE)*(VLOOKUP(AD200,'[2]스케줄 분석_20260109'!$B$3:$Y$20,21,FALSE)/VLOOKUP(AD200,'[2]스케줄 분석_20260109'!$B$3:$Y$20,20,FALSE))*VLOOKUP(AD200,'[2]스케줄 분석_20260109'!$B$3:$Y$20,22,FALSE)*VLOOKUP(AD200,'[2]스케줄 분석_20260109'!$B$3:$Y$20,2,FALSE)*1.5*BI200,0),0)</f>
        <v>1869230</v>
      </c>
      <c r="BQ200" s="217" t="str">
        <f t="shared" si="70"/>
        <v>적합</v>
      </c>
      <c r="BR200" s="213"/>
      <c r="BS200" s="218">
        <f t="shared" si="71"/>
        <v>1032011</v>
      </c>
      <c r="BT200" s="219">
        <f t="shared" si="72"/>
        <v>2416600.9166666665</v>
      </c>
      <c r="BU200" s="175">
        <f t="shared" si="73"/>
        <v>1214442</v>
      </c>
      <c r="BV200" s="175">
        <f t="shared" si="74"/>
        <v>1041362.28288</v>
      </c>
      <c r="BW200" s="175">
        <f t="shared" si="75"/>
        <v>396291.6</v>
      </c>
      <c r="BX200" s="175">
        <f t="shared" si="76"/>
        <v>168743.52</v>
      </c>
      <c r="BY200" s="213">
        <f t="shared" si="65"/>
        <v>2913250</v>
      </c>
      <c r="BZ200" s="220">
        <f t="shared" si="77"/>
        <v>31415811.916666668</v>
      </c>
      <c r="CA200" s="213">
        <f>SUM(BU200:BX200)</f>
        <v>2820839.40288</v>
      </c>
      <c r="CB200" s="220">
        <f t="shared" si="79"/>
        <v>34959000</v>
      </c>
      <c r="CC200" s="222">
        <f t="shared" si="80"/>
        <v>11451231.699999999</v>
      </c>
      <c r="CD200" s="301">
        <f t="shared" si="95"/>
        <v>23.527349810979619</v>
      </c>
      <c r="CE200" s="283"/>
      <c r="CF200" s="283"/>
      <c r="CG200" s="23" t="s">
        <v>1679</v>
      </c>
      <c r="CH200" s="23" t="s">
        <v>2175</v>
      </c>
      <c r="CI200" s="111"/>
      <c r="CK200" s="187"/>
      <c r="CL200" s="188"/>
    </row>
    <row r="201" spans="1:117" ht="17.100000000000001" customHeight="1">
      <c r="A201" s="23">
        <f t="shared" si="92"/>
        <v>198</v>
      </c>
      <c r="B201" s="23" t="s">
        <v>439</v>
      </c>
      <c r="C201" s="190">
        <v>2025061</v>
      </c>
      <c r="D201" s="194" t="s">
        <v>2559</v>
      </c>
      <c r="E201" s="227" t="s">
        <v>2488</v>
      </c>
      <c r="F201" s="227" t="s">
        <v>2560</v>
      </c>
      <c r="G201" s="23" t="s">
        <v>412</v>
      </c>
      <c r="H201" s="227" t="s">
        <v>2489</v>
      </c>
      <c r="I201" s="227" t="s">
        <v>2490</v>
      </c>
      <c r="J201" s="194" t="s">
        <v>178</v>
      </c>
      <c r="K201" s="79" t="s">
        <v>708</v>
      </c>
      <c r="L201" s="227" t="s">
        <v>2351</v>
      </c>
      <c r="M201" s="227"/>
      <c r="N201" s="228" t="s">
        <v>2561</v>
      </c>
      <c r="O201" s="197" t="s">
        <v>2562</v>
      </c>
      <c r="P201" s="239" t="s">
        <v>2563</v>
      </c>
      <c r="Q201" s="214">
        <v>44888</v>
      </c>
      <c r="R201" s="214">
        <v>46014</v>
      </c>
      <c r="S201" s="214"/>
      <c r="T201" s="231" t="s">
        <v>2564</v>
      </c>
      <c r="U201" s="231" t="s">
        <v>2015</v>
      </c>
      <c r="V201" s="201" t="s">
        <v>290</v>
      </c>
      <c r="W201" s="201" t="s">
        <v>2143</v>
      </c>
      <c r="Z201" s="203">
        <f t="shared" ca="1" si="89"/>
        <v>1273</v>
      </c>
      <c r="AA201" s="203">
        <f ca="1">$A$1-R201</f>
        <v>147</v>
      </c>
      <c r="AB201" s="232"/>
      <c r="AC201" s="232"/>
      <c r="AD201" s="78" t="s">
        <v>2495</v>
      </c>
      <c r="AE201" s="78" t="s">
        <v>217</v>
      </c>
      <c r="AF201" s="78" t="s">
        <v>320</v>
      </c>
      <c r="AG201" s="78" t="s">
        <v>218</v>
      </c>
      <c r="AH201" s="23" t="s">
        <v>161</v>
      </c>
      <c r="AI201" s="23" t="s">
        <v>2496</v>
      </c>
      <c r="AJ201" s="227" t="s">
        <v>2488</v>
      </c>
      <c r="AK201" s="23">
        <v>13486</v>
      </c>
      <c r="AL201" s="78" t="s">
        <v>2497</v>
      </c>
      <c r="AM201" s="206" t="s">
        <v>2565</v>
      </c>
      <c r="AN201" s="207" t="s">
        <v>2566</v>
      </c>
      <c r="AO201" s="78" t="s">
        <v>1219</v>
      </c>
      <c r="AQ201" s="78" t="s">
        <v>2500</v>
      </c>
      <c r="AR201" s="78" t="s">
        <v>2501</v>
      </c>
      <c r="AS201" s="209" t="s">
        <v>2502</v>
      </c>
      <c r="AT201" s="23" t="s">
        <v>201</v>
      </c>
      <c r="AU201" s="23" t="s">
        <v>435</v>
      </c>
      <c r="AV201" s="210" t="s">
        <v>454</v>
      </c>
      <c r="AW201" s="252">
        <v>5300000</v>
      </c>
      <c r="AX201" s="175">
        <v>5300000</v>
      </c>
      <c r="AY201" s="212">
        <v>12</v>
      </c>
      <c r="AZ201" s="213">
        <f t="shared" si="94"/>
        <v>63600000</v>
      </c>
      <c r="BC201" s="214">
        <v>45974</v>
      </c>
      <c r="BD201" s="235"/>
      <c r="BE201" s="235">
        <v>38000400</v>
      </c>
      <c r="BF201" s="235">
        <f t="shared" ref="BF201" si="96">BG201*12</f>
        <v>38000400</v>
      </c>
      <c r="BG201" s="235">
        <f t="shared" si="67"/>
        <v>3166700</v>
      </c>
      <c r="BH201" s="235">
        <v>2658900</v>
      </c>
      <c r="BI201" s="312">
        <f t="shared" si="81"/>
        <v>13678.95</v>
      </c>
      <c r="BJ201" s="216">
        <f>IF(AT201="통상",209,VLOOKUP(AD201,'[2]스케줄 분석_20260109'!$B$3:$F$20,5,FALSE))</f>
        <v>209</v>
      </c>
      <c r="BK201" s="216">
        <f>IF(AT201="통상",15,VLOOKUP(AD201,'[2]스케줄 분석_20260109'!$B$3:$P$20,10,FALSE))</f>
        <v>15</v>
      </c>
      <c r="BL201" s="216">
        <f>IF(AT201="통상",0,VLOOKUP(AD201,'[2]스케줄 분석_20260109'!$B$3:$P$20,11,FALSE))</f>
        <v>0</v>
      </c>
      <c r="BM201" s="215">
        <f t="shared" si="68"/>
        <v>307800</v>
      </c>
      <c r="BN201" s="213">
        <f t="shared" si="93"/>
        <v>0</v>
      </c>
      <c r="BO201" s="213">
        <v>200000</v>
      </c>
      <c r="BP201" s="175">
        <f>IF(OR(AT201="스케줄",AT201="스케줄_파라"),ROUNDUP(VLOOKUP(AD201,'[2]스케줄 분석_20260109'!$B$3:$Y$20,23,FALSE)*(VLOOKUP(AD201,'[2]스케줄 분석_20260109'!$B$3:$Y$20,21,FALSE)/VLOOKUP(AD201,'[2]스케줄 분석_20260109'!$B$3:$Y$20,20,FALSE))*VLOOKUP(AD201,'[2]스케줄 분석_20260109'!$B$3:$Y$20,22,FALSE)*VLOOKUP(AD201,'[2]스케줄 분석_20260109'!$B$3:$Y$20,2,FALSE)*1.5*BI201,0),0)</f>
        <v>0</v>
      </c>
      <c r="BQ201" s="217" t="str">
        <f t="shared" si="70"/>
        <v>적합</v>
      </c>
      <c r="BR201" s="213"/>
      <c r="BS201" s="218">
        <f t="shared" si="71"/>
        <v>547158</v>
      </c>
      <c r="BT201" s="219">
        <f t="shared" si="72"/>
        <v>3212296.5</v>
      </c>
      <c r="BU201" s="175">
        <f t="shared" si="73"/>
        <v>1691019</v>
      </c>
      <c r="BV201" s="175">
        <f t="shared" si="74"/>
        <v>1450018.5321599999</v>
      </c>
      <c r="BW201" s="175">
        <f t="shared" si="75"/>
        <v>551806.19999999995</v>
      </c>
      <c r="BX201" s="175">
        <f t="shared" si="76"/>
        <v>234962.63999999998</v>
      </c>
      <c r="BY201" s="213">
        <f t="shared" si="65"/>
        <v>3958375</v>
      </c>
      <c r="BZ201" s="220">
        <f t="shared" si="77"/>
        <v>41759854.5</v>
      </c>
      <c r="CA201" s="213">
        <f t="shared" ref="CA201" si="97">SUM(BU201:BX201)</f>
        <v>3927806.3721600003</v>
      </c>
      <c r="CB201" s="220">
        <f t="shared" si="79"/>
        <v>47500500</v>
      </c>
      <c r="CC201" s="222">
        <f t="shared" si="80"/>
        <v>16099500</v>
      </c>
      <c r="CD201" s="301">
        <f t="shared" si="95"/>
        <v>25.313679245283016</v>
      </c>
      <c r="CE201" s="262"/>
      <c r="CF201" s="262"/>
      <c r="CG201" s="23" t="s">
        <v>437</v>
      </c>
      <c r="CH201" s="23" t="s">
        <v>438</v>
      </c>
      <c r="CK201" s="187"/>
      <c r="CL201" s="188"/>
    </row>
    <row r="202" spans="1:117" ht="17.100000000000001" customHeight="1">
      <c r="A202" s="23">
        <f t="shared" si="92"/>
        <v>199</v>
      </c>
      <c r="B202" s="23" t="s">
        <v>439</v>
      </c>
      <c r="C202" s="190">
        <v>2025062</v>
      </c>
      <c r="D202" s="194" t="s">
        <v>1201</v>
      </c>
      <c r="E202" s="227" t="s">
        <v>2567</v>
      </c>
      <c r="F202" s="227" t="s">
        <v>2568</v>
      </c>
      <c r="G202" s="23" t="s">
        <v>412</v>
      </c>
      <c r="H202" s="227" t="s">
        <v>2489</v>
      </c>
      <c r="I202" s="227" t="s">
        <v>2490</v>
      </c>
      <c r="J202" s="194" t="s">
        <v>178</v>
      </c>
      <c r="K202" s="79" t="s">
        <v>708</v>
      </c>
      <c r="L202" s="227" t="s">
        <v>2351</v>
      </c>
      <c r="M202" s="227"/>
      <c r="N202" s="228" t="s">
        <v>2569</v>
      </c>
      <c r="O202" s="197" t="s">
        <v>2570</v>
      </c>
      <c r="P202" s="239" t="s">
        <v>2571</v>
      </c>
      <c r="Q202" s="214">
        <v>44649</v>
      </c>
      <c r="R202" s="214">
        <v>46020</v>
      </c>
      <c r="S202" s="214"/>
      <c r="T202" s="231" t="s">
        <v>2572</v>
      </c>
      <c r="U202" s="231" t="s">
        <v>2573</v>
      </c>
      <c r="V202" s="201" t="s">
        <v>316</v>
      </c>
      <c r="W202" s="201" t="s">
        <v>425</v>
      </c>
      <c r="X202" s="201" t="s">
        <v>1244</v>
      </c>
      <c r="Z202" s="203">
        <f ca="1">IF(Q202&lt;&gt;"",$A$1-Q202,"")</f>
        <v>1512</v>
      </c>
      <c r="AA202" s="203">
        <f ca="1">$A$1-R202</f>
        <v>141</v>
      </c>
      <c r="AB202" s="232"/>
      <c r="AC202" s="232"/>
      <c r="AD202" s="78" t="s">
        <v>1213</v>
      </c>
      <c r="AE202" s="78" t="s">
        <v>217</v>
      </c>
      <c r="AF202" s="78" t="s">
        <v>320</v>
      </c>
      <c r="AG202" s="78" t="s">
        <v>218</v>
      </c>
      <c r="AH202" s="23" t="s">
        <v>161</v>
      </c>
      <c r="AI202" s="23" t="s">
        <v>2496</v>
      </c>
      <c r="AJ202" s="227" t="s">
        <v>2488</v>
      </c>
      <c r="AK202" s="23">
        <v>13595</v>
      </c>
      <c r="AL202" s="78" t="s">
        <v>1216</v>
      </c>
      <c r="AM202" s="206" t="s">
        <v>2574</v>
      </c>
      <c r="AN202" s="207" t="s">
        <v>2575</v>
      </c>
      <c r="AO202" s="78" t="s">
        <v>1219</v>
      </c>
      <c r="AQ202" s="78" t="s">
        <v>2500</v>
      </c>
      <c r="AR202" s="78" t="s">
        <v>2501</v>
      </c>
      <c r="AS202" s="209" t="s">
        <v>2502</v>
      </c>
      <c r="AT202" s="23" t="s">
        <v>201</v>
      </c>
      <c r="AU202" s="23" t="s">
        <v>435</v>
      </c>
      <c r="AV202" s="210" t="s">
        <v>454</v>
      </c>
      <c r="AW202" s="252"/>
      <c r="AX202" s="175">
        <v>5300000</v>
      </c>
      <c r="AY202" s="212">
        <v>12</v>
      </c>
      <c r="AZ202" s="213">
        <f t="shared" si="94"/>
        <v>63600000</v>
      </c>
      <c r="BC202" s="214">
        <v>46020</v>
      </c>
      <c r="BD202" s="235"/>
      <c r="BE202" s="235">
        <v>35000400</v>
      </c>
      <c r="BF202" s="235">
        <f>BG202*12</f>
        <v>35000400</v>
      </c>
      <c r="BG202" s="235">
        <f t="shared" si="67"/>
        <v>2916700</v>
      </c>
      <c r="BH202" s="235">
        <v>2433200</v>
      </c>
      <c r="BI202" s="312">
        <f t="shared" si="81"/>
        <v>12599.04</v>
      </c>
      <c r="BJ202" s="216">
        <f>IF(AT202="통상",209,VLOOKUP(AD202,'[2]스케줄 분석_20260109'!$B$3:$F$20,5,FALSE))</f>
        <v>209</v>
      </c>
      <c r="BK202" s="216">
        <f>IF(AT202="통상",15,VLOOKUP(AD202,'[2]스케줄 분석_20260109'!$B$3:$P$20,10,FALSE))</f>
        <v>15</v>
      </c>
      <c r="BL202" s="216">
        <f>IF(AT202="통상",0,VLOOKUP(AD202,'[2]스케줄 분석_20260109'!$B$3:$P$20,11,FALSE))</f>
        <v>0</v>
      </c>
      <c r="BM202" s="215">
        <f t="shared" si="68"/>
        <v>283500</v>
      </c>
      <c r="BN202" s="213">
        <f t="shared" si="93"/>
        <v>0</v>
      </c>
      <c r="BO202" s="213">
        <v>200000</v>
      </c>
      <c r="BP202" s="175">
        <f>IF(OR(AT202="스케줄",AT202="스케줄_파라"),ROUNDUP(VLOOKUP(AD202,'[2]스케줄 분석_20260109'!$B$3:$Y$20,23,FALSE)*(VLOOKUP(AD202,'[2]스케줄 분석_20260109'!$B$3:$Y$20,21,FALSE)/VLOOKUP(AD202,'[2]스케줄 분석_20260109'!$B$3:$Y$20,20,FALSE))*VLOOKUP(AD202,'[2]스케줄 분석_20260109'!$B$3:$Y$20,22,FALSE)*VLOOKUP(AD202,'[2]스케줄 분석_20260109'!$B$3:$Y$20,2,FALSE)*1.5*BI202,0),0)</f>
        <v>0</v>
      </c>
      <c r="BQ202" s="217" t="str">
        <f t="shared" si="70"/>
        <v>적합</v>
      </c>
      <c r="BR202" s="213"/>
      <c r="BS202" s="218">
        <f t="shared" si="71"/>
        <v>503961.60000000003</v>
      </c>
      <c r="BT202" s="219">
        <f t="shared" si="72"/>
        <v>2958696.8</v>
      </c>
      <c r="BU202" s="175">
        <f t="shared" si="73"/>
        <v>1548519</v>
      </c>
      <c r="BV202" s="175">
        <f t="shared" si="74"/>
        <v>1327827.3321599998</v>
      </c>
      <c r="BW202" s="175">
        <f t="shared" si="75"/>
        <v>505306.2</v>
      </c>
      <c r="BX202" s="175">
        <f t="shared" si="76"/>
        <v>215162.63999999998</v>
      </c>
      <c r="BY202" s="213">
        <f t="shared" si="65"/>
        <v>3645875</v>
      </c>
      <c r="BZ202" s="220">
        <f t="shared" si="77"/>
        <v>38463058.399999999</v>
      </c>
      <c r="CA202" s="213">
        <f>SUM(BU202:BX202)</f>
        <v>3596815.1721600001</v>
      </c>
      <c r="CB202" s="220">
        <f t="shared" si="79"/>
        <v>43750500</v>
      </c>
      <c r="CC202" s="222">
        <f t="shared" si="80"/>
        <v>19849500</v>
      </c>
      <c r="CD202" s="301">
        <f t="shared" si="95"/>
        <v>31.209905660377359</v>
      </c>
      <c r="CE202" s="262"/>
      <c r="CF202" s="262"/>
      <c r="CG202" s="23" t="s">
        <v>437</v>
      </c>
      <c r="CH202" s="23" t="s">
        <v>438</v>
      </c>
      <c r="CK202" s="187"/>
      <c r="CL202" s="188"/>
    </row>
    <row r="203" spans="1:117" ht="17.25" customHeight="1">
      <c r="A203" s="23">
        <f t="shared" si="92"/>
        <v>200</v>
      </c>
      <c r="B203" s="23" t="s">
        <v>439</v>
      </c>
      <c r="C203" s="190">
        <v>2026001</v>
      </c>
      <c r="D203" s="194" t="s">
        <v>1201</v>
      </c>
      <c r="E203" s="227" t="s">
        <v>1202</v>
      </c>
      <c r="F203" s="23" t="s">
        <v>2576</v>
      </c>
      <c r="G203" s="23" t="s">
        <v>1192</v>
      </c>
      <c r="H203" s="227" t="s">
        <v>2489</v>
      </c>
      <c r="I203" s="227" t="s">
        <v>2490</v>
      </c>
      <c r="J203" s="194" t="s">
        <v>178</v>
      </c>
      <c r="K203" s="79" t="s">
        <v>708</v>
      </c>
      <c r="L203" s="287" t="s">
        <v>356</v>
      </c>
      <c r="M203" s="227"/>
      <c r="N203" s="229" t="s">
        <v>2577</v>
      </c>
      <c r="O203" s="197" t="s">
        <v>2578</v>
      </c>
      <c r="P203" s="229" t="s">
        <v>2579</v>
      </c>
      <c r="Q203" s="214">
        <v>44256</v>
      </c>
      <c r="R203" s="214">
        <v>46023</v>
      </c>
      <c r="S203" s="214"/>
      <c r="T203" s="231" t="s">
        <v>2580</v>
      </c>
      <c r="U203" s="201" t="s">
        <v>2581</v>
      </c>
      <c r="V203" s="201" t="s">
        <v>290</v>
      </c>
      <c r="W203" s="201" t="s">
        <v>2114</v>
      </c>
      <c r="X203" s="201" t="s">
        <v>425</v>
      </c>
      <c r="Z203" s="203">
        <f t="shared" ref="Z203" ca="1" si="98">IF(Q203&lt;&gt;"",$A$1-Q203,"")</f>
        <v>1905</v>
      </c>
      <c r="AA203" s="203">
        <f t="shared" ref="AA203:AA212" ca="1" si="99">$A$1-R203</f>
        <v>138</v>
      </c>
      <c r="AB203" s="230"/>
      <c r="AC203" s="230"/>
      <c r="AD203" s="78" t="s">
        <v>1213</v>
      </c>
      <c r="AE203" s="78" t="s">
        <v>217</v>
      </c>
      <c r="AG203" s="78" t="s">
        <v>218</v>
      </c>
      <c r="AH203" s="23" t="s">
        <v>161</v>
      </c>
      <c r="AI203" s="23" t="s">
        <v>2496</v>
      </c>
      <c r="AJ203" s="227" t="s">
        <v>2488</v>
      </c>
      <c r="AK203" s="23">
        <v>13595</v>
      </c>
      <c r="AL203" s="78" t="s">
        <v>1216</v>
      </c>
      <c r="AM203" s="233" t="s">
        <v>2582</v>
      </c>
      <c r="AN203" s="78" t="s">
        <v>2583</v>
      </c>
      <c r="AO203" s="78" t="s">
        <v>1219</v>
      </c>
      <c r="AQ203" s="78" t="s">
        <v>2500</v>
      </c>
      <c r="AR203" s="78" t="s">
        <v>2501</v>
      </c>
      <c r="AS203" s="209" t="s">
        <v>2502</v>
      </c>
      <c r="AT203" s="23" t="s">
        <v>201</v>
      </c>
      <c r="AU203" s="23" t="s">
        <v>435</v>
      </c>
      <c r="AV203" s="210" t="s">
        <v>454</v>
      </c>
      <c r="AW203" s="211"/>
      <c r="AX203" s="175">
        <v>5300000</v>
      </c>
      <c r="AY203" s="212">
        <v>12</v>
      </c>
      <c r="AZ203" s="213">
        <f t="shared" si="94"/>
        <v>63600000</v>
      </c>
      <c r="BB203" s="297"/>
      <c r="BC203" s="230">
        <v>46023</v>
      </c>
      <c r="BD203" s="215"/>
      <c r="BE203" s="215">
        <v>35000399.999999993</v>
      </c>
      <c r="BF203" s="215">
        <f t="shared" ref="BF203:BF212" si="100">BG203*12</f>
        <v>35000399.999999993</v>
      </c>
      <c r="BG203" s="215">
        <f t="shared" si="67"/>
        <v>2916699.9999999995</v>
      </c>
      <c r="BH203" s="215">
        <v>2433199.9999999995</v>
      </c>
      <c r="BI203" s="216">
        <f t="shared" si="81"/>
        <v>12599.04</v>
      </c>
      <c r="BJ203" s="216">
        <f>IF(AT203="통상",209,VLOOKUP(AD203,'[2]스케줄 분석_20260109'!$B$3:$F$20,5,FALSE))</f>
        <v>209</v>
      </c>
      <c r="BK203" s="216">
        <f>IF(AT203="통상",15,VLOOKUP(AD203,'[2]스케줄 분석_20260109'!$B$3:$P$20,10,FALSE))</f>
        <v>15</v>
      </c>
      <c r="BL203" s="216">
        <f>IF(AT203="통상",0,VLOOKUP(AD203,'[2]스케줄 분석_20260109'!$B$3:$P$20,11,FALSE))</f>
        <v>0</v>
      </c>
      <c r="BM203" s="215">
        <f t="shared" si="68"/>
        <v>283500</v>
      </c>
      <c r="BN203" s="175">
        <f t="shared" si="93"/>
        <v>0</v>
      </c>
      <c r="BO203" s="213">
        <v>200000</v>
      </c>
      <c r="BP203" s="175">
        <f>IF(OR(AT203="스케줄",AT203="스케줄_파라"),ROUNDUP(VLOOKUP(AD203,'[2]스케줄 분석_20260109'!$B$3:$Y$20,23,FALSE)*(VLOOKUP(AD203,'[2]스케줄 분석_20260109'!$B$3:$Y$20,21,FALSE)/VLOOKUP(AD203,'[2]스케줄 분석_20260109'!$B$3:$Y$20,20,FALSE))*VLOOKUP(AD203,'[2]스케줄 분석_20260109'!$B$3:$Y$20,22,FALSE)*VLOOKUP(AD203,'[2]스케줄 분석_20260109'!$B$3:$Y$20,2,FALSE)*1.5*BI203,0),0)</f>
        <v>0</v>
      </c>
      <c r="BQ203" s="217" t="str">
        <f t="shared" si="70"/>
        <v>적합</v>
      </c>
      <c r="BR203" s="213"/>
      <c r="BS203" s="218">
        <f t="shared" si="71"/>
        <v>503961.60000000003</v>
      </c>
      <c r="BT203" s="219">
        <f t="shared" si="72"/>
        <v>2958696.7999999993</v>
      </c>
      <c r="BU203" s="175">
        <f t="shared" si="73"/>
        <v>1548518.9999999998</v>
      </c>
      <c r="BV203" s="175">
        <f t="shared" si="74"/>
        <v>1327827.3321599995</v>
      </c>
      <c r="BW203" s="175">
        <f t="shared" si="75"/>
        <v>505306.1999999999</v>
      </c>
      <c r="BX203" s="175">
        <f t="shared" si="76"/>
        <v>215162.63999999996</v>
      </c>
      <c r="BY203" s="213">
        <f t="shared" si="65"/>
        <v>3645874.9999999995</v>
      </c>
      <c r="BZ203" s="220">
        <f t="shared" si="77"/>
        <v>38463058.399999991</v>
      </c>
      <c r="CA203" s="213">
        <f t="shared" ref="CA203" si="101">SUM(BU203:BX203)</f>
        <v>3596815.1721599991</v>
      </c>
      <c r="CB203" s="221">
        <f t="shared" si="79"/>
        <v>43750499.999999993</v>
      </c>
      <c r="CC203" s="222">
        <f t="shared" si="80"/>
        <v>19849500.000000007</v>
      </c>
      <c r="CD203" s="223">
        <f t="shared" si="95"/>
        <v>31.20990566037737</v>
      </c>
      <c r="CE203" s="78"/>
      <c r="CF203" s="78"/>
      <c r="CG203" s="23" t="s">
        <v>437</v>
      </c>
      <c r="CH203" s="23" t="s">
        <v>438</v>
      </c>
      <c r="CK203" s="187"/>
      <c r="CL203" s="188"/>
    </row>
    <row r="204" spans="1:117" s="121" customFormat="1" ht="17.25" customHeight="1">
      <c r="A204" s="23">
        <f t="shared" si="92"/>
        <v>201</v>
      </c>
      <c r="B204" s="23" t="s">
        <v>439</v>
      </c>
      <c r="C204" s="190">
        <v>2026004</v>
      </c>
      <c r="D204" s="194" t="s">
        <v>227</v>
      </c>
      <c r="E204" s="227" t="s">
        <v>2584</v>
      </c>
      <c r="F204" s="227" t="s">
        <v>2585</v>
      </c>
      <c r="G204" s="23" t="s">
        <v>1192</v>
      </c>
      <c r="H204" s="227" t="s">
        <v>231</v>
      </c>
      <c r="I204" s="227" t="s">
        <v>151</v>
      </c>
      <c r="J204" s="194" t="s">
        <v>178</v>
      </c>
      <c r="K204" s="79" t="s">
        <v>233</v>
      </c>
      <c r="L204" s="227" t="s">
        <v>2586</v>
      </c>
      <c r="M204" s="227"/>
      <c r="N204" s="228" t="s">
        <v>2587</v>
      </c>
      <c r="O204" s="237" t="s">
        <v>2588</v>
      </c>
      <c r="P204" s="229" t="s">
        <v>2589</v>
      </c>
      <c r="Q204" s="214">
        <v>44321</v>
      </c>
      <c r="R204" s="214">
        <v>46027</v>
      </c>
      <c r="S204" s="23"/>
      <c r="T204" s="231" t="s">
        <v>2590</v>
      </c>
      <c r="U204" s="231" t="s">
        <v>2591</v>
      </c>
      <c r="V204" s="201" t="s">
        <v>334</v>
      </c>
      <c r="W204" s="231"/>
      <c r="X204" s="201"/>
      <c r="Y204" s="201"/>
      <c r="Z204" s="203">
        <f ca="1">IF(Q204&lt;&gt;"",$A$1-Q204,"")</f>
        <v>1840</v>
      </c>
      <c r="AA204" s="203">
        <f t="shared" ca="1" si="99"/>
        <v>134</v>
      </c>
      <c r="AB204" s="232"/>
      <c r="AC204" s="232"/>
      <c r="AD204" s="78" t="s">
        <v>2592</v>
      </c>
      <c r="AE204" s="78" t="s">
        <v>217</v>
      </c>
      <c r="AF204" s="78" t="s">
        <v>218</v>
      </c>
      <c r="AG204" s="78" t="s">
        <v>218</v>
      </c>
      <c r="AH204" s="23" t="s">
        <v>161</v>
      </c>
      <c r="AI204" s="23" t="s">
        <v>2593</v>
      </c>
      <c r="AJ204" s="23" t="s">
        <v>633</v>
      </c>
      <c r="AK204" s="23">
        <v>13486</v>
      </c>
      <c r="AL204" s="78" t="s">
        <v>163</v>
      </c>
      <c r="AM204" s="269" t="s">
        <v>2594</v>
      </c>
      <c r="AN204" s="207" t="s">
        <v>2595</v>
      </c>
      <c r="AO204" s="78" t="s">
        <v>166</v>
      </c>
      <c r="AP204" s="78" t="s">
        <v>281</v>
      </c>
      <c r="AQ204" s="201" t="s">
        <v>2596</v>
      </c>
      <c r="AR204" s="201"/>
      <c r="AS204" s="209" t="s">
        <v>247</v>
      </c>
      <c r="AT204" s="23" t="s">
        <v>201</v>
      </c>
      <c r="AU204" s="23" t="s">
        <v>435</v>
      </c>
      <c r="AV204" s="210" t="s">
        <v>454</v>
      </c>
      <c r="AW204" s="211"/>
      <c r="AX204" s="175">
        <v>5500000</v>
      </c>
      <c r="AY204" s="212">
        <v>12</v>
      </c>
      <c r="AZ204" s="213">
        <f t="shared" si="94"/>
        <v>66000000</v>
      </c>
      <c r="BA204" s="234"/>
      <c r="BB204" s="234"/>
      <c r="BC204" s="230">
        <v>46027</v>
      </c>
      <c r="BD204" s="235"/>
      <c r="BE204" s="235">
        <v>33000000</v>
      </c>
      <c r="BF204" s="235">
        <f t="shared" si="100"/>
        <v>33000000</v>
      </c>
      <c r="BG204" s="235">
        <f t="shared" si="67"/>
        <v>2750000</v>
      </c>
      <c r="BH204" s="235">
        <v>2282700</v>
      </c>
      <c r="BI204" s="312">
        <f t="shared" si="81"/>
        <v>11878.95</v>
      </c>
      <c r="BJ204" s="216">
        <f>IF(AT204="통상",209,VLOOKUP(AD204,'[2]스케줄 분석_20260109'!$B$3:$F$20,5,FALSE))</f>
        <v>209</v>
      </c>
      <c r="BK204" s="216">
        <f>IF(AT204="통상",15,VLOOKUP(AD204,'[2]스케줄 분석_20260109'!$B$3:$P$20,10,FALSE))</f>
        <v>15</v>
      </c>
      <c r="BL204" s="216">
        <f>IF(AT204="통상",0,VLOOKUP(AD204,'[2]스케줄 분석_20260109'!$B$3:$P$20,11,FALSE))</f>
        <v>0</v>
      </c>
      <c r="BM204" s="215">
        <f t="shared" si="68"/>
        <v>267300</v>
      </c>
      <c r="BN204" s="213">
        <f t="shared" si="93"/>
        <v>0</v>
      </c>
      <c r="BO204" s="213">
        <v>200000</v>
      </c>
      <c r="BP204" s="175">
        <f>IF(OR(AT204="스케줄",AT204="스케줄_파라"),ROUNDUP(VLOOKUP(AD204,'[2]스케줄 분석_20260109'!$B$3:$Y$20,23,FALSE)*(VLOOKUP(AD204,'[2]스케줄 분석_20260109'!$B$3:$Y$20,21,FALSE)/VLOOKUP(AD204,'[2]스케줄 분석_20260109'!$B$3:$Y$20,20,FALSE))*VLOOKUP(AD204,'[2]스케줄 분석_20260109'!$B$3:$Y$20,22,FALSE)*VLOOKUP(AD204,'[2]스케줄 분석_20260109'!$B$3:$Y$20,2,FALSE)*1.5*BI204,0),0)</f>
        <v>0</v>
      </c>
      <c r="BQ204" s="217" t="str">
        <f t="shared" si="70"/>
        <v>적합</v>
      </c>
      <c r="BR204" s="213"/>
      <c r="BS204" s="218">
        <f t="shared" si="71"/>
        <v>475158</v>
      </c>
      <c r="BT204" s="219">
        <f t="shared" si="72"/>
        <v>2789596.5</v>
      </c>
      <c r="BU204" s="175">
        <f t="shared" si="73"/>
        <v>1453500</v>
      </c>
      <c r="BV204" s="175">
        <f t="shared" si="74"/>
        <v>1246350.24</v>
      </c>
      <c r="BW204" s="175">
        <f t="shared" si="75"/>
        <v>474300</v>
      </c>
      <c r="BX204" s="175">
        <f t="shared" si="76"/>
        <v>201960</v>
      </c>
      <c r="BY204" s="213">
        <f t="shared" si="65"/>
        <v>3437500</v>
      </c>
      <c r="BZ204" s="220">
        <f t="shared" si="77"/>
        <v>36264754.5</v>
      </c>
      <c r="CA204" s="213">
        <f>SUM(BU204:BX204)</f>
        <v>3376110.24</v>
      </c>
      <c r="CB204" s="220">
        <f t="shared" si="79"/>
        <v>41250000</v>
      </c>
      <c r="CC204" s="222">
        <f t="shared" si="80"/>
        <v>24750000</v>
      </c>
      <c r="CD204" s="301">
        <f t="shared" si="95"/>
        <v>37.5</v>
      </c>
      <c r="CE204" s="77"/>
      <c r="CF204" s="77"/>
      <c r="CG204" s="23" t="s">
        <v>1733</v>
      </c>
      <c r="CH204" s="23" t="s">
        <v>2175</v>
      </c>
      <c r="CI204" s="78"/>
      <c r="CJ204" s="78"/>
      <c r="CK204" s="187"/>
      <c r="CL204" s="188"/>
      <c r="CM204" s="78"/>
      <c r="CN204" s="78"/>
      <c r="CO204" s="78"/>
      <c r="CP204" s="78"/>
      <c r="CQ204" s="78"/>
      <c r="CR204" s="78"/>
      <c r="CS204" s="78"/>
      <c r="CT204" s="78"/>
      <c r="CU204" s="78"/>
      <c r="CV204" s="78"/>
      <c r="CW204" s="78"/>
      <c r="CX204" s="78"/>
      <c r="CY204" s="78"/>
      <c r="CZ204" s="78"/>
      <c r="DA204" s="78"/>
      <c r="DB204" s="78"/>
      <c r="DC204" s="78"/>
      <c r="DD204" s="78"/>
      <c r="DE204" s="78"/>
      <c r="DF204" s="78"/>
      <c r="DG204" s="78"/>
      <c r="DH204" s="78"/>
      <c r="DI204" s="78"/>
      <c r="DJ204" s="78"/>
      <c r="DK204" s="78"/>
      <c r="DL204" s="78"/>
      <c r="DM204" s="78"/>
    </row>
    <row r="205" spans="1:117" ht="17.25" customHeight="1">
      <c r="A205" s="23">
        <f t="shared" si="92"/>
        <v>202</v>
      </c>
      <c r="B205" s="23" t="s">
        <v>439</v>
      </c>
      <c r="C205" s="286">
        <v>2026003</v>
      </c>
      <c r="D205" s="194" t="s">
        <v>2597</v>
      </c>
      <c r="E205" s="227" t="s">
        <v>706</v>
      </c>
      <c r="F205" s="227" t="s">
        <v>2598</v>
      </c>
      <c r="G205" s="336" t="s">
        <v>1192</v>
      </c>
      <c r="H205" s="227" t="s">
        <v>231</v>
      </c>
      <c r="I205" s="227" t="s">
        <v>206</v>
      </c>
      <c r="J205" s="194" t="s">
        <v>207</v>
      </c>
      <c r="K205" s="201" t="s">
        <v>2599</v>
      </c>
      <c r="L205" s="227" t="s">
        <v>2600</v>
      </c>
      <c r="M205" s="227"/>
      <c r="N205" s="228" t="s">
        <v>2601</v>
      </c>
      <c r="O205" s="197" t="s">
        <v>2602</v>
      </c>
      <c r="P205" s="229" t="s">
        <v>2603</v>
      </c>
      <c r="Q205" s="214">
        <v>44444</v>
      </c>
      <c r="R205" s="214">
        <v>46027</v>
      </c>
      <c r="S205" s="337"/>
      <c r="T205" s="231" t="s">
        <v>2604</v>
      </c>
      <c r="U205" s="201" t="s">
        <v>2605</v>
      </c>
      <c r="V205" s="201" t="s">
        <v>2252</v>
      </c>
      <c r="W205" s="231" t="s">
        <v>1282</v>
      </c>
      <c r="X205" s="201" t="s">
        <v>2606</v>
      </c>
      <c r="Z205" s="203">
        <f ca="1">IF(Q205&lt;&gt;"",$A$1-Q205,"")</f>
        <v>1717</v>
      </c>
      <c r="AA205" s="203">
        <f t="shared" ca="1" si="99"/>
        <v>134</v>
      </c>
      <c r="AB205" s="232"/>
      <c r="AC205" s="232"/>
      <c r="AD205" s="78" t="s">
        <v>1343</v>
      </c>
      <c r="AE205" s="78" t="s">
        <v>217</v>
      </c>
      <c r="AF205" s="78" t="s">
        <v>160</v>
      </c>
      <c r="AG205" s="78" t="s">
        <v>160</v>
      </c>
      <c r="AH205" s="23" t="s">
        <v>161</v>
      </c>
      <c r="AI205" s="23" t="s">
        <v>1560</v>
      </c>
      <c r="AJ205" s="23" t="s">
        <v>483</v>
      </c>
      <c r="AK205" s="23">
        <v>13486</v>
      </c>
      <c r="AL205" s="78" t="s">
        <v>2607</v>
      </c>
      <c r="AM205" s="206" t="s">
        <v>2608</v>
      </c>
      <c r="AN205" s="207" t="s">
        <v>2609</v>
      </c>
      <c r="AO205" s="78" t="s">
        <v>166</v>
      </c>
      <c r="AP205" s="78" t="s">
        <v>486</v>
      </c>
      <c r="AQ205" s="201" t="s">
        <v>717</v>
      </c>
      <c r="AS205" s="209" t="s">
        <v>1658</v>
      </c>
      <c r="AT205" s="23" t="s">
        <v>201</v>
      </c>
      <c r="AU205" s="23" t="s">
        <v>435</v>
      </c>
      <c r="AV205" s="210" t="s">
        <v>454</v>
      </c>
      <c r="AW205" s="211"/>
      <c r="AX205" s="175">
        <v>4738000</v>
      </c>
      <c r="AY205" s="212">
        <v>12</v>
      </c>
      <c r="AZ205" s="213">
        <f t="shared" si="94"/>
        <v>56856000</v>
      </c>
      <c r="BA205" s="213"/>
      <c r="BB205" s="213"/>
      <c r="BC205" s="230">
        <v>46027</v>
      </c>
      <c r="BD205" s="235"/>
      <c r="BE205" s="235">
        <v>34008000</v>
      </c>
      <c r="BF205" s="235">
        <f t="shared" si="100"/>
        <v>34008000</v>
      </c>
      <c r="BG205" s="235">
        <f t="shared" si="67"/>
        <v>2834000</v>
      </c>
      <c r="BH205" s="235">
        <v>2358500</v>
      </c>
      <c r="BI205" s="312">
        <f t="shared" si="81"/>
        <v>12241.63</v>
      </c>
      <c r="BJ205" s="216">
        <f>IF(AT205="통상",209,VLOOKUP(AD205,'[2]스케줄 분석_20260109'!$B$3:$F$20,5,FALSE))</f>
        <v>209</v>
      </c>
      <c r="BK205" s="216">
        <f>IF(AT205="통상",15,VLOOKUP(AD205,'[2]스케줄 분석_20260109'!$B$3:$P$20,10,FALSE))</f>
        <v>15</v>
      </c>
      <c r="BL205" s="216">
        <f>IF(AT205="통상",0,VLOOKUP(AD205,'[2]스케줄 분석_20260109'!$B$3:$P$20,11,FALSE))</f>
        <v>0</v>
      </c>
      <c r="BM205" s="215">
        <f t="shared" si="68"/>
        <v>275500</v>
      </c>
      <c r="BN205" s="213">
        <f t="shared" si="93"/>
        <v>0</v>
      </c>
      <c r="BO205" s="213">
        <v>200000</v>
      </c>
      <c r="BP205" s="175">
        <f>IF(OR(AT205="스케줄",AT205="스케줄_파라"),ROUNDUP(VLOOKUP(AD205,'[2]스케줄 분석_20260109'!$B$3:$Y$20,23,FALSE)*(VLOOKUP(AD205,'[2]스케줄 분석_20260109'!$B$3:$Y$20,21,FALSE)/VLOOKUP(AD205,'[2]스케줄 분석_20260109'!$B$3:$Y$20,20,FALSE))*VLOOKUP(AD205,'[2]스케줄 분석_20260109'!$B$3:$Y$20,22,FALSE)*VLOOKUP(AD205,'[2]스케줄 분석_20260109'!$B$3:$Y$20,2,FALSE)*1.5*BI205,0),0)</f>
        <v>0</v>
      </c>
      <c r="BQ205" s="217" t="str">
        <f t="shared" si="70"/>
        <v>적합</v>
      </c>
      <c r="BR205" s="213"/>
      <c r="BS205" s="218">
        <f t="shared" si="71"/>
        <v>489665.19999999995</v>
      </c>
      <c r="BT205" s="219">
        <f t="shared" si="72"/>
        <v>2874805.4333333331</v>
      </c>
      <c r="BU205" s="175">
        <f t="shared" si="73"/>
        <v>1501380</v>
      </c>
      <c r="BV205" s="175">
        <f t="shared" si="74"/>
        <v>1287406.4831999999</v>
      </c>
      <c r="BW205" s="175">
        <f t="shared" si="75"/>
        <v>489924</v>
      </c>
      <c r="BX205" s="175">
        <f t="shared" si="76"/>
        <v>208612.8</v>
      </c>
      <c r="BY205" s="213">
        <f t="shared" si="65"/>
        <v>3542500</v>
      </c>
      <c r="BZ205" s="220">
        <f t="shared" si="77"/>
        <v>37372470.633333333</v>
      </c>
      <c r="CA205" s="213">
        <f>SUM(BU205:BX205)</f>
        <v>3487323.2831999995</v>
      </c>
      <c r="CB205" s="220">
        <f t="shared" si="79"/>
        <v>42510000</v>
      </c>
      <c r="CC205" s="222">
        <f t="shared" si="80"/>
        <v>14346000</v>
      </c>
      <c r="CD205" s="301">
        <f t="shared" si="95"/>
        <v>25.232165470662725</v>
      </c>
      <c r="CE205" s="78"/>
      <c r="CF205" s="78"/>
      <c r="CG205" s="23" t="s">
        <v>2610</v>
      </c>
      <c r="CH205" s="23" t="s">
        <v>2175</v>
      </c>
      <c r="CJ205" s="111"/>
      <c r="CK205" s="187"/>
      <c r="CL205" s="188"/>
      <c r="CM205" s="111"/>
      <c r="CN205" s="111"/>
      <c r="CO205" s="111"/>
      <c r="CP205" s="111"/>
      <c r="CQ205" s="111"/>
      <c r="CR205" s="111"/>
      <c r="CS205" s="111"/>
      <c r="CT205" s="111"/>
      <c r="CU205" s="111"/>
      <c r="CV205" s="111"/>
      <c r="CW205" s="111"/>
      <c r="CX205" s="111"/>
      <c r="CY205" s="111"/>
      <c r="CZ205" s="111"/>
      <c r="DA205" s="111"/>
      <c r="DB205" s="111"/>
      <c r="DC205" s="111"/>
      <c r="DD205" s="111"/>
      <c r="DE205" s="111"/>
      <c r="DF205" s="111"/>
      <c r="DG205" s="111"/>
      <c r="DH205" s="111"/>
      <c r="DI205" s="111"/>
      <c r="DJ205" s="111"/>
      <c r="DK205" s="111"/>
    </row>
    <row r="206" spans="1:117" ht="17.25" customHeight="1">
      <c r="A206" s="23">
        <f t="shared" si="92"/>
        <v>203</v>
      </c>
      <c r="B206" s="23" t="s">
        <v>439</v>
      </c>
      <c r="C206" s="190">
        <v>2026006</v>
      </c>
      <c r="D206" s="194" t="s">
        <v>561</v>
      </c>
      <c r="E206" s="227" t="s">
        <v>174</v>
      </c>
      <c r="F206" s="23" t="s">
        <v>2611</v>
      </c>
      <c r="G206" s="23" t="s">
        <v>1192</v>
      </c>
      <c r="H206" s="227" t="s">
        <v>1167</v>
      </c>
      <c r="I206" s="227" t="s">
        <v>741</v>
      </c>
      <c r="J206" s="194" t="s">
        <v>178</v>
      </c>
      <c r="K206" s="79" t="s">
        <v>233</v>
      </c>
      <c r="L206" s="287" t="s">
        <v>2612</v>
      </c>
      <c r="M206" s="227"/>
      <c r="N206" s="229" t="s">
        <v>2613</v>
      </c>
      <c r="O206" s="197" t="s">
        <v>2614</v>
      </c>
      <c r="P206" s="229" t="s">
        <v>2615</v>
      </c>
      <c r="Q206" s="214">
        <v>43849</v>
      </c>
      <c r="R206" s="214">
        <v>46042</v>
      </c>
      <c r="S206" s="214"/>
      <c r="T206" s="231" t="s">
        <v>1209</v>
      </c>
      <c r="U206" s="201" t="s">
        <v>1086</v>
      </c>
      <c r="V206" s="201" t="s">
        <v>2252</v>
      </c>
      <c r="W206" s="201" t="s">
        <v>187</v>
      </c>
      <c r="X206" s="201" t="s">
        <v>1019</v>
      </c>
      <c r="Z206" s="203">
        <f t="shared" ref="Z206:Z212" ca="1" si="102">IF(Q206&lt;&gt;"",$A$1-Q206,"")</f>
        <v>2312</v>
      </c>
      <c r="AA206" s="203">
        <f t="shared" ca="1" si="99"/>
        <v>119</v>
      </c>
      <c r="AB206" s="230"/>
      <c r="AC206" s="230"/>
      <c r="AD206" s="78" t="s">
        <v>189</v>
      </c>
      <c r="AE206" s="78" t="s">
        <v>190</v>
      </c>
      <c r="AF206" s="78" t="s">
        <v>191</v>
      </c>
      <c r="AG206" s="78" t="s">
        <v>191</v>
      </c>
      <c r="AH206" s="23" t="s">
        <v>161</v>
      </c>
      <c r="AI206" s="23" t="s">
        <v>192</v>
      </c>
      <c r="AJ206" s="23" t="s">
        <v>569</v>
      </c>
      <c r="AK206" s="296" t="s">
        <v>193</v>
      </c>
      <c r="AL206" s="78" t="s">
        <v>194</v>
      </c>
      <c r="AM206" s="233" t="s">
        <v>2616</v>
      </c>
      <c r="AN206" s="78" t="s">
        <v>2617</v>
      </c>
      <c r="AO206" s="78" t="s">
        <v>197</v>
      </c>
      <c r="AP206" s="78" t="s">
        <v>2618</v>
      </c>
      <c r="AQ206" s="201" t="s">
        <v>2619</v>
      </c>
      <c r="AS206" s="209" t="s">
        <v>200</v>
      </c>
      <c r="AT206" s="23" t="s">
        <v>201</v>
      </c>
      <c r="AU206" s="23" t="s">
        <v>435</v>
      </c>
      <c r="AV206" s="210" t="s">
        <v>454</v>
      </c>
      <c r="AW206" s="211"/>
      <c r="AX206" s="175">
        <v>4300000</v>
      </c>
      <c r="AY206" s="212">
        <v>12</v>
      </c>
      <c r="AZ206" s="213">
        <f t="shared" si="94"/>
        <v>51600000</v>
      </c>
      <c r="BB206" s="297"/>
      <c r="BC206" s="230">
        <v>46023</v>
      </c>
      <c r="BD206" s="215"/>
      <c r="BE206" s="215">
        <v>35000399.999999993</v>
      </c>
      <c r="BF206" s="215">
        <f t="shared" si="100"/>
        <v>34008000</v>
      </c>
      <c r="BG206" s="215">
        <f t="shared" si="67"/>
        <v>2834000</v>
      </c>
      <c r="BH206" s="215">
        <v>2358500</v>
      </c>
      <c r="BI206" s="216">
        <f t="shared" si="81"/>
        <v>12241.63</v>
      </c>
      <c r="BJ206" s="216">
        <f>IF(AT206="통상",209,VLOOKUP(AD206,'[2]스케줄 분석_20260109'!$B$3:$F$20,5,FALSE))</f>
        <v>209</v>
      </c>
      <c r="BK206" s="312">
        <v>15</v>
      </c>
      <c r="BL206" s="312">
        <v>0</v>
      </c>
      <c r="BM206" s="215">
        <f t="shared" si="68"/>
        <v>275500</v>
      </c>
      <c r="BN206" s="175">
        <f t="shared" si="93"/>
        <v>0</v>
      </c>
      <c r="BO206" s="213">
        <v>200000</v>
      </c>
      <c r="BP206" s="213">
        <f>IF(OR(AT206="스케줄",AT206="스케줄_파라"),ROUNDUP(VLOOKUP(AD206,'[2]스케줄 분석_20260109'!$B$3:$Y$20,23,FALSE)*(VLOOKUP(AD206,'[2]스케줄 분석_20260109'!$B$3:$Y$20,21,FALSE)/VLOOKUP(AD206,'[2]스케줄 분석_20260109'!$B$3:$Y$20,20,FALSE))*VLOOKUP(AD206,'[2]스케줄 분석_20260109'!$B$3:$Y$20,22,FALSE)*VLOOKUP(AD206,'[2]스케줄 분석_20260109'!$B$3:$Y$20,2,FALSE)*1.5*BI206,0),0)</f>
        <v>0</v>
      </c>
      <c r="BQ206" s="217" t="str">
        <f t="shared" si="70"/>
        <v>적합</v>
      </c>
      <c r="BR206" s="213"/>
      <c r="BS206" s="218">
        <f t="shared" si="71"/>
        <v>489665.19999999995</v>
      </c>
      <c r="BT206" s="219">
        <f t="shared" si="72"/>
        <v>2874805.4333333331</v>
      </c>
      <c r="BU206" s="175">
        <f t="shared" si="73"/>
        <v>1501380</v>
      </c>
      <c r="BV206" s="175">
        <f t="shared" si="74"/>
        <v>1287406.4831999999</v>
      </c>
      <c r="BW206" s="175">
        <f t="shared" si="75"/>
        <v>489924</v>
      </c>
      <c r="BX206" s="175">
        <f t="shared" si="76"/>
        <v>208612.8</v>
      </c>
      <c r="BY206" s="213">
        <f t="shared" si="65"/>
        <v>3542500</v>
      </c>
      <c r="BZ206" s="220">
        <f t="shared" si="77"/>
        <v>37372470.633333333</v>
      </c>
      <c r="CA206" s="213">
        <f t="shared" ref="CA206:CA217" si="103">SUM(BU206:BX206)</f>
        <v>3487323.2831999995</v>
      </c>
      <c r="CB206" s="221">
        <f t="shared" si="79"/>
        <v>42510000</v>
      </c>
      <c r="CC206" s="222">
        <f t="shared" si="80"/>
        <v>9090000</v>
      </c>
      <c r="CD206" s="223">
        <f t="shared" si="95"/>
        <v>17.616279069767444</v>
      </c>
      <c r="CE206" s="78"/>
      <c r="CF206" s="78"/>
      <c r="CG206" s="23" t="s">
        <v>2620</v>
      </c>
      <c r="CH206" s="23" t="s">
        <v>438</v>
      </c>
      <c r="CK206" s="187"/>
      <c r="CL206" s="188"/>
    </row>
    <row r="207" spans="1:117" ht="17.100000000000001" customHeight="1">
      <c r="A207" s="23">
        <f t="shared" si="92"/>
        <v>204</v>
      </c>
      <c r="B207" s="23" t="s">
        <v>439</v>
      </c>
      <c r="C207" s="190">
        <v>2026007</v>
      </c>
      <c r="D207" s="194" t="s">
        <v>2559</v>
      </c>
      <c r="E207" s="227" t="s">
        <v>2488</v>
      </c>
      <c r="F207" s="227" t="s">
        <v>2621</v>
      </c>
      <c r="G207" s="23" t="s">
        <v>1192</v>
      </c>
      <c r="H207" s="227" t="s">
        <v>2489</v>
      </c>
      <c r="I207" s="227" t="s">
        <v>2490</v>
      </c>
      <c r="J207" s="194" t="s">
        <v>178</v>
      </c>
      <c r="K207" s="79" t="s">
        <v>708</v>
      </c>
      <c r="L207" s="227" t="s">
        <v>356</v>
      </c>
      <c r="M207" s="227"/>
      <c r="N207" s="228" t="s">
        <v>2622</v>
      </c>
      <c r="O207" s="197" t="s">
        <v>2623</v>
      </c>
      <c r="P207" s="239" t="s">
        <v>2624</v>
      </c>
      <c r="Q207" s="214">
        <v>43911</v>
      </c>
      <c r="R207" s="214">
        <v>46043</v>
      </c>
      <c r="S207" s="214"/>
      <c r="T207" s="231" t="s">
        <v>2625</v>
      </c>
      <c r="U207" s="231" t="s">
        <v>2626</v>
      </c>
      <c r="V207" s="201" t="s">
        <v>290</v>
      </c>
      <c r="W207" s="201" t="s">
        <v>1244</v>
      </c>
      <c r="X207" s="201" t="s">
        <v>425</v>
      </c>
      <c r="Y207" s="201" t="s">
        <v>2627</v>
      </c>
      <c r="Z207" s="203">
        <f t="shared" ca="1" si="102"/>
        <v>2250</v>
      </c>
      <c r="AA207" s="203">
        <f t="shared" ca="1" si="99"/>
        <v>118</v>
      </c>
      <c r="AB207" s="232"/>
      <c r="AC207" s="232"/>
      <c r="AD207" s="78" t="s">
        <v>2495</v>
      </c>
      <c r="AE207" s="78" t="s">
        <v>217</v>
      </c>
      <c r="AG207" s="78" t="s">
        <v>218</v>
      </c>
      <c r="AH207" s="23" t="s">
        <v>161</v>
      </c>
      <c r="AI207" s="23" t="s">
        <v>2496</v>
      </c>
      <c r="AJ207" s="227" t="s">
        <v>2488</v>
      </c>
      <c r="AK207" s="23">
        <v>13486</v>
      </c>
      <c r="AL207" s="78" t="s">
        <v>2497</v>
      </c>
      <c r="AM207" s="206" t="s">
        <v>2628</v>
      </c>
      <c r="AN207" s="207" t="s">
        <v>2629</v>
      </c>
      <c r="AO207" s="78" t="s">
        <v>1219</v>
      </c>
      <c r="AQ207" s="78" t="s">
        <v>2500</v>
      </c>
      <c r="AR207" s="78" t="s">
        <v>2501</v>
      </c>
      <c r="AS207" s="209" t="s">
        <v>2502</v>
      </c>
      <c r="AT207" s="23" t="s">
        <v>201</v>
      </c>
      <c r="AU207" s="23" t="s">
        <v>435</v>
      </c>
      <c r="AV207" s="210" t="s">
        <v>454</v>
      </c>
      <c r="AW207" s="252"/>
      <c r="AX207" s="175">
        <v>5300000</v>
      </c>
      <c r="AY207" s="212">
        <v>12</v>
      </c>
      <c r="AZ207" s="213">
        <f t="shared" si="94"/>
        <v>63600000</v>
      </c>
      <c r="BC207" s="214"/>
      <c r="BD207" s="235"/>
      <c r="BE207" s="235">
        <v>38000400</v>
      </c>
      <c r="BF207" s="235">
        <f t="shared" si="100"/>
        <v>43000800</v>
      </c>
      <c r="BG207" s="235">
        <f t="shared" si="67"/>
        <v>3583400</v>
      </c>
      <c r="BH207" s="235">
        <v>3035100</v>
      </c>
      <c r="BI207" s="312">
        <f t="shared" si="81"/>
        <v>15478.95</v>
      </c>
      <c r="BJ207" s="216">
        <f>IF(AT207="통상",209,VLOOKUP(AD207,'[2]스케줄 분석_20260109'!$B$3:$F$20,5,FALSE))</f>
        <v>209</v>
      </c>
      <c r="BK207" s="312">
        <v>15</v>
      </c>
      <c r="BL207" s="312">
        <v>0</v>
      </c>
      <c r="BM207" s="215">
        <f t="shared" si="68"/>
        <v>348300</v>
      </c>
      <c r="BN207" s="213">
        <f t="shared" si="93"/>
        <v>0</v>
      </c>
      <c r="BO207" s="213">
        <v>200000</v>
      </c>
      <c r="BP207" s="213">
        <f>IF(OR(AT207="스케줄",AT207="스케줄_파라"),ROUNDUP(VLOOKUP(AD207,'[2]스케줄 분석_20260109'!$B$3:$Y$20,23,FALSE)*(VLOOKUP(AD207,'[2]스케줄 분석_20260109'!$B$3:$Y$20,21,FALSE)/VLOOKUP(AD207,'[2]스케줄 분석_20260109'!$B$3:$Y$20,20,FALSE))*VLOOKUP(AD207,'[2]스케줄 분석_20260109'!$B$3:$Y$20,22,FALSE)*VLOOKUP(AD207,'[2]스케줄 분석_20260109'!$B$3:$Y$20,2,FALSE)*1.5*BI207,0),0)</f>
        <v>0</v>
      </c>
      <c r="BQ207" s="217" t="str">
        <f t="shared" si="70"/>
        <v>적합</v>
      </c>
      <c r="BR207" s="213"/>
      <c r="BS207" s="218">
        <f t="shared" si="71"/>
        <v>619158</v>
      </c>
      <c r="BT207" s="219">
        <f t="shared" si="72"/>
        <v>3634996.5</v>
      </c>
      <c r="BU207" s="175">
        <f t="shared" si="73"/>
        <v>1928538</v>
      </c>
      <c r="BV207" s="175">
        <f t="shared" si="74"/>
        <v>1653686.8243199997</v>
      </c>
      <c r="BW207" s="175">
        <f t="shared" si="75"/>
        <v>629312.4</v>
      </c>
      <c r="BX207" s="175">
        <f t="shared" si="76"/>
        <v>267965.27999999997</v>
      </c>
      <c r="BY207" s="213">
        <f t="shared" ref="BY207:BY212" si="104">CB207/AY207</f>
        <v>4479250</v>
      </c>
      <c r="BZ207" s="220">
        <f t="shared" si="77"/>
        <v>47254954.5</v>
      </c>
      <c r="CA207" s="213">
        <f t="shared" si="103"/>
        <v>4479502.5043200003</v>
      </c>
      <c r="CB207" s="220">
        <f t="shared" si="79"/>
        <v>53751000</v>
      </c>
      <c r="CC207" s="222">
        <f t="shared" si="80"/>
        <v>9849000</v>
      </c>
      <c r="CD207" s="301">
        <f t="shared" si="95"/>
        <v>15.485849056603772</v>
      </c>
      <c r="CE207" s="262"/>
      <c r="CF207" s="262"/>
      <c r="CG207" s="23" t="s">
        <v>339</v>
      </c>
      <c r="CH207" s="23" t="s">
        <v>438</v>
      </c>
      <c r="CK207" s="187"/>
      <c r="CL207" s="188"/>
    </row>
    <row r="208" spans="1:117" ht="17.25" customHeight="1">
      <c r="A208" s="23">
        <f>ROW()-3</f>
        <v>205</v>
      </c>
      <c r="B208" s="23" t="s">
        <v>439</v>
      </c>
      <c r="C208" s="286">
        <v>2026008</v>
      </c>
      <c r="D208" s="194" t="s">
        <v>989</v>
      </c>
      <c r="E208" s="227" t="s">
        <v>990</v>
      </c>
      <c r="F208" s="227" t="s">
        <v>2630</v>
      </c>
      <c r="G208" s="23" t="s">
        <v>412</v>
      </c>
      <c r="H208" s="227" t="s">
        <v>1167</v>
      </c>
      <c r="I208" s="227" t="s">
        <v>741</v>
      </c>
      <c r="J208" s="194" t="s">
        <v>178</v>
      </c>
      <c r="K208" s="79" t="s">
        <v>1401</v>
      </c>
      <c r="L208" s="227" t="s">
        <v>2631</v>
      </c>
      <c r="M208" s="227"/>
      <c r="N208" s="228" t="s">
        <v>2632</v>
      </c>
      <c r="O208" s="197" t="s">
        <v>2633</v>
      </c>
      <c r="P208" s="229" t="s">
        <v>2634</v>
      </c>
      <c r="Q208" s="214">
        <v>46062</v>
      </c>
      <c r="R208" s="214">
        <v>46062</v>
      </c>
      <c r="S208" s="214"/>
      <c r="T208" s="231" t="s">
        <v>1982</v>
      </c>
      <c r="U208" s="231" t="s">
        <v>2635</v>
      </c>
      <c r="V208" s="201" t="s">
        <v>290</v>
      </c>
      <c r="Z208" s="203">
        <f t="shared" ca="1" si="102"/>
        <v>99</v>
      </c>
      <c r="AA208" s="203">
        <f t="shared" ca="1" si="99"/>
        <v>99</v>
      </c>
      <c r="AB208" s="232"/>
      <c r="AC208" s="232"/>
      <c r="AD208" s="78" t="s">
        <v>1835</v>
      </c>
      <c r="AE208" s="78" t="s">
        <v>217</v>
      </c>
      <c r="AG208" s="78" t="s">
        <v>191</v>
      </c>
      <c r="AH208" s="23" t="s">
        <v>161</v>
      </c>
      <c r="AI208" s="23" t="s">
        <v>365</v>
      </c>
      <c r="AJ208" s="23" t="s">
        <v>990</v>
      </c>
      <c r="AK208" s="23" t="s">
        <v>1000</v>
      </c>
      <c r="AL208" s="78" t="s">
        <v>2133</v>
      </c>
      <c r="AM208" s="206" t="s">
        <v>2636</v>
      </c>
      <c r="AN208" s="207" t="s">
        <v>2637</v>
      </c>
      <c r="AO208" s="78" t="s">
        <v>401</v>
      </c>
      <c r="AP208" s="78" t="s">
        <v>1038</v>
      </c>
      <c r="AQ208" s="201" t="s">
        <v>433</v>
      </c>
      <c r="AS208" s="209" t="s">
        <v>1006</v>
      </c>
      <c r="AT208" s="23" t="s">
        <v>434</v>
      </c>
      <c r="AU208" s="23" t="s">
        <v>435</v>
      </c>
      <c r="AV208" s="210" t="s">
        <v>454</v>
      </c>
      <c r="AW208" s="306"/>
      <c r="AX208" s="148">
        <v>4179000</v>
      </c>
      <c r="AY208" s="212">
        <v>12</v>
      </c>
      <c r="AZ208" s="213">
        <f t="shared" si="94"/>
        <v>50148000</v>
      </c>
      <c r="BA208" s="251"/>
      <c r="BB208" s="251"/>
      <c r="BC208" s="214"/>
      <c r="BD208" s="22"/>
      <c r="BE208" s="338"/>
      <c r="BF208" s="215">
        <f t="shared" si="100"/>
        <v>27967200</v>
      </c>
      <c r="BG208" s="215">
        <f t="shared" ref="BG208:BG212" si="105">BH208+BM208+BN208+BO208</f>
        <v>2330600</v>
      </c>
      <c r="BH208" s="215">
        <v>1698900.0000000002</v>
      </c>
      <c r="BI208" s="216">
        <f t="shared" si="81"/>
        <v>10320.11</v>
      </c>
      <c r="BJ208" s="216">
        <f>IF(AT208="통상",209,VLOOKUP(AD208,'[2]스케줄 분석_20260109'!$B$3:$F$20,5,FALSE))</f>
        <v>184</v>
      </c>
      <c r="BK208" s="312">
        <v>38.020000000000003</v>
      </c>
      <c r="BL208" s="312">
        <v>45.63</v>
      </c>
      <c r="BM208" s="215">
        <f t="shared" ref="BM208:BM212" si="106">IF(OR(AT208="통상",AT208="스케줄_파라"),ROUNDUP(BI208*BK208*1.5,-2),IF(OR(AT208="스케줄",AT208="휴직_스케줄"),ROUNDUP(BI208*BK208*0.5,-2),"확인바람"))</f>
        <v>196200</v>
      </c>
      <c r="BN208" s="175">
        <f t="shared" si="93"/>
        <v>235500</v>
      </c>
      <c r="BO208" s="213">
        <v>200000</v>
      </c>
      <c r="BP208" s="213">
        <f>IF(OR(AT208="스케줄",AT208="스케줄_파라"),ROUNDUP(VLOOKUP(AD208,'[2]스케줄 분석_20260109'!$B$3:$Y$20,23,FALSE)*(VLOOKUP(AD208,'[2]스케줄 분석_20260109'!$B$3:$Y$20,21,FALSE)/VLOOKUP(AD208,'[2]스케줄 분석_20260109'!$B$3:$Y$20,20,FALSE))*VLOOKUP(AD208,'[2]스케줄 분석_20260109'!$B$3:$Y$20,22,FALSE)*VLOOKUP(AD208,'[2]스케줄 분석_20260109'!$B$3:$Y$20,2,FALSE)*1.5*BI208,0),0)</f>
        <v>1869230</v>
      </c>
      <c r="BQ208" s="217" t="str">
        <f t="shared" ref="BQ208:BQ212" si="107">IF(BI208&gt;=$D$1,"적합","미달")</f>
        <v>적합</v>
      </c>
      <c r="BR208" s="213"/>
      <c r="BS208" s="218">
        <f>IF(AT208="통상",BI208*8*5,IF(OR(AT208="스케줄",AT208="스케줄_파라"),BI208*100,"확인"))</f>
        <v>1032011</v>
      </c>
      <c r="BT208" s="219">
        <f t="shared" ref="BT208:BT212" si="108">BG208+BS208/12</f>
        <v>2416600.9166666665</v>
      </c>
      <c r="BU208" s="175">
        <f>(BF208-BO208*12)*0.0475</f>
        <v>1214442</v>
      </c>
      <c r="BV208" s="175">
        <f>(BF208-BO208*12)*0.036+(BF208-BO208*12)*0.036*0.1314</f>
        <v>1041362.28288</v>
      </c>
      <c r="BW208" s="175">
        <f>(BF208-BO208*12)*(0.009+0.0065)</f>
        <v>396291.6</v>
      </c>
      <c r="BX208" s="175">
        <f>(BF208-BO208*12)*0.0066</f>
        <v>168743.52</v>
      </c>
      <c r="BY208" s="213">
        <f t="shared" si="104"/>
        <v>2913250</v>
      </c>
      <c r="BZ208" s="220">
        <f t="shared" ref="BZ208:BZ212" si="109">SUM(BF208,BS208:BT208)</f>
        <v>31415811.916666668</v>
      </c>
      <c r="CA208" s="213">
        <f t="shared" si="103"/>
        <v>2820839.40288</v>
      </c>
      <c r="CB208" s="221">
        <f t="shared" ref="CB208:CB212" si="110">BF208*1.25</f>
        <v>34959000</v>
      </c>
      <c r="CC208" s="222">
        <f t="shared" ref="CC208:CC212" si="111">AZ208-CB208-BP208*1.21</f>
        <v>12927231.699999999</v>
      </c>
      <c r="CD208" s="223">
        <f t="shared" si="95"/>
        <v>25.778160046263061</v>
      </c>
      <c r="CE208" s="283"/>
      <c r="CF208" s="283"/>
      <c r="CG208" s="23" t="s">
        <v>339</v>
      </c>
      <c r="CH208" s="23" t="s">
        <v>340</v>
      </c>
      <c r="CI208" s="111"/>
      <c r="CK208" s="187"/>
      <c r="CL208" s="188"/>
    </row>
    <row r="209" spans="1:90" ht="17.100000000000001" customHeight="1">
      <c r="A209" s="23">
        <f>ROW()-3</f>
        <v>206</v>
      </c>
      <c r="B209" s="23" t="s">
        <v>439</v>
      </c>
      <c r="C209" s="190">
        <v>2026009</v>
      </c>
      <c r="D209" s="194" t="s">
        <v>2638</v>
      </c>
      <c r="E209" s="227" t="s">
        <v>2639</v>
      </c>
      <c r="F209" s="227" t="s">
        <v>2639</v>
      </c>
      <c r="G209" s="23" t="s">
        <v>412</v>
      </c>
      <c r="H209" s="227" t="s">
        <v>1167</v>
      </c>
      <c r="I209" s="227" t="s">
        <v>1204</v>
      </c>
      <c r="J209" s="194" t="s">
        <v>178</v>
      </c>
      <c r="K209" s="79" t="s">
        <v>627</v>
      </c>
      <c r="L209" s="227" t="s">
        <v>311</v>
      </c>
      <c r="M209" s="227"/>
      <c r="N209" s="228" t="s">
        <v>2640</v>
      </c>
      <c r="O209" s="197" t="s">
        <v>2641</v>
      </c>
      <c r="P209" s="239" t="s">
        <v>2642</v>
      </c>
      <c r="Q209" s="214">
        <v>46062</v>
      </c>
      <c r="R209" s="214">
        <v>46062</v>
      </c>
      <c r="S209" s="214"/>
      <c r="T209" s="231" t="s">
        <v>2643</v>
      </c>
      <c r="U209" s="231" t="s">
        <v>2644</v>
      </c>
      <c r="V209" s="201" t="s">
        <v>334</v>
      </c>
      <c r="W209" s="201" t="s">
        <v>2477</v>
      </c>
      <c r="Z209" s="203">
        <f t="shared" ca="1" si="102"/>
        <v>99</v>
      </c>
      <c r="AA209" s="203">
        <f t="shared" ca="1" si="99"/>
        <v>99</v>
      </c>
      <c r="AB209" s="232"/>
      <c r="AC209" s="232"/>
      <c r="AD209" s="78" t="s">
        <v>2645</v>
      </c>
      <c r="AE209" s="78" t="s">
        <v>190</v>
      </c>
      <c r="AG209" s="78" t="s">
        <v>320</v>
      </c>
      <c r="AH209" s="23" t="s">
        <v>161</v>
      </c>
      <c r="AI209" s="23" t="s">
        <v>2646</v>
      </c>
      <c r="AJ209" s="23" t="s">
        <v>296</v>
      </c>
      <c r="AK209" s="233" t="s">
        <v>2647</v>
      </c>
      <c r="AL209" s="78" t="s">
        <v>2648</v>
      </c>
      <c r="AM209" s="206" t="s">
        <v>2649</v>
      </c>
      <c r="AN209" s="207" t="s">
        <v>2650</v>
      </c>
      <c r="AO209" s="78" t="s">
        <v>2651</v>
      </c>
      <c r="AQ209" s="201" t="s">
        <v>921</v>
      </c>
      <c r="AR209" s="78" t="s">
        <v>2652</v>
      </c>
      <c r="AS209" s="209"/>
      <c r="AT209" s="23" t="s">
        <v>201</v>
      </c>
      <c r="AU209" s="23" t="s">
        <v>435</v>
      </c>
      <c r="AV209" s="210" t="s">
        <v>454</v>
      </c>
      <c r="AW209" s="252"/>
      <c r="AX209" s="213">
        <v>5000000</v>
      </c>
      <c r="AY209" s="212">
        <v>12</v>
      </c>
      <c r="AZ209" s="213">
        <f t="shared" si="94"/>
        <v>60000000</v>
      </c>
      <c r="BC209" s="214"/>
      <c r="BD209" s="235"/>
      <c r="BE209" s="332"/>
      <c r="BF209" s="235">
        <f t="shared" si="100"/>
        <v>30000000</v>
      </c>
      <c r="BG209" s="235">
        <f t="shared" si="105"/>
        <v>2500000</v>
      </c>
      <c r="BH209" s="235">
        <v>2057000.0000000002</v>
      </c>
      <c r="BI209" s="312">
        <f t="shared" ref="BI209:BI212" si="112">ROUND((BH209+BO209)/BJ209,2)</f>
        <v>10799.04</v>
      </c>
      <c r="BJ209" s="312">
        <f>IF(AT209="통상",209,VLOOKUP(AD209,'[2]스케줄 분석_20260109'!$B$3:$F$20,5,FALSE))</f>
        <v>209</v>
      </c>
      <c r="BK209" s="312">
        <v>15</v>
      </c>
      <c r="BL209" s="312">
        <v>0</v>
      </c>
      <c r="BM209" s="235">
        <f t="shared" si="106"/>
        <v>243000</v>
      </c>
      <c r="BN209" s="213">
        <f t="shared" si="93"/>
        <v>0</v>
      </c>
      <c r="BO209" s="213">
        <v>200000</v>
      </c>
      <c r="BP209" s="213">
        <f>IF(OR(AT209="스케줄",AT209="스케줄_파라"),ROUNDUP(VLOOKUP(AD209,'[2]스케줄 분석_20260109'!$B$3:$Y$20,23,FALSE)*(VLOOKUP(AD209,'[2]스케줄 분석_20260109'!$B$3:$Y$20,21,FALSE)/VLOOKUP(AD209,'[2]스케줄 분석_20260109'!$B$3:$Y$20,20,FALSE))*VLOOKUP(AD209,'[2]스케줄 분석_20260109'!$B$3:$Y$20,22,FALSE)*VLOOKUP(AD209,'[2]스케줄 분석_20260109'!$B$3:$Y$20,2,FALSE)*1.5*BI209,0),0)</f>
        <v>0</v>
      </c>
      <c r="BQ209" s="217" t="str">
        <f t="shared" si="107"/>
        <v>적합</v>
      </c>
      <c r="BR209" s="213"/>
      <c r="BS209" s="219">
        <f>IF(AT209="통상",BI209*8*5,IF(OR(AT209="스케줄",AT209="스케줄_파라"),BI209*100,"확인"))</f>
        <v>431961.60000000003</v>
      </c>
      <c r="BT209" s="219">
        <f t="shared" si="108"/>
        <v>2535996.7999999998</v>
      </c>
      <c r="BU209" s="213">
        <f>(BF209-BO209*12)*0.0475</f>
        <v>1311000</v>
      </c>
      <c r="BV209" s="213">
        <f>(BF209-BO209*12)*0.036+(BF209-BO209*12)*0.036*0.1314</f>
        <v>1124159.0399999998</v>
      </c>
      <c r="BW209" s="213">
        <f>(BF209-BO209*12)*(0.009+0.0065)</f>
        <v>427800</v>
      </c>
      <c r="BX209" s="213">
        <f>(BF209-BO209*12)*0.0066</f>
        <v>182160</v>
      </c>
      <c r="BY209" s="213">
        <f t="shared" si="104"/>
        <v>3125000</v>
      </c>
      <c r="BZ209" s="220">
        <f t="shared" si="109"/>
        <v>32967958.400000002</v>
      </c>
      <c r="CA209" s="213">
        <f t="shared" si="103"/>
        <v>3045119.04</v>
      </c>
      <c r="CB209" s="220">
        <f t="shared" si="110"/>
        <v>37500000</v>
      </c>
      <c r="CC209" s="222">
        <f t="shared" si="111"/>
        <v>22500000</v>
      </c>
      <c r="CD209" s="301">
        <f t="shared" si="95"/>
        <v>37.5</v>
      </c>
      <c r="CE209" s="262"/>
      <c r="CF209" s="262"/>
      <c r="CG209" s="23" t="s">
        <v>339</v>
      </c>
      <c r="CH209" s="23" t="s">
        <v>438</v>
      </c>
      <c r="CK209" s="187"/>
      <c r="CL209" s="188"/>
    </row>
    <row r="210" spans="1:90" ht="17.100000000000001" customHeight="1">
      <c r="A210" s="23">
        <f>ROW()-3</f>
        <v>207</v>
      </c>
      <c r="B210" s="23" t="s">
        <v>439</v>
      </c>
      <c r="C210" s="286">
        <v>2026010</v>
      </c>
      <c r="D210" s="194" t="s">
        <v>2638</v>
      </c>
      <c r="E210" s="227" t="s">
        <v>2639</v>
      </c>
      <c r="F210" s="227" t="s">
        <v>2653</v>
      </c>
      <c r="G210" s="23" t="s">
        <v>412</v>
      </c>
      <c r="H210" s="227" t="s">
        <v>1167</v>
      </c>
      <c r="I210" s="227" t="s">
        <v>1204</v>
      </c>
      <c r="J210" s="194" t="s">
        <v>178</v>
      </c>
      <c r="K210" s="79" t="s">
        <v>589</v>
      </c>
      <c r="L210" s="227" t="s">
        <v>311</v>
      </c>
      <c r="M210" s="227"/>
      <c r="N210" s="228" t="s">
        <v>2654</v>
      </c>
      <c r="O210" s="197" t="s">
        <v>2655</v>
      </c>
      <c r="P210" s="239" t="s">
        <v>2656</v>
      </c>
      <c r="Q210" s="214">
        <v>46062</v>
      </c>
      <c r="R210" s="214">
        <v>46062</v>
      </c>
      <c r="S210" s="214"/>
      <c r="T210" s="231" t="s">
        <v>1953</v>
      </c>
      <c r="U210" s="231" t="s">
        <v>1954</v>
      </c>
      <c r="V210" s="201" t="s">
        <v>334</v>
      </c>
      <c r="W210" s="201" t="s">
        <v>2154</v>
      </c>
      <c r="X210" s="201" t="s">
        <v>425</v>
      </c>
      <c r="Z210" s="203">
        <f t="shared" ca="1" si="102"/>
        <v>99</v>
      </c>
      <c r="AA210" s="203">
        <f t="shared" ca="1" si="99"/>
        <v>99</v>
      </c>
      <c r="AB210" s="232"/>
      <c r="AC210" s="232"/>
      <c r="AD210" s="78" t="s">
        <v>2645</v>
      </c>
      <c r="AE210" s="78" t="s">
        <v>190</v>
      </c>
      <c r="AG210" s="78" t="s">
        <v>320</v>
      </c>
      <c r="AH210" s="23" t="s">
        <v>161</v>
      </c>
      <c r="AI210" s="23" t="s">
        <v>2646</v>
      </c>
      <c r="AJ210" s="23" t="s">
        <v>296</v>
      </c>
      <c r="AK210" s="233" t="s">
        <v>2647</v>
      </c>
      <c r="AL210" s="78" t="s">
        <v>2648</v>
      </c>
      <c r="AM210" s="206" t="s">
        <v>2657</v>
      </c>
      <c r="AN210" s="207" t="s">
        <v>2658</v>
      </c>
      <c r="AO210" s="78" t="s">
        <v>2651</v>
      </c>
      <c r="AQ210" s="78" t="s">
        <v>2659</v>
      </c>
      <c r="AR210" s="78" t="s">
        <v>2652</v>
      </c>
      <c r="AT210" s="23" t="s">
        <v>201</v>
      </c>
      <c r="AU210" s="23" t="s">
        <v>435</v>
      </c>
      <c r="AV210" s="210" t="s">
        <v>454</v>
      </c>
      <c r="AW210" s="252"/>
      <c r="AX210" s="213">
        <v>5000000</v>
      </c>
      <c r="AY210" s="212">
        <v>12</v>
      </c>
      <c r="AZ210" s="213">
        <f t="shared" si="94"/>
        <v>60000000</v>
      </c>
      <c r="BC210" s="214"/>
      <c r="BD210" s="235"/>
      <c r="BE210" s="332"/>
      <c r="BF210" s="235">
        <f t="shared" si="100"/>
        <v>30000000</v>
      </c>
      <c r="BG210" s="235">
        <f t="shared" si="105"/>
        <v>2500000</v>
      </c>
      <c r="BH210" s="235">
        <v>2057000.0000000002</v>
      </c>
      <c r="BI210" s="312">
        <f t="shared" si="112"/>
        <v>10799.04</v>
      </c>
      <c r="BJ210" s="312">
        <f>IF(AT210="통상",209,VLOOKUP(AD210,'[2]스케줄 분석_20260109'!$B$3:$F$20,5,FALSE))</f>
        <v>209</v>
      </c>
      <c r="BK210" s="312">
        <v>15</v>
      </c>
      <c r="BL210" s="312">
        <v>0</v>
      </c>
      <c r="BM210" s="235">
        <f t="shared" si="106"/>
        <v>243000</v>
      </c>
      <c r="BN210" s="213">
        <f t="shared" si="93"/>
        <v>0</v>
      </c>
      <c r="BO210" s="213">
        <v>200000</v>
      </c>
      <c r="BP210" s="213">
        <f>IF(OR(AT210="스케줄",AT210="스케줄_파라"),ROUNDUP(VLOOKUP(AD210,'[2]스케줄 분석_20260109'!$B$3:$Y$20,23,FALSE)*(VLOOKUP(AD210,'[2]스케줄 분석_20260109'!$B$3:$Y$20,21,FALSE)/VLOOKUP(AD210,'[2]스케줄 분석_20260109'!$B$3:$Y$20,20,FALSE))*VLOOKUP(AD210,'[2]스케줄 분석_20260109'!$B$3:$Y$20,22,FALSE)*VLOOKUP(AD210,'[2]스케줄 분석_20260109'!$B$3:$Y$20,2,FALSE)*1.5*BI210,0),0)</f>
        <v>0</v>
      </c>
      <c r="BQ210" s="217" t="str">
        <f t="shared" si="107"/>
        <v>적합</v>
      </c>
      <c r="BR210" s="213"/>
      <c r="BS210" s="219">
        <f>IF(AT210="통상",BI210*8*5,IF(OR(AT210="스케줄",AT210="스케줄_파라"),BI210*100,"확인"))</f>
        <v>431961.60000000003</v>
      </c>
      <c r="BT210" s="219">
        <f t="shared" si="108"/>
        <v>2535996.7999999998</v>
      </c>
      <c r="BU210" s="213">
        <f>(BF210-BO210*12)*0.0475</f>
        <v>1311000</v>
      </c>
      <c r="BV210" s="213">
        <f>(BF210-BO210*12)*0.036+(BF210-BO210*12)*0.036*0.1314</f>
        <v>1124159.0399999998</v>
      </c>
      <c r="BW210" s="213">
        <f>(BF210-BO210*12)*(0.009+0.0065)</f>
        <v>427800</v>
      </c>
      <c r="BX210" s="213">
        <f>(BF210-BO210*12)*0.0066</f>
        <v>182160</v>
      </c>
      <c r="BY210" s="213">
        <f t="shared" si="104"/>
        <v>3125000</v>
      </c>
      <c r="BZ210" s="220">
        <f t="shared" si="109"/>
        <v>32967958.400000002</v>
      </c>
      <c r="CA210" s="213">
        <f t="shared" si="103"/>
        <v>3045119.04</v>
      </c>
      <c r="CB210" s="220">
        <f t="shared" si="110"/>
        <v>37500000</v>
      </c>
      <c r="CC210" s="222">
        <f t="shared" si="111"/>
        <v>22500000</v>
      </c>
      <c r="CD210" s="301">
        <f t="shared" si="95"/>
        <v>37.5</v>
      </c>
      <c r="CE210" s="262"/>
      <c r="CF210" s="262"/>
      <c r="CG210" s="23" t="s">
        <v>339</v>
      </c>
      <c r="CH210" s="23" t="s">
        <v>438</v>
      </c>
      <c r="CK210" s="187"/>
      <c r="CL210" s="188"/>
    </row>
    <row r="211" spans="1:90" ht="17.100000000000001" customHeight="1">
      <c r="A211" s="23">
        <f>ROW()-3</f>
        <v>208</v>
      </c>
      <c r="B211" s="23" t="s">
        <v>439</v>
      </c>
      <c r="C211" s="190">
        <v>2026011</v>
      </c>
      <c r="D211" s="194" t="s">
        <v>561</v>
      </c>
      <c r="E211" s="227" t="s">
        <v>839</v>
      </c>
      <c r="F211" s="23" t="s">
        <v>2660</v>
      </c>
      <c r="G211" s="23" t="s">
        <v>1010</v>
      </c>
      <c r="H211" s="227" t="s">
        <v>1622</v>
      </c>
      <c r="I211" s="227" t="s">
        <v>1454</v>
      </c>
      <c r="J211" s="194" t="s">
        <v>178</v>
      </c>
      <c r="K211" s="79" t="s">
        <v>841</v>
      </c>
      <c r="L211" s="227" t="s">
        <v>2661</v>
      </c>
      <c r="M211" s="227"/>
      <c r="N211" s="263" t="s">
        <v>2662</v>
      </c>
      <c r="O211" s="197" t="s">
        <v>2663</v>
      </c>
      <c r="P211" s="239" t="s">
        <v>2664</v>
      </c>
      <c r="Q211" s="214">
        <v>40523</v>
      </c>
      <c r="R211" s="214">
        <v>46064</v>
      </c>
      <c r="S211" s="230"/>
      <c r="T211" s="231" t="s">
        <v>2665</v>
      </c>
      <c r="U211" s="231" t="s">
        <v>2666</v>
      </c>
      <c r="V211" s="201" t="s">
        <v>334</v>
      </c>
      <c r="W211" s="200"/>
      <c r="Z211" s="203">
        <f t="shared" ca="1" si="102"/>
        <v>5638</v>
      </c>
      <c r="AA211" s="203">
        <f t="shared" ca="1" si="99"/>
        <v>97</v>
      </c>
      <c r="AB211" s="232"/>
      <c r="AC211" s="232"/>
      <c r="AD211" s="78" t="s">
        <v>21</v>
      </c>
      <c r="AE211" s="78" t="s">
        <v>190</v>
      </c>
      <c r="AG211" s="78" t="s">
        <v>191</v>
      </c>
      <c r="AH211" s="23" t="s">
        <v>161</v>
      </c>
      <c r="AI211" s="23" t="s">
        <v>192</v>
      </c>
      <c r="AJ211" s="23" t="s">
        <v>569</v>
      </c>
      <c r="AK211" s="233" t="s">
        <v>193</v>
      </c>
      <c r="AL211" s="78" t="s">
        <v>570</v>
      </c>
      <c r="AM211" s="206" t="s">
        <v>2667</v>
      </c>
      <c r="AN211" s="207" t="s">
        <v>2668</v>
      </c>
      <c r="AO211" s="78" t="s">
        <v>197</v>
      </c>
      <c r="AP211" s="78" t="s">
        <v>198</v>
      </c>
      <c r="AQ211" s="201" t="s">
        <v>2669</v>
      </c>
      <c r="AS211" s="209" t="s">
        <v>2670</v>
      </c>
      <c r="AT211" s="23" t="s">
        <v>2671</v>
      </c>
      <c r="AU211" s="23" t="s">
        <v>435</v>
      </c>
      <c r="AV211" s="210" t="s">
        <v>454</v>
      </c>
      <c r="AW211" s="213"/>
      <c r="AX211" s="211">
        <v>3875000</v>
      </c>
      <c r="AY211" s="212">
        <v>12</v>
      </c>
      <c r="AZ211" s="213">
        <f t="shared" si="94"/>
        <v>46500000</v>
      </c>
      <c r="BC211" s="214"/>
      <c r="BD211" s="22"/>
      <c r="BE211" s="22"/>
      <c r="BF211" s="22">
        <f t="shared" si="100"/>
        <v>32004000</v>
      </c>
      <c r="BG211" s="235">
        <f t="shared" si="105"/>
        <v>2667000</v>
      </c>
      <c r="BH211" s="235">
        <v>2054500.0000000002</v>
      </c>
      <c r="BI211" s="312">
        <f t="shared" si="112"/>
        <v>12015.67</v>
      </c>
      <c r="BJ211" s="312">
        <f>IF(AT211="통상",209,VLOOKUP(AD211,'[2]스케줄 분석_20260109'!$B$3:$F$20,5,FALSE))</f>
        <v>187.63</v>
      </c>
      <c r="BK211" s="312">
        <v>29.11</v>
      </c>
      <c r="BL211" s="312">
        <v>39.54</v>
      </c>
      <c r="BM211" s="235">
        <f t="shared" si="106"/>
        <v>174900</v>
      </c>
      <c r="BN211" s="213">
        <f t="shared" si="93"/>
        <v>237600</v>
      </c>
      <c r="BO211" s="213">
        <v>200000</v>
      </c>
      <c r="BP211" s="213">
        <f>IF(OR(AT211="스케줄",AT211="스케줄_파라"),ROUNDUP(VLOOKUP(AD211,'[2]스케줄 분석_20260109'!$B$3:$Y$20,23,FALSE)*(VLOOKUP(AD211,'[2]스케줄 분석_20260109'!$B$3:$Y$20,21,FALSE)/VLOOKUP(AD211,'[2]스케줄 분석_20260109'!$B$3:$Y$20,20,FALSE))*VLOOKUP(AD211,'[2]스케줄 분석_20260109'!$B$3:$Y$20,22,FALSE)*VLOOKUP(AD211,'[2]스케줄 분석_20260109'!$B$3:$Y$20,2,FALSE)*1.5*BI211,0),0)</f>
        <v>2428336</v>
      </c>
      <c r="BQ211" s="217" t="str">
        <f t="shared" si="107"/>
        <v>적합</v>
      </c>
      <c r="BR211" s="213"/>
      <c r="BS211" s="219">
        <f>BG211/209*8*5</f>
        <v>510430.62200956931</v>
      </c>
      <c r="BT211" s="219">
        <f t="shared" si="108"/>
        <v>2709535.8851674641</v>
      </c>
      <c r="BU211" s="213">
        <f>BF211*0.045</f>
        <v>1440180</v>
      </c>
      <c r="BV211" s="213">
        <f>BF211*0.03545+BE211*0.03545*0.1295</f>
        <v>1134541.8</v>
      </c>
      <c r="BW211" s="213">
        <f>BF211*(0.009+0.0065)</f>
        <v>496062</v>
      </c>
      <c r="BX211" s="213">
        <f>BF211*0.007</f>
        <v>224028</v>
      </c>
      <c r="BY211" s="213">
        <f t="shared" si="104"/>
        <v>3333750</v>
      </c>
      <c r="BZ211" s="220">
        <f t="shared" si="109"/>
        <v>35223966.507177033</v>
      </c>
      <c r="CA211" s="213">
        <f t="shared" si="103"/>
        <v>3294811.8</v>
      </c>
      <c r="CB211" s="220">
        <f t="shared" si="110"/>
        <v>40005000</v>
      </c>
      <c r="CC211" s="222">
        <f t="shared" si="111"/>
        <v>3556713.44</v>
      </c>
      <c r="CD211" s="301">
        <f t="shared" si="95"/>
        <v>7.6488461075268814</v>
      </c>
      <c r="CE211" s="283"/>
      <c r="CF211" s="283"/>
      <c r="CG211" s="282" t="s">
        <v>339</v>
      </c>
      <c r="CH211" s="23" t="s">
        <v>340</v>
      </c>
    </row>
    <row r="212" spans="1:90" ht="17.25" customHeight="1">
      <c r="A212" s="23">
        <f t="shared" ref="A212" si="113">ROW()-3</f>
        <v>209</v>
      </c>
      <c r="B212" s="23" t="s">
        <v>439</v>
      </c>
      <c r="C212" s="190">
        <v>2026012</v>
      </c>
      <c r="D212" s="194" t="s">
        <v>1007</v>
      </c>
      <c r="E212" s="227" t="s">
        <v>1008</v>
      </c>
      <c r="F212" s="227" t="s">
        <v>2672</v>
      </c>
      <c r="G212" s="23" t="s">
        <v>412</v>
      </c>
      <c r="H212" s="227" t="s">
        <v>1167</v>
      </c>
      <c r="I212" s="227" t="s">
        <v>741</v>
      </c>
      <c r="J212" s="194" t="s">
        <v>178</v>
      </c>
      <c r="K212" s="79" t="s">
        <v>1401</v>
      </c>
      <c r="L212" s="227" t="s">
        <v>2673</v>
      </c>
      <c r="M212" s="227"/>
      <c r="N212" s="228" t="s">
        <v>2674</v>
      </c>
      <c r="O212" s="197" t="s">
        <v>2675</v>
      </c>
      <c r="P212" s="229" t="s">
        <v>2676</v>
      </c>
      <c r="Q212" s="214">
        <v>46076</v>
      </c>
      <c r="R212" s="214">
        <v>46076</v>
      </c>
      <c r="S212" s="214"/>
      <c r="T212" s="231" t="s">
        <v>2677</v>
      </c>
      <c r="U212" s="231" t="s">
        <v>2678</v>
      </c>
      <c r="V212" s="201" t="s">
        <v>334</v>
      </c>
      <c r="Z212" s="203">
        <f t="shared" ca="1" si="102"/>
        <v>85</v>
      </c>
      <c r="AA212" s="203">
        <f t="shared" ca="1" si="99"/>
        <v>85</v>
      </c>
      <c r="AB212" s="232"/>
      <c r="AC212" s="232"/>
      <c r="AD212" s="78" t="s">
        <v>1470</v>
      </c>
      <c r="AE212" s="78" t="s">
        <v>833</v>
      </c>
      <c r="AG212" s="78" t="s">
        <v>191</v>
      </c>
      <c r="AH212" s="23" t="s">
        <v>161</v>
      </c>
      <c r="AI212" s="23" t="s">
        <v>1021</v>
      </c>
      <c r="AJ212" s="23" t="s">
        <v>2046</v>
      </c>
      <c r="AK212" s="23" t="s">
        <v>1022</v>
      </c>
      <c r="AL212" s="78" t="s">
        <v>1023</v>
      </c>
      <c r="AM212" s="269" t="s">
        <v>2679</v>
      </c>
      <c r="AN212" s="79" t="s">
        <v>2680</v>
      </c>
      <c r="AO212" s="78" t="s">
        <v>401</v>
      </c>
      <c r="AP212" s="78" t="s">
        <v>1025</v>
      </c>
      <c r="AQ212" s="201" t="s">
        <v>433</v>
      </c>
      <c r="AS212" s="209" t="s">
        <v>1006</v>
      </c>
      <c r="AT212" s="23" t="s">
        <v>434</v>
      </c>
      <c r="AU212" s="23" t="s">
        <v>435</v>
      </c>
      <c r="AV212" s="210" t="s">
        <v>454</v>
      </c>
      <c r="AW212" s="211"/>
      <c r="AX212" s="175">
        <v>4179000</v>
      </c>
      <c r="AY212" s="212">
        <v>12</v>
      </c>
      <c r="AZ212" s="213">
        <f t="shared" si="94"/>
        <v>50148000</v>
      </c>
      <c r="BA212" s="213"/>
      <c r="BB212" s="213"/>
      <c r="BC212" s="230"/>
      <c r="BD212" s="235"/>
      <c r="BE212" s="332"/>
      <c r="BF212" s="22">
        <f t="shared" si="100"/>
        <v>27727200</v>
      </c>
      <c r="BG212" s="235">
        <f t="shared" si="105"/>
        <v>2310600</v>
      </c>
      <c r="BH212" s="235">
        <v>1824700</v>
      </c>
      <c r="BI212" s="312">
        <f t="shared" si="112"/>
        <v>10320.1</v>
      </c>
      <c r="BJ212" s="312">
        <v>196.19</v>
      </c>
      <c r="BK212" s="312">
        <v>2.17</v>
      </c>
      <c r="BL212" s="312">
        <v>53.23</v>
      </c>
      <c r="BM212" s="235">
        <f t="shared" si="106"/>
        <v>11200</v>
      </c>
      <c r="BN212" s="213">
        <f t="shared" si="93"/>
        <v>274700</v>
      </c>
      <c r="BO212" s="213">
        <v>200000</v>
      </c>
      <c r="BP212" s="213">
        <f>IF(OR(AT212="스케줄",AT212="스케줄_파라"),ROUNDUP(VLOOKUP(AD212,'[2]스케줄 분석_20260109'!$B$3:$Y$20,23,FALSE)*(VLOOKUP(AD212,'[2]스케줄 분석_20260109'!$B$3:$Y$20,21,FALSE)/VLOOKUP(AD212,'[2]스케줄 분석_20260109'!$B$3:$Y$20,20,FALSE))*VLOOKUP(AD212,'[2]스케줄 분석_20260109'!$B$3:$Y$20,22,FALSE)*VLOOKUP(AD212,'[2]스케줄 분석_20260109'!$B$3:$Y$20,2,FALSE)*1.5*BI212,0),0)</f>
        <v>1869229</v>
      </c>
      <c r="BQ212" s="217" t="str">
        <f t="shared" si="107"/>
        <v>적합</v>
      </c>
      <c r="BR212" s="253"/>
      <c r="BS212" s="219">
        <f>BG212/209*8*5</f>
        <v>442220.09569377988</v>
      </c>
      <c r="BT212" s="219">
        <f t="shared" si="108"/>
        <v>2347451.6746411482</v>
      </c>
      <c r="BU212" s="213">
        <f>BF212*0.045</f>
        <v>1247724</v>
      </c>
      <c r="BV212" s="213">
        <f>BF212*0.03545+BE212*0.03545*0.1295</f>
        <v>982929.24000000011</v>
      </c>
      <c r="BW212" s="213">
        <f>BF212*(0.009+0.0065)</f>
        <v>429771.6</v>
      </c>
      <c r="BX212" s="213">
        <f>BF212*0.007</f>
        <v>194090.4</v>
      </c>
      <c r="BY212" s="213">
        <f t="shared" si="104"/>
        <v>2888250</v>
      </c>
      <c r="BZ212" s="220">
        <f t="shared" si="109"/>
        <v>30516871.770334926</v>
      </c>
      <c r="CA212" s="213">
        <f t="shared" si="103"/>
        <v>2854515.24</v>
      </c>
      <c r="CB212" s="220">
        <f t="shared" si="110"/>
        <v>34659000</v>
      </c>
      <c r="CC212" s="222">
        <f t="shared" si="111"/>
        <v>13227232.91</v>
      </c>
      <c r="CD212" s="301">
        <f t="shared" si="95"/>
        <v>26.376391700566327</v>
      </c>
      <c r="CE212" s="283"/>
      <c r="CF212" s="283"/>
      <c r="CG212" s="23" t="s">
        <v>2681</v>
      </c>
      <c r="CH212" s="23" t="s">
        <v>340</v>
      </c>
      <c r="CK212" s="187"/>
      <c r="CL212" s="188"/>
    </row>
    <row r="213" spans="1:90" ht="17.100000000000001" customHeight="1">
      <c r="A213" s="23">
        <f>ROW()-3</f>
        <v>210</v>
      </c>
      <c r="B213" s="23" t="s">
        <v>439</v>
      </c>
      <c r="C213" s="190">
        <v>2026013</v>
      </c>
      <c r="D213" s="194" t="s">
        <v>655</v>
      </c>
      <c r="E213" s="227" t="s">
        <v>656</v>
      </c>
      <c r="F213" s="227" t="s">
        <v>2682</v>
      </c>
      <c r="G213" s="23" t="s">
        <v>1853</v>
      </c>
      <c r="H213" s="227" t="s">
        <v>992</v>
      </c>
      <c r="I213" s="227" t="s">
        <v>741</v>
      </c>
      <c r="J213" s="194" t="s">
        <v>207</v>
      </c>
      <c r="K213" s="79" t="s">
        <v>841</v>
      </c>
      <c r="L213" s="227" t="s">
        <v>2683</v>
      </c>
      <c r="M213" s="227"/>
      <c r="N213" s="228" t="s">
        <v>2684</v>
      </c>
      <c r="O213" s="197" t="s">
        <v>2685</v>
      </c>
      <c r="P213" s="229" t="s">
        <v>2686</v>
      </c>
      <c r="Q213" s="214">
        <v>46084</v>
      </c>
      <c r="R213" s="214">
        <v>46084</v>
      </c>
      <c r="S213" s="214"/>
      <c r="T213" s="231" t="s">
        <v>2004</v>
      </c>
      <c r="U213" s="231" t="s">
        <v>2163</v>
      </c>
      <c r="V213" s="201" t="s">
        <v>334</v>
      </c>
      <c r="Z213" s="203">
        <f ca="1">IF(Q213&lt;&gt;"",$A$1-Q213,"")</f>
        <v>77</v>
      </c>
      <c r="AA213" s="203">
        <f ca="1">$A$1-R213</f>
        <v>77</v>
      </c>
      <c r="AB213" s="232"/>
      <c r="AC213" s="232"/>
      <c r="AD213" s="78" t="s">
        <v>675</v>
      </c>
      <c r="AE213" s="78" t="s">
        <v>217</v>
      </c>
      <c r="AG213" s="78" t="s">
        <v>160</v>
      </c>
      <c r="AH213" s="23" t="s">
        <v>161</v>
      </c>
      <c r="AI213" s="23" t="s">
        <v>1655</v>
      </c>
      <c r="AJ213" s="23" t="s">
        <v>483</v>
      </c>
      <c r="AK213" s="23">
        <v>13486</v>
      </c>
      <c r="AL213" s="78" t="s">
        <v>2687</v>
      </c>
      <c r="AM213" s="269" t="s">
        <v>2688</v>
      </c>
      <c r="AN213" s="79" t="s">
        <v>2689</v>
      </c>
      <c r="AO213" s="78" t="s">
        <v>166</v>
      </c>
      <c r="AP213" s="78" t="s">
        <v>1143</v>
      </c>
      <c r="AQ213" s="201" t="s">
        <v>2690</v>
      </c>
      <c r="AS213" s="209" t="s">
        <v>1658</v>
      </c>
      <c r="AT213" s="23" t="s">
        <v>434</v>
      </c>
      <c r="AU213" s="23" t="s">
        <v>435</v>
      </c>
      <c r="AV213" s="210" t="s">
        <v>454</v>
      </c>
      <c r="AW213" s="211"/>
      <c r="AX213" s="213">
        <v>4413000</v>
      </c>
      <c r="AY213" s="212">
        <v>12</v>
      </c>
      <c r="AZ213" s="213">
        <f>AX213*AY213</f>
        <v>52956000</v>
      </c>
      <c r="BA213" s="213"/>
      <c r="BB213" s="213"/>
      <c r="BC213" s="214">
        <v>46084</v>
      </c>
      <c r="BD213" s="235"/>
      <c r="BE213" s="332"/>
      <c r="BF213" s="235">
        <f>BG213*12</f>
        <v>27454800</v>
      </c>
      <c r="BG213" s="235">
        <f>BH213+BM213+BN213+BO213</f>
        <v>2287900</v>
      </c>
      <c r="BH213" s="235">
        <v>1773900.0000000002</v>
      </c>
      <c r="BI213" s="312">
        <f>ROUND((BH213+BO213)/BJ213,2)</f>
        <v>10320.51</v>
      </c>
      <c r="BJ213" s="312">
        <f>IF(AT213="통상",209,VLOOKUP(AD213,'[2]스케줄 분석_20260109'!$B$3:$F$20,5,FALSE))</f>
        <v>191.26</v>
      </c>
      <c r="BK213" s="312">
        <f>IF(AT213="통상",15,VLOOKUP(AD213,'[2]스케줄 분석_20260109'!$B$3:$P$20,10,FALSE))</f>
        <v>27.88</v>
      </c>
      <c r="BL213" s="312">
        <f>IF(AT213="통상",0,VLOOKUP(AD213,'[2]스케줄 분석_20260109'!$B$3:$P$20,11,FALSE))</f>
        <v>32.950000000000003</v>
      </c>
      <c r="BM213" s="235">
        <f>IF(OR(AT213="통상",AT213="스케줄_파라"),ROUNDUP(BI213*BK213*1.5,-2),IF(OR(AT213="스케줄",AT213="휴직_스케줄"),ROUNDUP(BI213*BK213*0.5,-2),"확인바람"))</f>
        <v>143900</v>
      </c>
      <c r="BN213" s="213">
        <f>ROUNDUP(BI213*BL213*0.5,-2)</f>
        <v>170100</v>
      </c>
      <c r="BO213" s="213">
        <v>200000</v>
      </c>
      <c r="BP213" s="213">
        <f>IF(OR(AT213="스케줄",AT213="스케줄_파라"),ROUNDUP(VLOOKUP(AD213,'[2]스케줄 분석_20260109'!$B$3:$Y$20,23,FALSE)*(VLOOKUP(AD213,'[2]스케줄 분석_20260109'!$B$3:$Y$20,21,FALSE)/VLOOKUP(AD213,'[2]스케줄 분석_20260109'!$B$3:$Y$20,20,FALSE))*VLOOKUP(AD213,'[2]스케줄 분석_20260109'!$B$3:$Y$20,22,FALSE)*VLOOKUP(AD213,'[2]스케줄 분석_20260109'!$B$3:$Y$20,2,FALSE)*1.5*BI213,0),0)</f>
        <v>593736</v>
      </c>
      <c r="BQ213" s="217" t="str">
        <f>IF(BI213&gt;=$D$1,"적합","미달")</f>
        <v>적합</v>
      </c>
      <c r="BR213" s="253">
        <v>250000</v>
      </c>
      <c r="BS213" s="219">
        <f>IF(AT213="통상",BI213*8*5,IF(OR(AT213="스케줄",AT213="스케줄_파라"),BI213*100,"확인"))</f>
        <v>1032051</v>
      </c>
      <c r="BT213" s="219">
        <f>BG213+BS213/12</f>
        <v>2373904.25</v>
      </c>
      <c r="BU213" s="213">
        <f>(BF213-BO213*12)*0.0475</f>
        <v>1190103</v>
      </c>
      <c r="BV213" s="213">
        <f>(BF213-BO213*12)*0.036+(BF213-BO213*12)*0.036*0.1314</f>
        <v>1020492.0259199999</v>
      </c>
      <c r="BW213" s="213">
        <f>(BF213-BO213*12)*(0.009+0.0065)</f>
        <v>388349.4</v>
      </c>
      <c r="BX213" s="213">
        <f>(BF213-BO213*12)*0.0066</f>
        <v>165361.68</v>
      </c>
      <c r="BY213" s="213">
        <f>CB213/AY213</f>
        <v>2859875</v>
      </c>
      <c r="BZ213" s="220">
        <f>SUM(BF213,BS213:BT213)</f>
        <v>30860755.25</v>
      </c>
      <c r="CA213" s="213">
        <f t="shared" si="103"/>
        <v>2764306.10592</v>
      </c>
      <c r="CB213" s="220">
        <f>BF213*1.25</f>
        <v>34318500</v>
      </c>
      <c r="CC213" s="222">
        <f>AZ213-CB213-BP213*1.21</f>
        <v>17919079.440000001</v>
      </c>
      <c r="CD213" s="301">
        <f>IFERROR((CC213/AZ213)*100,0)</f>
        <v>33.837675504192163</v>
      </c>
      <c r="CE213" s="283"/>
      <c r="CF213" s="283"/>
      <c r="CG213" s="23" t="s">
        <v>339</v>
      </c>
      <c r="CH213" s="23" t="s">
        <v>340</v>
      </c>
      <c r="CK213" s="187"/>
      <c r="CL213" s="188"/>
    </row>
    <row r="214" spans="1:90" ht="17.100000000000001" customHeight="1">
      <c r="A214" s="23">
        <f>ROW()-3</f>
        <v>211</v>
      </c>
      <c r="B214" s="23" t="s">
        <v>439</v>
      </c>
      <c r="C214" s="190">
        <v>2026014</v>
      </c>
      <c r="D214" s="194" t="s">
        <v>989</v>
      </c>
      <c r="E214" s="227" t="s">
        <v>990</v>
      </c>
      <c r="F214" s="23" t="s">
        <v>2691</v>
      </c>
      <c r="G214" s="23" t="s">
        <v>412</v>
      </c>
      <c r="H214" s="227" t="s">
        <v>1167</v>
      </c>
      <c r="I214" s="227" t="s">
        <v>1204</v>
      </c>
      <c r="J214" s="194" t="s">
        <v>178</v>
      </c>
      <c r="K214" s="79" t="s">
        <v>1401</v>
      </c>
      <c r="L214" s="23" t="s">
        <v>2692</v>
      </c>
      <c r="N214" s="228" t="s">
        <v>2693</v>
      </c>
      <c r="O214" s="237" t="s">
        <v>2694</v>
      </c>
      <c r="P214" s="229" t="s">
        <v>2695</v>
      </c>
      <c r="Q214" s="214">
        <v>46097</v>
      </c>
      <c r="R214" s="214">
        <v>46097</v>
      </c>
      <c r="T214" s="307" t="s">
        <v>1995</v>
      </c>
      <c r="U214" s="307" t="s">
        <v>2696</v>
      </c>
      <c r="V214" s="201" t="s">
        <v>290</v>
      </c>
      <c r="W214" s="231" t="s">
        <v>2006</v>
      </c>
      <c r="X214" s="201" t="s">
        <v>425</v>
      </c>
      <c r="Z214" s="203">
        <f ca="1">IF(Q214&lt;&gt;"",$A$1-Q214,"")</f>
        <v>64</v>
      </c>
      <c r="AA214" s="203">
        <f ca="1">$A$1-R214</f>
        <v>64</v>
      </c>
      <c r="AB214" s="232"/>
      <c r="AC214" s="232"/>
      <c r="AD214" s="78" t="s">
        <v>1835</v>
      </c>
      <c r="AE214" s="78" t="s">
        <v>217</v>
      </c>
      <c r="AG214" s="78" t="s">
        <v>191</v>
      </c>
      <c r="AH214" s="23" t="s">
        <v>161</v>
      </c>
      <c r="AI214" s="23" t="s">
        <v>365</v>
      </c>
      <c r="AJ214" s="23" t="s">
        <v>990</v>
      </c>
      <c r="AK214" s="23" t="s">
        <v>1000</v>
      </c>
      <c r="AL214" s="78" t="s">
        <v>1001</v>
      </c>
      <c r="AM214" s="269" t="s">
        <v>2697</v>
      </c>
      <c r="AN214" s="78" t="s">
        <v>2698</v>
      </c>
      <c r="AO214" s="78" t="s">
        <v>401</v>
      </c>
      <c r="AP214" s="78" t="s">
        <v>1038</v>
      </c>
      <c r="AQ214" s="201" t="s">
        <v>433</v>
      </c>
      <c r="AS214" s="209" t="s">
        <v>1006</v>
      </c>
      <c r="AT214" s="23" t="s">
        <v>434</v>
      </c>
      <c r="AU214" s="23" t="s">
        <v>435</v>
      </c>
      <c r="AV214" s="210" t="s">
        <v>454</v>
      </c>
      <c r="AW214" s="211"/>
      <c r="AX214" s="213">
        <v>4138000</v>
      </c>
      <c r="AY214" s="212">
        <v>12</v>
      </c>
      <c r="AZ214" s="213">
        <f>AX214*AY214</f>
        <v>49656000</v>
      </c>
      <c r="BC214" s="214"/>
      <c r="BD214" s="235"/>
      <c r="BE214" s="332"/>
      <c r="BF214" s="235">
        <f>BG214*12</f>
        <v>27967200</v>
      </c>
      <c r="BG214" s="235">
        <f>BH214+BM214+BN214+BO214</f>
        <v>2330600</v>
      </c>
      <c r="BH214" s="235">
        <v>1698900.0000000002</v>
      </c>
      <c r="BI214" s="312">
        <f>ROUND((BH214+BO214)/BJ214,2)</f>
        <v>10320.11</v>
      </c>
      <c r="BJ214" s="312">
        <f>IF(AT214="통상",209,VLOOKUP(AD214,'[2]스케줄 분석_20260109'!$B$3:$F$20,5,FALSE))</f>
        <v>184</v>
      </c>
      <c r="BK214" s="312">
        <f>IF(AT214="통상",15,VLOOKUP(AD214,'[2]스케줄 분석_20260109'!$B$3:$P$20,10,FALSE))</f>
        <v>38.020000000000003</v>
      </c>
      <c r="BL214" s="312">
        <f>IF(AT214="통상",0,VLOOKUP(AD214,'[2]스케줄 분석_20260109'!$B$3:$P$20,11,FALSE))</f>
        <v>45.63</v>
      </c>
      <c r="BM214" s="235">
        <f>IF(OR(AT214="통상",AT214="스케줄_파라"),ROUNDUP(BI214*BK214*1.5,-2),IF(OR(AT214="스케줄",AT214="휴직_스케줄"),ROUNDUP(BI214*BK214*0.5,-2),"확인바람"))</f>
        <v>196200</v>
      </c>
      <c r="BN214" s="213">
        <f>ROUNDUP(BI214*BL214*0.5,-2)</f>
        <v>235500</v>
      </c>
      <c r="BO214" s="213">
        <v>200000</v>
      </c>
      <c r="BP214" s="213">
        <f>IF(OR(AT214="스케줄",AT214="스케줄_파라"),ROUNDUP(VLOOKUP(AD214,'[2]스케줄 분석_20260109'!$B$3:$Y$20,23,FALSE)*(VLOOKUP(AD214,'[2]스케줄 분석_20260109'!$B$3:$Y$20,21,FALSE)/VLOOKUP(AD214,'[2]스케줄 분석_20260109'!$B$3:$Y$20,20,FALSE))*VLOOKUP(AD214,'[2]스케줄 분석_20260109'!$B$3:$Y$20,22,FALSE)*VLOOKUP(AD214,'[2]스케줄 분석_20260109'!$B$3:$Y$20,2,FALSE)*1.5*BI214,0),0)</f>
        <v>1869230</v>
      </c>
      <c r="BQ214" s="217" t="str">
        <f>IF(BI214&gt;=$D$1,"적합","미달")</f>
        <v>적합</v>
      </c>
      <c r="BR214" s="213"/>
      <c r="BS214" s="219">
        <f>IF(AT214="통상",BI214*8*5,IF(OR(AT214="스케줄",AT214="스케줄_파라"),BI214*100,"확인"))</f>
        <v>1032011</v>
      </c>
      <c r="BT214" s="219">
        <f>BG214+BS214/12</f>
        <v>2416600.9166666665</v>
      </c>
      <c r="BU214" s="213">
        <f>(BF214-BO214*12)*0.0475</f>
        <v>1214442</v>
      </c>
      <c r="BV214" s="213">
        <f>(BF214-BO214*12)*0.036+(BF214-BO214*12)*0.036*0.1314</f>
        <v>1041362.28288</v>
      </c>
      <c r="BW214" s="213">
        <f>(BF214-BO214*12)*(0.009+0.0065)</f>
        <v>396291.6</v>
      </c>
      <c r="BX214" s="213">
        <f>(BF214-BO214*12)*0.0066</f>
        <v>168743.52</v>
      </c>
      <c r="BY214" s="213">
        <f>CB214/AY214</f>
        <v>2913250</v>
      </c>
      <c r="BZ214" s="220">
        <f>SUM(BF214,BS214:BT214)</f>
        <v>31415811.916666668</v>
      </c>
      <c r="CA214" s="213">
        <f t="shared" si="103"/>
        <v>2820839.40288</v>
      </c>
      <c r="CB214" s="220">
        <f>BF214*1.25</f>
        <v>34959000</v>
      </c>
      <c r="CC214" s="222">
        <f>AZ214-CB214-BP214*1.21</f>
        <v>12435231.699999999</v>
      </c>
      <c r="CD214" s="301">
        <f>IFERROR((CC214/AZ214)*100,0)</f>
        <v>25.042757572096018</v>
      </c>
      <c r="CG214" s="23" t="s">
        <v>339</v>
      </c>
      <c r="CH214" s="23" t="s">
        <v>340</v>
      </c>
      <c r="CK214" s="187"/>
      <c r="CL214" s="188"/>
    </row>
    <row r="215" spans="1:90" ht="17.100000000000001" customHeight="1">
      <c r="A215" s="23">
        <f>ROW()-3</f>
        <v>212</v>
      </c>
      <c r="B215" s="23" t="s">
        <v>439</v>
      </c>
      <c r="C215" s="190">
        <v>2026015</v>
      </c>
      <c r="D215" s="191" t="s">
        <v>989</v>
      </c>
      <c r="E215" s="227" t="s">
        <v>990</v>
      </c>
      <c r="F215" s="227" t="s">
        <v>2699</v>
      </c>
      <c r="G215" s="23" t="s">
        <v>412</v>
      </c>
      <c r="H215" s="227" t="s">
        <v>1167</v>
      </c>
      <c r="I215" s="227" t="s">
        <v>741</v>
      </c>
      <c r="J215" s="194" t="s">
        <v>178</v>
      </c>
      <c r="K215" s="79" t="s">
        <v>1401</v>
      </c>
      <c r="L215" s="227" t="s">
        <v>2700</v>
      </c>
      <c r="M215" s="227" t="s">
        <v>445</v>
      </c>
      <c r="N215" s="228" t="s">
        <v>2701</v>
      </c>
      <c r="O215" s="197" t="s">
        <v>2702</v>
      </c>
      <c r="P215" s="229" t="s">
        <v>2703</v>
      </c>
      <c r="Q215" s="214">
        <v>46097</v>
      </c>
      <c r="R215" s="214">
        <v>46097</v>
      </c>
      <c r="S215" s="214"/>
      <c r="T215" s="231" t="s">
        <v>2704</v>
      </c>
      <c r="U215" s="231" t="s">
        <v>2705</v>
      </c>
      <c r="V215" s="201" t="s">
        <v>290</v>
      </c>
      <c r="W215" s="200"/>
      <c r="X215" s="200"/>
      <c r="Y215" s="200"/>
      <c r="Z215" s="203">
        <f ca="1">IF(Q215&lt;&gt;"",$A$1-Q215,"")</f>
        <v>64</v>
      </c>
      <c r="AA215" s="203">
        <f ca="1">$A$1-R215</f>
        <v>64</v>
      </c>
      <c r="AB215" s="232"/>
      <c r="AC215" s="232"/>
      <c r="AD215" s="78" t="s">
        <v>1835</v>
      </c>
      <c r="AE215" s="78" t="s">
        <v>217</v>
      </c>
      <c r="AG215" s="78" t="s">
        <v>191</v>
      </c>
      <c r="AH215" s="23" t="s">
        <v>161</v>
      </c>
      <c r="AI215" s="23" t="s">
        <v>365</v>
      </c>
      <c r="AJ215" s="23" t="s">
        <v>2254</v>
      </c>
      <c r="AK215" s="23" t="s">
        <v>1000</v>
      </c>
      <c r="AL215" s="78" t="s">
        <v>2133</v>
      </c>
      <c r="AM215" s="269" t="s">
        <v>2706</v>
      </c>
      <c r="AN215" s="194" t="s">
        <v>2707</v>
      </c>
      <c r="AO215" s="78" t="s">
        <v>401</v>
      </c>
      <c r="AP215" s="208" t="s">
        <v>2257</v>
      </c>
      <c r="AQ215" s="201" t="s">
        <v>433</v>
      </c>
      <c r="AS215" s="209" t="s">
        <v>1006</v>
      </c>
      <c r="AT215" s="23" t="s">
        <v>434</v>
      </c>
      <c r="AU215" s="23" t="s">
        <v>435</v>
      </c>
      <c r="AV215" s="210" t="s">
        <v>454</v>
      </c>
      <c r="AW215" s="251"/>
      <c r="AX215" s="213">
        <v>4097000</v>
      </c>
      <c r="AY215" s="212">
        <v>12</v>
      </c>
      <c r="AZ215" s="213">
        <f>AX215*AY215</f>
        <v>49164000</v>
      </c>
      <c r="BA215" s="213"/>
      <c r="BB215" s="234"/>
      <c r="BC215" s="230"/>
      <c r="BD215" s="22"/>
      <c r="BE215" s="332"/>
      <c r="BF215" s="339">
        <f>BG215*12</f>
        <v>27967200</v>
      </c>
      <c r="BG215" s="235">
        <f>BH215+BM215+BN215+BO215</f>
        <v>2330600</v>
      </c>
      <c r="BH215" s="235">
        <v>1698900</v>
      </c>
      <c r="BI215" s="312">
        <f>ROUND((BH215+BO215)/BJ215,2)</f>
        <v>10320.11</v>
      </c>
      <c r="BJ215" s="312">
        <f>IF(AT215="통상",209,VLOOKUP(AD215,'[2]스케줄 분석_20260109'!$B$3:$F$20,5,FALSE))</f>
        <v>184</v>
      </c>
      <c r="BK215" s="312">
        <f>IF(AT215="통상",15,VLOOKUP(AD215,'[2]스케줄 분석_20260109'!$B$3:$P$20,10,FALSE))</f>
        <v>38.020000000000003</v>
      </c>
      <c r="BL215" s="312">
        <f>IF(AT215="통상",0,VLOOKUP(AD215,'[2]스케줄 분석_20260109'!$B$3:$P$20,11,FALSE))</f>
        <v>45.63</v>
      </c>
      <c r="BM215" s="235">
        <f>IF(OR(AT215="통상",AT215="스케줄_파라"),ROUNDUP(BI215*BK215*1.5,-2),IF(OR(AT215="스케줄",AT215="휴직_스케줄"),ROUNDUP(BI215*BK215*0.5,-2),"확인바람"))</f>
        <v>196200</v>
      </c>
      <c r="BN215" s="213">
        <f>ROUNDUP(BI215*BL215*0.5,-2)</f>
        <v>235500</v>
      </c>
      <c r="BO215" s="213">
        <v>200000</v>
      </c>
      <c r="BP215" s="213">
        <f>IF(OR(AT215="스케줄",AT215="스케줄_파라"),ROUNDUP(VLOOKUP(AD215,'[2]스케줄 분석_20260109'!$B$3:$Y$20,23,FALSE)*(VLOOKUP(AD215,'[2]스케줄 분석_20260109'!$B$3:$Y$20,21,FALSE)/VLOOKUP(AD215,'[2]스케줄 분석_20260109'!$B$3:$Y$20,20,FALSE))*VLOOKUP(AD215,'[2]스케줄 분석_20260109'!$B$3:$Y$20,22,FALSE)*VLOOKUP(AD215,'[2]스케줄 분석_20260109'!$B$3:$Y$20,2,FALSE)*1.5*BI215,0),0)</f>
        <v>1869230</v>
      </c>
      <c r="BQ215" s="217" t="str">
        <f>IF(BI215&gt;=$D$1,"적합","미달")</f>
        <v>적합</v>
      </c>
      <c r="BR215" s="213"/>
      <c r="BS215" s="219">
        <f>IF(AT215="통상",BI215*8*5,IF(OR(AT215="스케줄",AT215="스케줄_파라"),BI215*100,"확인"))</f>
        <v>1032011</v>
      </c>
      <c r="BT215" s="219">
        <f>BG215+BS215/12</f>
        <v>2416600.9166666665</v>
      </c>
      <c r="BU215" s="213">
        <f>(BF215-BO215*12)*0.0475</f>
        <v>1214442</v>
      </c>
      <c r="BV215" s="213">
        <f>(BF215-BO215*12)*0.036+(BF215-BO215*12)*0.036*0.1314</f>
        <v>1041362.28288</v>
      </c>
      <c r="BW215" s="213">
        <f>(BF215-BO215*12)*(0.009+0.0065)</f>
        <v>396291.6</v>
      </c>
      <c r="BX215" s="213">
        <f>(BF215-BO215*12)*0.0066</f>
        <v>168743.52</v>
      </c>
      <c r="BY215" s="213">
        <f>CB215/AY215</f>
        <v>2913250</v>
      </c>
      <c r="BZ215" s="220">
        <f>SUM(BF215,BS215:BT215)</f>
        <v>31415811.916666668</v>
      </c>
      <c r="CA215" s="213">
        <f t="shared" si="103"/>
        <v>2820839.40288</v>
      </c>
      <c r="CB215" s="220">
        <f>BF215*1.25</f>
        <v>34959000</v>
      </c>
      <c r="CC215" s="222">
        <f>AZ215-CB215-BP215*1.21</f>
        <v>11943231.699999999</v>
      </c>
      <c r="CD215" s="301">
        <f>IFERROR((CC215/AZ215)*100,0)</f>
        <v>24.29263627857782</v>
      </c>
      <c r="CG215" s="23" t="s">
        <v>339</v>
      </c>
      <c r="CH215" s="23" t="s">
        <v>2175</v>
      </c>
      <c r="CK215" s="187"/>
      <c r="CL215" s="188"/>
    </row>
    <row r="216" spans="1:90" ht="17.25" customHeight="1">
      <c r="A216" s="23">
        <f t="shared" ref="A216:A224" si="114">ROW()-3</f>
        <v>213</v>
      </c>
      <c r="B216" s="23" t="s">
        <v>439</v>
      </c>
      <c r="C216" s="190">
        <v>2026016</v>
      </c>
      <c r="D216" s="194" t="s">
        <v>2708</v>
      </c>
      <c r="E216" s="227" t="s">
        <v>353</v>
      </c>
      <c r="F216" s="227" t="s">
        <v>2709</v>
      </c>
      <c r="G216" s="23" t="s">
        <v>251</v>
      </c>
      <c r="H216" s="227" t="s">
        <v>640</v>
      </c>
      <c r="I216" s="227" t="s">
        <v>309</v>
      </c>
      <c r="J216" s="194" t="s">
        <v>178</v>
      </c>
      <c r="K216" s="79" t="s">
        <v>627</v>
      </c>
      <c r="L216" s="227" t="s">
        <v>2710</v>
      </c>
      <c r="M216" s="227"/>
      <c r="N216" s="228" t="s">
        <v>2711</v>
      </c>
      <c r="O216" s="197" t="s">
        <v>2712</v>
      </c>
      <c r="P216" s="239" t="s">
        <v>2713</v>
      </c>
      <c r="Q216" s="214">
        <v>40179</v>
      </c>
      <c r="R216" s="214">
        <v>46113</v>
      </c>
      <c r="S216" s="214"/>
      <c r="T216" s="231" t="s">
        <v>2714</v>
      </c>
      <c r="U216" s="231" t="s">
        <v>2715</v>
      </c>
      <c r="V216" s="201" t="s">
        <v>290</v>
      </c>
      <c r="W216" s="201" t="s">
        <v>2716</v>
      </c>
      <c r="Z216" s="203">
        <f t="shared" ref="Z216:Z217" ca="1" si="115">IF(Q216&lt;&gt;"",$A$1-Q216,"")</f>
        <v>5982</v>
      </c>
      <c r="AA216" s="203">
        <f t="shared" ref="AA216:AA217" ca="1" si="116">$A$1-R216</f>
        <v>48</v>
      </c>
      <c r="AB216" s="232"/>
      <c r="AC216" s="232"/>
      <c r="AD216" s="78" t="s">
        <v>381</v>
      </c>
      <c r="AE216" s="78" t="s">
        <v>217</v>
      </c>
      <c r="AG216" s="78" t="s">
        <v>191</v>
      </c>
      <c r="AH216" s="23" t="s">
        <v>161</v>
      </c>
      <c r="AI216" s="23" t="s">
        <v>365</v>
      </c>
      <c r="AJ216" s="23" t="s">
        <v>353</v>
      </c>
      <c r="AK216" s="23">
        <v>17336</v>
      </c>
      <c r="AL216" s="78" t="s">
        <v>2717</v>
      </c>
      <c r="AM216" s="206" t="s">
        <v>2718</v>
      </c>
      <c r="AN216" s="207" t="s">
        <v>2719</v>
      </c>
      <c r="AO216" s="78" t="s">
        <v>401</v>
      </c>
      <c r="AP216" s="78" t="s">
        <v>1381</v>
      </c>
      <c r="AQ216" s="201" t="s">
        <v>895</v>
      </c>
      <c r="AR216" s="201" t="s">
        <v>654</v>
      </c>
      <c r="AS216" s="209" t="s">
        <v>1382</v>
      </c>
      <c r="AT216" s="23" t="s">
        <v>201</v>
      </c>
      <c r="AU216" s="23" t="s">
        <v>435</v>
      </c>
      <c r="AV216" s="210" t="s">
        <v>454</v>
      </c>
      <c r="AW216" s="211"/>
      <c r="AX216" s="175">
        <v>8500000</v>
      </c>
      <c r="AY216" s="212">
        <v>12</v>
      </c>
      <c r="AZ216" s="213">
        <f t="shared" ref="AZ216:AZ217" si="117">AX216*AY216</f>
        <v>102000000</v>
      </c>
      <c r="BA216" s="234"/>
      <c r="BB216" s="234"/>
      <c r="BC216" s="214"/>
      <c r="BD216" s="215"/>
      <c r="BE216" s="215"/>
      <c r="BF216" s="215">
        <f t="shared" ref="BF216:BF217" si="118">BG216*12</f>
        <v>72000000</v>
      </c>
      <c r="BG216" s="215">
        <f t="shared" ref="BG216:BG217" si="119">BH216+BM216+BN216+BO216</f>
        <v>6000000</v>
      </c>
      <c r="BH216" s="215">
        <v>5216800</v>
      </c>
      <c r="BI216" s="216">
        <f t="shared" ref="BI216:BI217" si="120">ROUND((BH216+BO216)/BJ216,2)</f>
        <v>25917.7</v>
      </c>
      <c r="BJ216" s="216">
        <f>IF(AT216="통상",209,VLOOKUP(AD216,'[2]스케줄 분석_20260109'!$B$3:$F$20,5,FALSE))</f>
        <v>209</v>
      </c>
      <c r="BK216" s="216">
        <f>IF(AT216="통상",15,VLOOKUP(AD216,'[2]스케줄 분석_20260109'!$B$3:$P$20,10,FALSE))</f>
        <v>15</v>
      </c>
      <c r="BL216" s="216">
        <f>IF(AT216="통상",0,VLOOKUP(AD216,'[2]스케줄 분석_20260109'!$B$3:$P$20,11,FALSE))</f>
        <v>0</v>
      </c>
      <c r="BM216" s="215">
        <f t="shared" ref="BM216:BM217" si="121">IF(OR(AT216="통상",AT216="스케줄_파라"),ROUNDUP(BI216*BK216*1.5,-2),IF(OR(AT216="스케줄",AT216="휴직_스케줄"),ROUNDUP(BI216*BK216*0.5,-2),"확인바람"))</f>
        <v>583200</v>
      </c>
      <c r="BN216" s="175">
        <f t="shared" ref="BN216:BN217" si="122">ROUNDUP(BI216*BL216*0.5,-2)</f>
        <v>0</v>
      </c>
      <c r="BO216" s="213">
        <v>200000</v>
      </c>
      <c r="BP216" s="175">
        <f>IF(OR(AT216="스케줄",AT216="스케줄_파라"),ROUNDUP(VLOOKUP(AD216,'[2]스케줄 분석_20260109'!$B$3:$Y$20,23,FALSE)*(VLOOKUP(AD216,'[2]스케줄 분석_20260109'!$B$3:$Y$20,21,FALSE)/VLOOKUP(AD216,'[2]스케줄 분석_20260109'!$B$3:$Y$20,20,FALSE))*VLOOKUP(AD216,'[2]스케줄 분석_20260109'!$B$3:$Y$20,22,FALSE)*VLOOKUP(AD216,'[2]스케줄 분석_20260109'!$B$3:$Y$20,2,FALSE)*1.5*BI216,0),0)</f>
        <v>0</v>
      </c>
      <c r="BQ216" s="217" t="str">
        <f t="shared" ref="BQ216:BQ217" si="123">IF(BI216&gt;=$D$1,"적합","미달")</f>
        <v>적합</v>
      </c>
      <c r="BR216" s="213"/>
      <c r="BS216" s="218">
        <f t="shared" ref="BS216:BS217" si="124">IF(AT216="통상",BI216*8*5,IF(OR(AT216="스케줄",AT216="스케줄_파라"),BI216*100,"확인"))</f>
        <v>1036708</v>
      </c>
      <c r="BT216" s="219">
        <f t="shared" ref="BT216:BT217" si="125">BG216+BS216/12</f>
        <v>6086392.333333333</v>
      </c>
      <c r="BU216" s="175">
        <f t="shared" ref="BU216:BU217" si="126">(BF216-BO216*12)*0.0475</f>
        <v>3306000</v>
      </c>
      <c r="BV216" s="175">
        <f t="shared" ref="BV216:BV217" si="127">(BF216-BO216*12)*0.036+(BF216-BO216*12)*0.036*0.1314</f>
        <v>2834835.84</v>
      </c>
      <c r="BW216" s="175">
        <f t="shared" ref="BW216:BW217" si="128">(BF216-BO216*12)*(0.009+0.0065)</f>
        <v>1078800</v>
      </c>
      <c r="BX216" s="175">
        <f t="shared" ref="BX216:BX217" si="129">(BF216-BO216*12)*0.0066</f>
        <v>459360</v>
      </c>
      <c r="BY216" s="213">
        <f t="shared" ref="BY216:BY217" si="130">CB216/AY216</f>
        <v>7500000</v>
      </c>
      <c r="BZ216" s="220">
        <f t="shared" ref="BZ216:BZ217" si="131">SUM(BF216,BS216:BT216)</f>
        <v>79123100.333333328</v>
      </c>
      <c r="CA216" s="213">
        <f t="shared" si="103"/>
        <v>7678995.8399999999</v>
      </c>
      <c r="CB216" s="221">
        <f t="shared" ref="CB216:CB217" si="132">BF216*1.25</f>
        <v>90000000</v>
      </c>
      <c r="CC216" s="222">
        <f t="shared" ref="CC216:CC217" si="133">AZ216-CB216-BP216*1.21</f>
        <v>12000000</v>
      </c>
      <c r="CD216" s="223">
        <f t="shared" ref="CD216:CD217" si="134">IFERROR((CC216/AZ216)*100,0)</f>
        <v>11.76470588235294</v>
      </c>
      <c r="CE216" s="262"/>
      <c r="CF216" s="262"/>
      <c r="CG216" s="23" t="s">
        <v>339</v>
      </c>
      <c r="CH216" s="23" t="s">
        <v>340</v>
      </c>
      <c r="CK216" s="187"/>
      <c r="CL216" s="188"/>
    </row>
    <row r="217" spans="1:90" ht="17.25" customHeight="1">
      <c r="A217" s="23">
        <f t="shared" si="114"/>
        <v>214</v>
      </c>
      <c r="B217" s="23" t="s">
        <v>439</v>
      </c>
      <c r="C217" s="190">
        <v>2026017</v>
      </c>
      <c r="D217" s="194" t="s">
        <v>2708</v>
      </c>
      <c r="E217" s="227" t="s">
        <v>353</v>
      </c>
      <c r="F217" s="227" t="s">
        <v>2720</v>
      </c>
      <c r="G217" s="23" t="s">
        <v>251</v>
      </c>
      <c r="H217" s="227" t="s">
        <v>640</v>
      </c>
      <c r="I217" s="227" t="s">
        <v>309</v>
      </c>
      <c r="J217" s="194" t="s">
        <v>178</v>
      </c>
      <c r="K217" s="79" t="s">
        <v>627</v>
      </c>
      <c r="L217" s="227" t="s">
        <v>2721</v>
      </c>
      <c r="M217" s="227"/>
      <c r="N217" s="228" t="s">
        <v>2722</v>
      </c>
      <c r="O217" s="197" t="s">
        <v>2723</v>
      </c>
      <c r="P217" s="239" t="s">
        <v>2724</v>
      </c>
      <c r="Q217" s="214">
        <v>36982</v>
      </c>
      <c r="R217" s="214">
        <v>46113</v>
      </c>
      <c r="S217" s="214"/>
      <c r="T217" s="231" t="s">
        <v>2725</v>
      </c>
      <c r="U217" s="231" t="s">
        <v>2726</v>
      </c>
      <c r="V217" s="201" t="s">
        <v>290</v>
      </c>
      <c r="W217" s="201" t="s">
        <v>2727</v>
      </c>
      <c r="X217" s="201" t="s">
        <v>2143</v>
      </c>
      <c r="Z217" s="203">
        <f t="shared" ca="1" si="115"/>
        <v>9179</v>
      </c>
      <c r="AA217" s="203">
        <f t="shared" ca="1" si="116"/>
        <v>48</v>
      </c>
      <c r="AB217" s="232"/>
      <c r="AC217" s="232"/>
      <c r="AD217" s="78" t="s">
        <v>381</v>
      </c>
      <c r="AE217" s="78" t="s">
        <v>217</v>
      </c>
      <c r="AG217" s="78" t="s">
        <v>191</v>
      </c>
      <c r="AH217" s="23" t="s">
        <v>161</v>
      </c>
      <c r="AI217" s="23" t="s">
        <v>365</v>
      </c>
      <c r="AJ217" s="23" t="s">
        <v>353</v>
      </c>
      <c r="AK217" s="23">
        <v>17336</v>
      </c>
      <c r="AL217" s="78" t="s">
        <v>2717</v>
      </c>
      <c r="AM217" s="206" t="s">
        <v>2728</v>
      </c>
      <c r="AN217" s="207" t="s">
        <v>2729</v>
      </c>
      <c r="AO217" s="78" t="s">
        <v>401</v>
      </c>
      <c r="AP217" s="78" t="s">
        <v>1381</v>
      </c>
      <c r="AQ217" s="201" t="s">
        <v>895</v>
      </c>
      <c r="AR217" s="201" t="s">
        <v>654</v>
      </c>
      <c r="AS217" s="209" t="s">
        <v>1382</v>
      </c>
      <c r="AT217" s="23" t="s">
        <v>201</v>
      </c>
      <c r="AU217" s="23" t="s">
        <v>435</v>
      </c>
      <c r="AV217" s="210" t="s">
        <v>454</v>
      </c>
      <c r="AW217" s="211"/>
      <c r="AX217" s="175">
        <v>8500000</v>
      </c>
      <c r="AY217" s="212">
        <v>12</v>
      </c>
      <c r="AZ217" s="213">
        <f t="shared" si="117"/>
        <v>102000000</v>
      </c>
      <c r="BA217" s="234"/>
      <c r="BB217" s="234"/>
      <c r="BC217" s="214"/>
      <c r="BD217" s="215"/>
      <c r="BE217" s="215"/>
      <c r="BF217" s="215">
        <f t="shared" si="118"/>
        <v>72000000</v>
      </c>
      <c r="BG217" s="215">
        <f t="shared" si="119"/>
        <v>6000000</v>
      </c>
      <c r="BH217" s="215">
        <v>5216800</v>
      </c>
      <c r="BI217" s="216">
        <f t="shared" si="120"/>
        <v>25917.7</v>
      </c>
      <c r="BJ217" s="216">
        <f>IF(AT217="통상",209,VLOOKUP(AD217,'[2]스케줄 분석_20260109'!$B$3:$F$20,5,FALSE))</f>
        <v>209</v>
      </c>
      <c r="BK217" s="216">
        <f>IF(AT217="통상",15,VLOOKUP(AD217,'[2]스케줄 분석_20260109'!$B$3:$P$20,10,FALSE))</f>
        <v>15</v>
      </c>
      <c r="BL217" s="216">
        <f>IF(AT217="통상",0,VLOOKUP(AD217,'[2]스케줄 분석_20260109'!$B$3:$P$20,11,FALSE))</f>
        <v>0</v>
      </c>
      <c r="BM217" s="215">
        <f t="shared" si="121"/>
        <v>583200</v>
      </c>
      <c r="BN217" s="175">
        <f t="shared" si="122"/>
        <v>0</v>
      </c>
      <c r="BO217" s="213">
        <v>200000</v>
      </c>
      <c r="BP217" s="175">
        <f>IF(OR(AT217="스케줄",AT217="스케줄_파라"),ROUNDUP(VLOOKUP(AD217,'[2]스케줄 분석_20260109'!$B$3:$Y$20,23,FALSE)*(VLOOKUP(AD217,'[2]스케줄 분석_20260109'!$B$3:$Y$20,21,FALSE)/VLOOKUP(AD217,'[2]스케줄 분석_20260109'!$B$3:$Y$20,20,FALSE))*VLOOKUP(AD217,'[2]스케줄 분석_20260109'!$B$3:$Y$20,22,FALSE)*VLOOKUP(AD217,'[2]스케줄 분석_20260109'!$B$3:$Y$20,2,FALSE)*1.5*BI217,0),0)</f>
        <v>0</v>
      </c>
      <c r="BQ217" s="217" t="str">
        <f t="shared" si="123"/>
        <v>적합</v>
      </c>
      <c r="BR217" s="213"/>
      <c r="BS217" s="218">
        <f t="shared" si="124"/>
        <v>1036708</v>
      </c>
      <c r="BT217" s="219">
        <f t="shared" si="125"/>
        <v>6086392.333333333</v>
      </c>
      <c r="BU217" s="175">
        <f t="shared" si="126"/>
        <v>3306000</v>
      </c>
      <c r="BV217" s="175">
        <f t="shared" si="127"/>
        <v>2834835.84</v>
      </c>
      <c r="BW217" s="175">
        <f t="shared" si="128"/>
        <v>1078800</v>
      </c>
      <c r="BX217" s="175">
        <f t="shared" si="129"/>
        <v>459360</v>
      </c>
      <c r="BY217" s="213">
        <f t="shared" si="130"/>
        <v>7500000</v>
      </c>
      <c r="BZ217" s="220">
        <f t="shared" si="131"/>
        <v>79123100.333333328</v>
      </c>
      <c r="CA217" s="213">
        <f t="shared" si="103"/>
        <v>7678995.8399999999</v>
      </c>
      <c r="CB217" s="221">
        <f t="shared" si="132"/>
        <v>90000000</v>
      </c>
      <c r="CC217" s="222">
        <f t="shared" si="133"/>
        <v>12000000</v>
      </c>
      <c r="CD217" s="223">
        <f t="shared" si="134"/>
        <v>11.76470588235294</v>
      </c>
      <c r="CE217" s="262"/>
      <c r="CF217" s="262"/>
      <c r="CG217" s="23" t="s">
        <v>2730</v>
      </c>
      <c r="CH217" s="23" t="s">
        <v>340</v>
      </c>
      <c r="CK217" s="187"/>
      <c r="CL217" s="188"/>
    </row>
    <row r="218" spans="1:90" ht="17.25" customHeight="1">
      <c r="A218" s="23">
        <f t="shared" si="114"/>
        <v>215</v>
      </c>
      <c r="B218" s="23" t="s">
        <v>439</v>
      </c>
      <c r="C218" s="190">
        <v>2026018</v>
      </c>
      <c r="D218" s="194" t="s">
        <v>2731</v>
      </c>
      <c r="E218" s="227" t="s">
        <v>353</v>
      </c>
      <c r="F218" s="227" t="s">
        <v>2732</v>
      </c>
      <c r="G218" s="23" t="s">
        <v>204</v>
      </c>
      <c r="H218" s="227" t="s">
        <v>177</v>
      </c>
      <c r="I218" s="227" t="s">
        <v>151</v>
      </c>
      <c r="J218" s="194" t="s">
        <v>178</v>
      </c>
      <c r="K218" s="79" t="s">
        <v>708</v>
      </c>
      <c r="L218" s="227" t="s">
        <v>311</v>
      </c>
      <c r="M218" s="227"/>
      <c r="N218" s="228" t="s">
        <v>2733</v>
      </c>
      <c r="O218" s="340" t="s">
        <v>2734</v>
      </c>
      <c r="P218" s="229" t="s">
        <v>2735</v>
      </c>
      <c r="Q218" s="214">
        <v>43556</v>
      </c>
      <c r="R218" s="214">
        <v>46113</v>
      </c>
      <c r="S218" s="214"/>
      <c r="T218" s="231" t="s">
        <v>2736</v>
      </c>
      <c r="U218" s="231" t="s">
        <v>2737</v>
      </c>
      <c r="V218" s="201" t="s">
        <v>2738</v>
      </c>
      <c r="W218" s="231" t="s">
        <v>2739</v>
      </c>
      <c r="X218" s="201" t="s">
        <v>2740</v>
      </c>
      <c r="Z218" s="203">
        <f ca="1">IF(Q218&lt;&gt;"",$A$1-Q218,"")</f>
        <v>2605</v>
      </c>
      <c r="AA218" s="203">
        <f ca="1">$A$1-R218</f>
        <v>48</v>
      </c>
      <c r="AB218" s="232"/>
      <c r="AC218" s="232"/>
      <c r="AD218" s="78" t="s">
        <v>381</v>
      </c>
      <c r="AE218" s="78" t="s">
        <v>217</v>
      </c>
      <c r="AG218" s="78" t="s">
        <v>320</v>
      </c>
      <c r="AH218" s="23" t="s">
        <v>161</v>
      </c>
      <c r="AI218" s="23" t="s">
        <v>365</v>
      </c>
      <c r="AJ218" s="23" t="s">
        <v>353</v>
      </c>
      <c r="AK218" s="23">
        <v>17336</v>
      </c>
      <c r="AL218" s="78" t="s">
        <v>2717</v>
      </c>
      <c r="AM218" s="206" t="s">
        <v>2741</v>
      </c>
      <c r="AN218" s="207" t="s">
        <v>2742</v>
      </c>
      <c r="AO218" s="78" t="s">
        <v>401</v>
      </c>
      <c r="AP218" s="78" t="s">
        <v>1381</v>
      </c>
      <c r="AQ218" s="201" t="s">
        <v>895</v>
      </c>
      <c r="AR218" s="201" t="s">
        <v>654</v>
      </c>
      <c r="AS218" s="209" t="s">
        <v>1382</v>
      </c>
      <c r="AT218" s="23" t="s">
        <v>201</v>
      </c>
      <c r="AU218" s="23" t="s">
        <v>435</v>
      </c>
      <c r="AV218" s="210" t="s">
        <v>454</v>
      </c>
      <c r="AW218" s="211"/>
      <c r="AX218" s="175">
        <v>6500000</v>
      </c>
      <c r="AY218" s="212">
        <v>12</v>
      </c>
      <c r="AZ218" s="213">
        <f>AX218*AY218</f>
        <v>78000000</v>
      </c>
      <c r="BA218" s="234"/>
      <c r="BB218" s="234"/>
      <c r="BC218" s="214"/>
      <c r="BD218" s="215"/>
      <c r="BE218" s="215"/>
      <c r="BF218" s="215">
        <f>BG218*12</f>
        <v>50004000</v>
      </c>
      <c r="BG218" s="215">
        <f>BH218+BM218+BN218+BO218</f>
        <v>4167000</v>
      </c>
      <c r="BH218" s="215">
        <v>3562000</v>
      </c>
      <c r="BI218" s="216">
        <f>ROUND((BH218+BO218)/BJ218,2)</f>
        <v>18000</v>
      </c>
      <c r="BJ218" s="216">
        <f>IF(AT218="통상",209,VLOOKUP(AD218,'[2]스케줄 분석_20260109'!$B$3:$F$20,5,FALSE))</f>
        <v>209</v>
      </c>
      <c r="BK218" s="216">
        <f>IF(AT218="통상",15,VLOOKUP(AD218,'[2]스케줄 분석_20260109'!$B$3:$P$20,10,FALSE))</f>
        <v>15</v>
      </c>
      <c r="BL218" s="216">
        <f>IF(AT218="통상",0,VLOOKUP(AD218,'[2]스케줄 분석_20260109'!$B$3:$P$20,11,FALSE))</f>
        <v>0</v>
      </c>
      <c r="BM218" s="215">
        <f>IF(OR(AT218="통상",AT218="스케줄_파라"),ROUNDUP(BI218*BK218*1.5,-2),IF(OR(AT218="스케줄",AT218="휴직_스케줄"),ROUNDUP(BI218*BK218*0.5,-2),"확인바람"))</f>
        <v>405000</v>
      </c>
      <c r="BN218" s="175">
        <f>ROUNDUP(BI218*BL218*0.5,-2)</f>
        <v>0</v>
      </c>
      <c r="BO218" s="213">
        <v>200000</v>
      </c>
      <c r="BP218" s="175">
        <f>IF(OR(AT218="스케줄",AT218="스케줄_파라"),ROUNDUP(VLOOKUP(AD218,'[2]스케줄 분석_20260109'!$B$3:$Y$20,23,FALSE)*(VLOOKUP(AD218,'[2]스케줄 분석_20260109'!$B$3:$Y$20,21,FALSE)/VLOOKUP(AD218,'[2]스케줄 분석_20260109'!$B$3:$Y$20,20,FALSE))*VLOOKUP(AD218,'[2]스케줄 분석_20260109'!$B$3:$Y$20,22,FALSE)*VLOOKUP(AD218,'[2]스케줄 분석_20260109'!$B$3:$Y$20,2,FALSE)*1.5*BI218,0),0)</f>
        <v>0</v>
      </c>
      <c r="BQ218" s="217" t="str">
        <f>IF(BI218&gt;=$D$1,"적합","미달")</f>
        <v>적합</v>
      </c>
      <c r="BR218" s="213"/>
      <c r="BS218" s="218">
        <f>IF(AT218="통상",BI218*8*5,IF(OR(AT218="스케줄",AT218="스케줄_파라"),BI218*100,"확인"))</f>
        <v>720000</v>
      </c>
      <c r="BT218" s="219">
        <f>BG218+BS218/12</f>
        <v>4227000</v>
      </c>
      <c r="BU218" s="175">
        <f>(BF218-BO218*12)*0.0475</f>
        <v>2261190</v>
      </c>
      <c r="BV218" s="175">
        <f>(BF218-BO218*12)*0.036+(BF218-BO218*12)*0.036*0.1314</f>
        <v>1938929.9615999998</v>
      </c>
      <c r="BW218" s="175">
        <f>(BF218-BO218*12)*(0.009+0.0065)</f>
        <v>737862</v>
      </c>
      <c r="BX218" s="175">
        <f>(BF218-BO218*12)*0.0066</f>
        <v>314186.40000000002</v>
      </c>
      <c r="BY218" s="213">
        <f>CB218/AY218</f>
        <v>5208750</v>
      </c>
      <c r="BZ218" s="220">
        <f>SUM(BF218,BS218:BT218)</f>
        <v>54951000</v>
      </c>
      <c r="CA218" s="213">
        <f>SUM(BU218:BX218)</f>
        <v>5252168.3616000004</v>
      </c>
      <c r="CB218" s="221">
        <f>BF218*1.25</f>
        <v>62505000</v>
      </c>
      <c r="CC218" s="222">
        <f>AZ218-CB218-BP218*1.21</f>
        <v>15495000</v>
      </c>
      <c r="CD218" s="223">
        <f>IFERROR((CC218/AZ218)*100,0)</f>
        <v>19.865384615384617</v>
      </c>
      <c r="CE218" s="262"/>
      <c r="CF218" s="262"/>
      <c r="CG218" s="23" t="s">
        <v>339</v>
      </c>
      <c r="CH218" s="23" t="s">
        <v>340</v>
      </c>
      <c r="CK218" s="187"/>
      <c r="CL218" s="188"/>
    </row>
    <row r="219" spans="1:90" ht="17.25" customHeight="1">
      <c r="A219" s="23">
        <f t="shared" si="114"/>
        <v>216</v>
      </c>
      <c r="B219" s="23" t="s">
        <v>439</v>
      </c>
      <c r="C219" s="190">
        <v>2026019</v>
      </c>
      <c r="D219" s="194" t="s">
        <v>1007</v>
      </c>
      <c r="E219" s="227" t="s">
        <v>1008</v>
      </c>
      <c r="F219" s="227" t="s">
        <v>2743</v>
      </c>
      <c r="G219" s="23" t="s">
        <v>1682</v>
      </c>
      <c r="H219" s="227" t="s">
        <v>1167</v>
      </c>
      <c r="I219" s="227" t="s">
        <v>741</v>
      </c>
      <c r="J219" s="194" t="s">
        <v>178</v>
      </c>
      <c r="K219" s="79" t="s">
        <v>1401</v>
      </c>
      <c r="L219" s="227" t="s">
        <v>2744</v>
      </c>
      <c r="M219" s="227"/>
      <c r="N219" s="277" t="s">
        <v>2745</v>
      </c>
      <c r="O219" s="237" t="s">
        <v>2746</v>
      </c>
      <c r="P219" s="229" t="s">
        <v>2747</v>
      </c>
      <c r="Q219" s="214">
        <v>46113</v>
      </c>
      <c r="R219" s="214">
        <v>46113</v>
      </c>
      <c r="S219" s="214"/>
      <c r="T219" s="231" t="s">
        <v>2748</v>
      </c>
      <c r="U219" s="231" t="s">
        <v>2749</v>
      </c>
      <c r="V219" s="201" t="s">
        <v>290</v>
      </c>
      <c r="W219" s="201" t="s">
        <v>2143</v>
      </c>
      <c r="X219" s="201" t="s">
        <v>2750</v>
      </c>
      <c r="Z219" s="203">
        <f ca="1">IF(Q219&lt;&gt;"",$A$1-Q219,"")</f>
        <v>48</v>
      </c>
      <c r="AA219" s="203">
        <f ca="1">$A$1-R219</f>
        <v>48</v>
      </c>
      <c r="AB219" s="232"/>
      <c r="AC219" s="232"/>
      <c r="AD219" s="78" t="s">
        <v>1470</v>
      </c>
      <c r="AE219" s="78" t="s">
        <v>833</v>
      </c>
      <c r="AG219" s="78" t="s">
        <v>191</v>
      </c>
      <c r="AH219" s="23" t="s">
        <v>161</v>
      </c>
      <c r="AI219" s="23" t="s">
        <v>1021</v>
      </c>
      <c r="AJ219" s="23" t="s">
        <v>1008</v>
      </c>
      <c r="AK219" s="23" t="s">
        <v>1022</v>
      </c>
      <c r="AL219" s="78" t="s">
        <v>1023</v>
      </c>
      <c r="AM219" s="278">
        <v>28324</v>
      </c>
      <c r="AN219" s="279" t="s">
        <v>2751</v>
      </c>
      <c r="AO219" s="78" t="s">
        <v>401</v>
      </c>
      <c r="AP219" s="78" t="s">
        <v>1025</v>
      </c>
      <c r="AQ219" s="201" t="s">
        <v>433</v>
      </c>
      <c r="AS219" s="209" t="s">
        <v>1006</v>
      </c>
      <c r="AT219" s="23" t="s">
        <v>434</v>
      </c>
      <c r="AU219" s="23" t="s">
        <v>435</v>
      </c>
      <c r="AV219" s="210" t="s">
        <v>454</v>
      </c>
      <c r="AW219" s="211"/>
      <c r="AX219" s="175">
        <v>4179000</v>
      </c>
      <c r="AY219" s="212">
        <v>12</v>
      </c>
      <c r="AZ219" s="213">
        <f>AX219*AY219</f>
        <v>50148000</v>
      </c>
      <c r="BC219" s="214"/>
      <c r="BD219" s="215"/>
      <c r="BE219" s="215"/>
      <c r="BF219" s="215">
        <f>BG219*12</f>
        <v>27727200</v>
      </c>
      <c r="BG219" s="215">
        <f>BH219+BM219+BN219+BO219</f>
        <v>2310600</v>
      </c>
      <c r="BH219" s="215">
        <v>1824700.0000000002</v>
      </c>
      <c r="BI219" s="216">
        <f>ROUND((BH219+BO219)/BJ219,2)</f>
        <v>10320.1</v>
      </c>
      <c r="BJ219" s="216">
        <f>IF(AT219="통상",209,VLOOKUP(AD219,'[2]스케줄 분석_20260109'!$B$3:$F$20,5,FALSE))</f>
        <v>196.19</v>
      </c>
      <c r="BK219" s="216">
        <f>IF(AT219="통상",15,VLOOKUP(AD219,'[2]스케줄 분석_20260109'!$B$3:$P$20,10,FALSE))</f>
        <v>2.17</v>
      </c>
      <c r="BL219" s="216">
        <f>IF(AT219="통상",0,VLOOKUP(AD219,'[2]스케줄 분석_20260109'!$B$3:$P$20,11,FALSE))</f>
        <v>53.23</v>
      </c>
      <c r="BM219" s="215">
        <f>IF(OR(AT219="통상",AT219="스케줄_파라"),ROUNDUP(BI219*BK219*1.5,-2),IF(OR(AT219="스케줄",AT219="휴직_스케줄"),ROUNDUP(BI219*BK219*0.5,-2),"확인바람"))</f>
        <v>11200</v>
      </c>
      <c r="BN219" s="175">
        <f>ROUNDUP(BI219*BL219*0.5,-2)</f>
        <v>274700</v>
      </c>
      <c r="BO219" s="213">
        <v>200000</v>
      </c>
      <c r="BP219" s="175">
        <f>IF(OR(AT219="스케줄",AT219="스케줄_파라"),ROUNDUP(VLOOKUP(AD219,'[2]스케줄 분석_20260109'!$B$3:$Y$20,23,FALSE)*(VLOOKUP(AD219,'[2]스케줄 분석_20260109'!$B$3:$Y$20,21,FALSE)/VLOOKUP(AD219,'[2]스케줄 분석_20260109'!$B$3:$Y$20,20,FALSE))*VLOOKUP(AD219,'[2]스케줄 분석_20260109'!$B$3:$Y$20,22,FALSE)*VLOOKUP(AD219,'[2]스케줄 분석_20260109'!$B$3:$Y$20,2,FALSE)*1.5*BI219,0),0)</f>
        <v>1869229</v>
      </c>
      <c r="BQ219" s="217" t="str">
        <f>IF(BI219&gt;=$D$1,"적합","미달")</f>
        <v>적합</v>
      </c>
      <c r="BR219" s="213"/>
      <c r="BS219" s="218">
        <f>IF(AT219="통상",BI219*8*5,IF(OR(AT219="스케줄",AT219="스케줄_파라"),BI219*100,"확인"))</f>
        <v>1032010</v>
      </c>
      <c r="BT219" s="219">
        <f>BG219+BS219/12</f>
        <v>2396600.8333333335</v>
      </c>
      <c r="BU219" s="175">
        <f>(BF219-BO219*12)*0.0475</f>
        <v>1203042</v>
      </c>
      <c r="BV219" s="175">
        <f>(BF219-BO219*12)*0.036+(BF219-BO219*12)*0.036*0.1314</f>
        <v>1031586.98688</v>
      </c>
      <c r="BW219" s="175">
        <f>(BF219-BO219*12)*(0.009+0.0065)</f>
        <v>392571.6</v>
      </c>
      <c r="BX219" s="175">
        <f>(BF219-BO219*12)*0.0066</f>
        <v>167159.51999999999</v>
      </c>
      <c r="BY219" s="213">
        <f>CB219/AY219</f>
        <v>2888250</v>
      </c>
      <c r="BZ219" s="220">
        <f>SUM(BF219,BS219:BT219)</f>
        <v>31155810.833333332</v>
      </c>
      <c r="CA219" s="213">
        <f t="shared" ref="CA219" si="135">SUM(BU219:BX219)</f>
        <v>2794360.1068799999</v>
      </c>
      <c r="CB219" s="221">
        <f>BF219*1.25</f>
        <v>34659000</v>
      </c>
      <c r="CC219" s="222">
        <f>AZ219-CB219-BP219*1.21</f>
        <v>13227232.91</v>
      </c>
      <c r="CD219" s="223">
        <f>IFERROR((CC219/AZ219)*100,0)</f>
        <v>26.376391700566327</v>
      </c>
      <c r="CE219" s="283"/>
      <c r="CF219" s="283"/>
      <c r="CG219" s="23" t="s">
        <v>339</v>
      </c>
      <c r="CH219" s="23" t="s">
        <v>340</v>
      </c>
      <c r="CI219" s="111"/>
      <c r="CK219" s="187"/>
      <c r="CL219" s="188"/>
    </row>
    <row r="220" spans="1:90" ht="17.100000000000001" customHeight="1">
      <c r="A220" s="23">
        <f>ROW()-3</f>
        <v>217</v>
      </c>
      <c r="B220" s="23" t="s">
        <v>439</v>
      </c>
      <c r="C220" s="190">
        <v>2026020</v>
      </c>
      <c r="D220" s="194" t="s">
        <v>975</v>
      </c>
      <c r="E220" s="227" t="s">
        <v>976</v>
      </c>
      <c r="F220" s="227" t="s">
        <v>2752</v>
      </c>
      <c r="G220" s="23" t="s">
        <v>1724</v>
      </c>
      <c r="H220" s="227" t="s">
        <v>1167</v>
      </c>
      <c r="I220" s="227" t="s">
        <v>1204</v>
      </c>
      <c r="J220" s="194" t="s">
        <v>178</v>
      </c>
      <c r="K220" s="79" t="s">
        <v>179</v>
      </c>
      <c r="L220" s="23" t="s">
        <v>2753</v>
      </c>
      <c r="M220" s="227"/>
      <c r="N220" s="228" t="s">
        <v>2754</v>
      </c>
      <c r="O220" s="197" t="s">
        <v>2755</v>
      </c>
      <c r="P220" s="229" t="s">
        <v>2756</v>
      </c>
      <c r="Q220" s="214">
        <v>44871</v>
      </c>
      <c r="R220" s="214">
        <v>46118</v>
      </c>
      <c r="S220" s="214"/>
      <c r="T220" s="231" t="s">
        <v>2004</v>
      </c>
      <c r="U220" s="231" t="s">
        <v>2757</v>
      </c>
      <c r="V220" s="201" t="s">
        <v>334</v>
      </c>
      <c r="W220" s="200" t="s">
        <v>378</v>
      </c>
      <c r="X220" s="200"/>
      <c r="Y220" s="200"/>
      <c r="Z220" s="203">
        <f ca="1">IF(Q220&lt;&gt;"",$A$1-Q220,"")</f>
        <v>1290</v>
      </c>
      <c r="AA220" s="203">
        <f ca="1">$A$1-R220</f>
        <v>43</v>
      </c>
      <c r="AB220" s="232"/>
      <c r="AC220" s="232"/>
      <c r="AD220" s="78" t="s">
        <v>610</v>
      </c>
      <c r="AE220" s="78" t="s">
        <v>217</v>
      </c>
      <c r="AG220" s="78" t="s">
        <v>160</v>
      </c>
      <c r="AH220" s="23" t="s">
        <v>161</v>
      </c>
      <c r="AI220" s="23" t="s">
        <v>162</v>
      </c>
      <c r="AJ220" s="23" t="s">
        <v>475</v>
      </c>
      <c r="AK220" s="23">
        <v>13558</v>
      </c>
      <c r="AL220" s="78" t="s">
        <v>983</v>
      </c>
      <c r="AO220" s="78" t="s">
        <v>166</v>
      </c>
      <c r="AP220" s="78" t="s">
        <v>986</v>
      </c>
      <c r="AQ220" s="201" t="s">
        <v>2758</v>
      </c>
      <c r="AS220" s="209" t="s">
        <v>988</v>
      </c>
      <c r="AT220" s="23" t="s">
        <v>201</v>
      </c>
      <c r="AU220" s="23" t="s">
        <v>435</v>
      </c>
      <c r="AV220" s="210" t="s">
        <v>454</v>
      </c>
      <c r="AW220" s="251"/>
      <c r="AX220" s="213">
        <v>4400000</v>
      </c>
      <c r="AY220" s="212">
        <v>12</v>
      </c>
      <c r="AZ220" s="213">
        <f>AX220*AY220</f>
        <v>52800000</v>
      </c>
      <c r="BA220" s="213"/>
      <c r="BB220" s="213"/>
      <c r="BC220" s="214"/>
      <c r="BD220" s="22"/>
      <c r="BE220" s="235"/>
      <c r="BF220" s="235">
        <f>BG220*12</f>
        <v>36000000</v>
      </c>
      <c r="BG220" s="235">
        <f>BH220+BM220+BN220+BO220</f>
        <v>3000000</v>
      </c>
      <c r="BH220" s="235">
        <v>2508400</v>
      </c>
      <c r="BI220" s="312">
        <f>ROUND((BH220+BO220)/BJ220,2)</f>
        <v>12958.85</v>
      </c>
      <c r="BJ220" s="312">
        <f>IF(AT220="통상",209,VLOOKUP(AD220,'[2]스케줄 분석_20260109'!$B$3:$F$20,5,FALSE))</f>
        <v>209</v>
      </c>
      <c r="BK220" s="312">
        <f>IF(AT220="통상",15,VLOOKUP(AD220,'[2]스케줄 분석_20260109'!$B$3:$P$20,10,FALSE))</f>
        <v>15</v>
      </c>
      <c r="BL220" s="312">
        <f>IF(AT220="통상",0,VLOOKUP(AD220,'[2]스케줄 분석_20260109'!$B$3:$P$20,11,FALSE))</f>
        <v>0</v>
      </c>
      <c r="BM220" s="235">
        <f>IF(OR(AT220="통상",AT220="스케줄_파라"),ROUNDUP(BI220*BK220*1.5,-2),IF(OR(AT220="스케줄",AT220="휴직_스케줄"),ROUNDUP(BI220*BK220*0.5,-2),"확인바람"))</f>
        <v>291600</v>
      </c>
      <c r="BN220" s="213">
        <f>ROUNDUP(BI220*BL220*0.5,-2)</f>
        <v>0</v>
      </c>
      <c r="BO220" s="213">
        <v>200000</v>
      </c>
      <c r="BP220" s="213">
        <f>IF(OR(AT220="스케줄",AT220="스케줄_파라"),ROUNDUP(VLOOKUP(AD220,'[2]스케줄 분석_20260109'!$B$3:$Y$20,23,FALSE)*(VLOOKUP(AD220,'[2]스케줄 분석_20260109'!$B$3:$Y$20,21,FALSE)/VLOOKUP(AD220,'[2]스케줄 분석_20260109'!$B$3:$Y$20,20,FALSE))*VLOOKUP(AD220,'[2]스케줄 분석_20260109'!$B$3:$Y$20,22,FALSE)*VLOOKUP(AD220,'[2]스케줄 분석_20260109'!$B$3:$Y$20,2,FALSE)*1.5*BI220,0),0)</f>
        <v>0</v>
      </c>
      <c r="BQ220" s="217" t="str">
        <f>IF(BI220&gt;=$D$1,"적합","미달")</f>
        <v>적합</v>
      </c>
      <c r="BR220" s="213"/>
      <c r="BS220" s="219">
        <f>IF(AT220="통상",BI220*8*5,IF(OR(AT220="스케줄",AT220="스케줄_파라"),BI220*100,"확인"))</f>
        <v>518354</v>
      </c>
      <c r="BT220" s="219">
        <f>BG220+BS220/12</f>
        <v>3043196.1666666665</v>
      </c>
      <c r="BU220" s="213">
        <f>(BF220-BO220*12)*0.0475</f>
        <v>1596000</v>
      </c>
      <c r="BV220" s="213">
        <f>(BF220-BO220*12)*0.036+(BF220-BO220*12)*0.036*0.1314</f>
        <v>1368541.44</v>
      </c>
      <c r="BW220" s="213">
        <f>(BF220-BO220*12)*(0.009+0.0065)</f>
        <v>520800</v>
      </c>
      <c r="BX220" s="213">
        <f>(BF220-BO220*12)*0.0066</f>
        <v>221760</v>
      </c>
      <c r="BY220" s="213">
        <f>CB220/AY220</f>
        <v>3750000</v>
      </c>
      <c r="BZ220" s="220">
        <f>SUM(BF220,BS220:BT220)</f>
        <v>39561550.166666664</v>
      </c>
      <c r="CA220" s="213">
        <f>SUM(BU220:BX220)</f>
        <v>3707101.44</v>
      </c>
      <c r="CB220" s="220">
        <f>BF220*1.25</f>
        <v>45000000</v>
      </c>
      <c r="CC220" s="222">
        <f>AZ220-CB220-BP220*1.21</f>
        <v>7800000</v>
      </c>
      <c r="CD220" s="301">
        <f>IFERROR((CC220/AZ220)*100,0)</f>
        <v>14.772727272727273</v>
      </c>
      <c r="CE220" s="283"/>
      <c r="CF220" s="283"/>
      <c r="CG220" s="23" t="s">
        <v>437</v>
      </c>
      <c r="CH220" s="23" t="s">
        <v>340</v>
      </c>
      <c r="CK220" s="187"/>
      <c r="CL220" s="188"/>
    </row>
    <row r="222" spans="1:90" ht="17.100000000000001" customHeight="1">
      <c r="C222" s="190"/>
      <c r="D222" s="194"/>
      <c r="E222" s="227"/>
      <c r="F222" s="341" t="s">
        <v>2759</v>
      </c>
      <c r="G222" s="342"/>
      <c r="H222" s="227"/>
      <c r="I222" s="227"/>
      <c r="J222" s="194"/>
      <c r="K222" s="297"/>
      <c r="L222" s="248"/>
      <c r="M222" s="227"/>
      <c r="N222" s="228"/>
      <c r="O222" s="194"/>
      <c r="P222" s="229"/>
      <c r="Q222" s="214"/>
      <c r="R222" s="214"/>
      <c r="S222" s="214"/>
      <c r="T222" s="231"/>
      <c r="U222" s="231"/>
      <c r="W222" s="231"/>
      <c r="Z222" s="203"/>
      <c r="AA222" s="203"/>
      <c r="AB222" s="232"/>
      <c r="AC222" s="232"/>
      <c r="AN222" s="194"/>
      <c r="AS222" s="209"/>
      <c r="AW222" s="213"/>
      <c r="AX222" s="251"/>
      <c r="AY222" s="212"/>
      <c r="AZ222" s="213"/>
      <c r="BC222" s="214"/>
      <c r="BD222" s="343"/>
      <c r="BE222" s="235"/>
      <c r="BF222" s="344" t="s">
        <v>2760</v>
      </c>
      <c r="BG222" s="235"/>
      <c r="BH222" s="213"/>
      <c r="BI222" s="312"/>
      <c r="BJ222" s="312"/>
      <c r="BK222" s="312"/>
      <c r="BL222" s="312"/>
      <c r="BM222" s="213"/>
      <c r="BN222" s="213"/>
      <c r="BO222" s="213"/>
      <c r="BP222" s="345"/>
      <c r="BQ222" s="217"/>
      <c r="BR222" s="213"/>
      <c r="BS222" s="219"/>
      <c r="BT222" s="219"/>
      <c r="BU222" s="213"/>
      <c r="BV222" s="213"/>
      <c r="BW222" s="213"/>
      <c r="BX222" s="213"/>
      <c r="BY222" s="213"/>
      <c r="BZ222" s="220"/>
      <c r="CA222" s="213"/>
      <c r="CB222" s="220"/>
      <c r="CC222" s="222"/>
      <c r="CD222" s="301"/>
    </row>
    <row r="223" spans="1:90" ht="17.25" customHeight="1">
      <c r="A223" s="23">
        <f>ROW()-3</f>
        <v>220</v>
      </c>
      <c r="B223" s="23" t="s">
        <v>439</v>
      </c>
      <c r="C223" s="286"/>
      <c r="D223" s="194" t="s">
        <v>989</v>
      </c>
      <c r="E223" s="227" t="s">
        <v>990</v>
      </c>
      <c r="F223" s="227" t="s">
        <v>2761</v>
      </c>
      <c r="G223" s="23" t="s">
        <v>412</v>
      </c>
      <c r="H223" s="227" t="s">
        <v>1167</v>
      </c>
      <c r="I223" s="227" t="s">
        <v>741</v>
      </c>
      <c r="J223" s="194" t="s">
        <v>178</v>
      </c>
      <c r="K223" s="79" t="s">
        <v>1401</v>
      </c>
      <c r="L223" s="227" t="s">
        <v>2762</v>
      </c>
      <c r="N223" s="263" t="s">
        <v>2763</v>
      </c>
      <c r="O223" s="340" t="s">
        <v>2764</v>
      </c>
      <c r="P223" s="229" t="s">
        <v>2765</v>
      </c>
      <c r="Q223" s="214">
        <v>46125</v>
      </c>
      <c r="R223" s="214">
        <v>46125</v>
      </c>
      <c r="S223" s="214"/>
      <c r="T223" s="231" t="s">
        <v>2766</v>
      </c>
      <c r="U223" s="231" t="s">
        <v>2767</v>
      </c>
      <c r="V223" s="201" t="s">
        <v>290</v>
      </c>
      <c r="W223" s="201" t="s">
        <v>425</v>
      </c>
      <c r="Z223" s="203">
        <f ca="1">IF(Q223&lt;&gt;"",$A$1-Q223,"")</f>
        <v>36</v>
      </c>
      <c r="AA223" s="203">
        <f t="shared" ref="AA223:AA224" ca="1" si="136">$A$1-R223</f>
        <v>36</v>
      </c>
      <c r="AB223" s="232"/>
      <c r="AC223" s="232"/>
      <c r="AD223" s="78" t="s">
        <v>1835</v>
      </c>
      <c r="AE223" s="78" t="s">
        <v>217</v>
      </c>
      <c r="AG223" s="78" t="s">
        <v>191</v>
      </c>
      <c r="AH223" s="23" t="s">
        <v>161</v>
      </c>
      <c r="AI223" s="23" t="s">
        <v>365</v>
      </c>
      <c r="AJ223" s="23" t="s">
        <v>990</v>
      </c>
      <c r="AK223" s="23" t="s">
        <v>1000</v>
      </c>
      <c r="AL223" s="78" t="s">
        <v>1001</v>
      </c>
      <c r="AM223" s="206" t="s">
        <v>2768</v>
      </c>
      <c r="AN223" s="207" t="s">
        <v>2769</v>
      </c>
      <c r="AO223" s="78" t="s">
        <v>401</v>
      </c>
      <c r="AP223" s="78" t="s">
        <v>1038</v>
      </c>
      <c r="AQ223" s="201" t="s">
        <v>433</v>
      </c>
      <c r="AS223" s="209" t="s">
        <v>1006</v>
      </c>
      <c r="AT223" s="23" t="s">
        <v>434</v>
      </c>
      <c r="AU223" s="23" t="s">
        <v>435</v>
      </c>
      <c r="AV223" s="210" t="s">
        <v>454</v>
      </c>
      <c r="AW223" s="211"/>
      <c r="AX223" s="175">
        <v>4138000</v>
      </c>
      <c r="AY223" s="212">
        <v>12</v>
      </c>
      <c r="AZ223" s="213">
        <f t="shared" ref="AZ223:AZ224" si="137">AX223*AY223</f>
        <v>49656000</v>
      </c>
      <c r="BA223" s="251"/>
      <c r="BB223" s="251"/>
      <c r="BC223" s="214"/>
      <c r="BD223" s="215"/>
      <c r="BE223" s="215"/>
      <c r="BF223" s="215">
        <f t="shared" ref="BF223:BF224" si="138">BG223*12</f>
        <v>27967200</v>
      </c>
      <c r="BG223" s="215">
        <f t="shared" ref="BG223:BG224" si="139">BH223+BM223+BN223+BO223</f>
        <v>2330600</v>
      </c>
      <c r="BH223" s="215">
        <v>1698900.0000000002</v>
      </c>
      <c r="BI223" s="216">
        <f t="shared" ref="BI223:BI224" si="140">ROUND((BH223+BO223)/BJ223,2)</f>
        <v>10320.11</v>
      </c>
      <c r="BJ223" s="216">
        <f>IF(AT223="통상",209,VLOOKUP(AD223,'[2]스케줄 분석_20260109'!$B$3:$F$20,5,FALSE))</f>
        <v>184</v>
      </c>
      <c r="BK223" s="216">
        <f>IF(AT223="통상",15,VLOOKUP(AD223,'[2]스케줄 분석_20260109'!$B$3:$P$20,10,FALSE))</f>
        <v>38.020000000000003</v>
      </c>
      <c r="BL223" s="216">
        <f>IF(AT223="통상",0,VLOOKUP(AD223,'[2]스케줄 분석_20260109'!$B$3:$P$20,11,FALSE))</f>
        <v>45.63</v>
      </c>
      <c r="BM223" s="215">
        <f t="shared" ref="BM223:BM224" si="141">IF(OR(AT223="통상",AT223="스케줄_파라"),ROUNDUP(BI223*BK223*1.5,-2),IF(OR(AT223="스케줄",AT223="휴직_스케줄"),ROUNDUP(BI223*BK223*0.5,-2),"확인바람"))</f>
        <v>196200</v>
      </c>
      <c r="BN223" s="175">
        <f t="shared" ref="BN223:BN224" si="142">ROUNDUP(BI223*BL223*0.5,-2)</f>
        <v>235500</v>
      </c>
      <c r="BO223" s="213">
        <v>200000</v>
      </c>
      <c r="BP223" s="175">
        <f>IF(OR(AT223="스케줄",AT223="스케줄_파라"),ROUNDUP(VLOOKUP(AD223,'[2]스케줄 분석_20260109'!$B$3:$Y$20,23,FALSE)*(VLOOKUP(AD223,'[2]스케줄 분석_20260109'!$B$3:$Y$20,21,FALSE)/VLOOKUP(AD223,'[2]스케줄 분석_20260109'!$B$3:$Y$20,20,FALSE))*VLOOKUP(AD223,'[2]스케줄 분석_20260109'!$B$3:$Y$20,22,FALSE)*VLOOKUP(AD223,'[2]스케줄 분석_20260109'!$B$3:$Y$20,2,FALSE)*1.5*BI223,0),0)</f>
        <v>1869230</v>
      </c>
      <c r="BQ223" s="217" t="str">
        <f t="shared" ref="BQ223:BQ224" si="143">IF(BI223&gt;=$D$1,"적합","미달")</f>
        <v>적합</v>
      </c>
      <c r="BR223" s="213"/>
      <c r="BS223" s="218">
        <f t="shared" ref="BS223:BS224" si="144">IF(AT223="통상",BI223*8*5,IF(OR(AT223="스케줄",AT223="스케줄_파라"),BI223*100,"확인"))</f>
        <v>1032011</v>
      </c>
      <c r="BT223" s="219">
        <f t="shared" ref="BT223:BT224" si="145">BG223+BS223/12</f>
        <v>2416600.9166666665</v>
      </c>
      <c r="BU223" s="175">
        <f t="shared" ref="BU223:BU224" si="146">(BF223-BO223*12)*0.0475</f>
        <v>1214442</v>
      </c>
      <c r="BV223" s="175">
        <f t="shared" ref="BV223:BV224" si="147">(BF223-BO223*12)*0.036+(BF223-BO223*12)*0.036*0.1314</f>
        <v>1041362.28288</v>
      </c>
      <c r="BW223" s="175">
        <f t="shared" ref="BW223:BW224" si="148">(BF223-BO223*12)*(0.009+0.0065)</f>
        <v>396291.6</v>
      </c>
      <c r="BX223" s="175">
        <f t="shared" ref="BX223:BX224" si="149">(BF223-BO223*12)*0.0066</f>
        <v>168743.52</v>
      </c>
      <c r="BY223" s="213">
        <f t="shared" ref="BY223:BY224" si="150">CB223/AY223</f>
        <v>2913250</v>
      </c>
      <c r="BZ223" s="220">
        <f t="shared" ref="BZ223:BZ224" si="151">SUM(BF223,BS223:BT223)</f>
        <v>31415811.916666668</v>
      </c>
      <c r="CA223" s="213">
        <f t="shared" ref="CA223:CA224" si="152">SUM(BU223:BX223)</f>
        <v>2820839.40288</v>
      </c>
      <c r="CB223" s="221">
        <f t="shared" ref="CB223:CB224" si="153">BF223*1.25</f>
        <v>34959000</v>
      </c>
      <c r="CC223" s="222">
        <f t="shared" ref="CC223:CC224" si="154">AZ223-CB223-BP223*1.21</f>
        <v>12435231.699999999</v>
      </c>
      <c r="CD223" s="223">
        <f t="shared" ref="CD223:CD224" si="155">IFERROR((CC223/AZ223)*100,0)</f>
        <v>25.042757572096018</v>
      </c>
      <c r="CE223" s="299"/>
      <c r="CF223" s="299"/>
      <c r="CG223" s="23" t="s">
        <v>339</v>
      </c>
      <c r="CH223" s="23" t="s">
        <v>340</v>
      </c>
      <c r="CI223" s="111"/>
      <c r="CK223" s="187"/>
      <c r="CL223" s="188"/>
    </row>
    <row r="224" spans="1:90" ht="17.25" customHeight="1">
      <c r="A224" s="23">
        <f t="shared" si="114"/>
        <v>221</v>
      </c>
      <c r="B224" s="23" t="s">
        <v>439</v>
      </c>
      <c r="C224" s="190"/>
      <c r="D224" s="194" t="s">
        <v>989</v>
      </c>
      <c r="E224" s="227" t="s">
        <v>990</v>
      </c>
      <c r="F224" s="23" t="s">
        <v>2770</v>
      </c>
      <c r="G224" s="23" t="s">
        <v>1682</v>
      </c>
      <c r="H224" s="227" t="s">
        <v>1167</v>
      </c>
      <c r="I224" s="227" t="s">
        <v>1204</v>
      </c>
      <c r="J224" s="194" t="s">
        <v>178</v>
      </c>
      <c r="K224" s="79" t="s">
        <v>1401</v>
      </c>
      <c r="L224" s="23" t="s">
        <v>2771</v>
      </c>
      <c r="N224" s="23" t="s">
        <v>2772</v>
      </c>
      <c r="O224" s="237" t="s">
        <v>2773</v>
      </c>
      <c r="Q224" s="214">
        <v>46125</v>
      </c>
      <c r="R224" s="214">
        <v>46125</v>
      </c>
      <c r="T224" s="307" t="s">
        <v>2774</v>
      </c>
      <c r="U224" s="241" t="s">
        <v>2775</v>
      </c>
      <c r="V224" s="201" t="s">
        <v>2776</v>
      </c>
      <c r="Z224" s="203">
        <f ca="1">IF(Q224&lt;&gt;"",$A$1-Q224,"")</f>
        <v>36</v>
      </c>
      <c r="AA224" s="203">
        <f t="shared" ca="1" si="136"/>
        <v>36</v>
      </c>
      <c r="AB224" s="308"/>
      <c r="AC224" s="232"/>
      <c r="AD224" s="78" t="s">
        <v>1835</v>
      </c>
      <c r="AE224" s="78" t="s">
        <v>217</v>
      </c>
      <c r="AG224" s="78" t="s">
        <v>191</v>
      </c>
      <c r="AH224" s="23" t="s">
        <v>161</v>
      </c>
      <c r="AI224" s="23" t="s">
        <v>365</v>
      </c>
      <c r="AJ224" s="23" t="s">
        <v>990</v>
      </c>
      <c r="AK224" s="23" t="s">
        <v>1000</v>
      </c>
      <c r="AL224" s="78" t="s">
        <v>1001</v>
      </c>
      <c r="AM224" s="269" t="s">
        <v>2777</v>
      </c>
      <c r="AN224" s="78" t="s">
        <v>2778</v>
      </c>
      <c r="AO224" s="78" t="s">
        <v>401</v>
      </c>
      <c r="AP224" s="78" t="s">
        <v>1038</v>
      </c>
      <c r="AQ224" s="201" t="s">
        <v>433</v>
      </c>
      <c r="AS224" s="209" t="s">
        <v>1006</v>
      </c>
      <c r="AT224" s="23" t="s">
        <v>434</v>
      </c>
      <c r="AU224" s="23" t="s">
        <v>435</v>
      </c>
      <c r="AV224" s="210" t="s">
        <v>454</v>
      </c>
      <c r="AW224" s="211"/>
      <c r="AX224" s="175">
        <v>4138000</v>
      </c>
      <c r="AY224" s="212">
        <v>12</v>
      </c>
      <c r="AZ224" s="213">
        <f t="shared" si="137"/>
        <v>49656000</v>
      </c>
      <c r="BC224" s="214"/>
      <c r="BD224" s="215"/>
      <c r="BE224" s="215"/>
      <c r="BF224" s="215">
        <f t="shared" si="138"/>
        <v>27967200</v>
      </c>
      <c r="BG224" s="215">
        <f t="shared" si="139"/>
        <v>2330600</v>
      </c>
      <c r="BH224" s="215">
        <v>1698900.0000000002</v>
      </c>
      <c r="BI224" s="216">
        <f t="shared" si="140"/>
        <v>10320.11</v>
      </c>
      <c r="BJ224" s="216">
        <f>IF(AT224="통상",209,VLOOKUP(AD224,'[2]스케줄 분석_20260109'!$B$3:$F$20,5,FALSE))</f>
        <v>184</v>
      </c>
      <c r="BK224" s="216">
        <f>IF(AT224="통상",15,VLOOKUP(AD224,'[2]스케줄 분석_20260109'!$B$3:$P$20,10,FALSE))</f>
        <v>38.020000000000003</v>
      </c>
      <c r="BL224" s="216">
        <f>IF(AT224="통상",0,VLOOKUP(AD224,'[2]스케줄 분석_20260109'!$B$3:$P$20,11,FALSE))</f>
        <v>45.63</v>
      </c>
      <c r="BM224" s="215">
        <f t="shared" si="141"/>
        <v>196200</v>
      </c>
      <c r="BN224" s="175">
        <f t="shared" si="142"/>
        <v>235500</v>
      </c>
      <c r="BO224" s="213">
        <v>200000</v>
      </c>
      <c r="BP224" s="175">
        <f>IF(OR(AT224="스케줄",AT224="스케줄_파라"),ROUNDUP(VLOOKUP(AD224,'[2]스케줄 분석_20260109'!$B$3:$Y$20,23,FALSE)*(VLOOKUP(AD224,'[2]스케줄 분석_20260109'!$B$3:$Y$20,21,FALSE)/VLOOKUP(AD224,'[2]스케줄 분석_20260109'!$B$3:$Y$20,20,FALSE))*VLOOKUP(AD224,'[2]스케줄 분석_20260109'!$B$3:$Y$20,22,FALSE)*VLOOKUP(AD224,'[2]스케줄 분석_20260109'!$B$3:$Y$20,2,FALSE)*1.5*BI224,0),0)</f>
        <v>1869230</v>
      </c>
      <c r="BQ224" s="217" t="str">
        <f t="shared" si="143"/>
        <v>적합</v>
      </c>
      <c r="BR224" s="213"/>
      <c r="BS224" s="218">
        <f t="shared" si="144"/>
        <v>1032011</v>
      </c>
      <c r="BT224" s="219">
        <f t="shared" si="145"/>
        <v>2416600.9166666665</v>
      </c>
      <c r="BU224" s="175">
        <f t="shared" si="146"/>
        <v>1214442</v>
      </c>
      <c r="BV224" s="175">
        <f t="shared" si="147"/>
        <v>1041362.28288</v>
      </c>
      <c r="BW224" s="175">
        <f t="shared" si="148"/>
        <v>396291.6</v>
      </c>
      <c r="BX224" s="175">
        <f t="shared" si="149"/>
        <v>168743.52</v>
      </c>
      <c r="BY224" s="213">
        <f t="shared" si="150"/>
        <v>2913250</v>
      </c>
      <c r="BZ224" s="220">
        <f t="shared" si="151"/>
        <v>31415811.916666668</v>
      </c>
      <c r="CA224" s="213">
        <f t="shared" si="152"/>
        <v>2820839.40288</v>
      </c>
      <c r="CB224" s="221">
        <f t="shared" si="153"/>
        <v>34959000</v>
      </c>
      <c r="CC224" s="222">
        <f t="shared" si="154"/>
        <v>12435231.699999999</v>
      </c>
      <c r="CD224" s="223">
        <f t="shared" si="155"/>
        <v>25.042757572096018</v>
      </c>
      <c r="CG224" s="23" t="s">
        <v>339</v>
      </c>
      <c r="CH224" s="23" t="s">
        <v>340</v>
      </c>
      <c r="CK224" s="187"/>
      <c r="CL224" s="188"/>
    </row>
    <row r="225" spans="2:90" ht="17.25" customHeight="1">
      <c r="C225" s="190"/>
      <c r="D225" s="194"/>
      <c r="E225" s="227"/>
      <c r="F225" s="227"/>
      <c r="H225" s="227"/>
      <c r="I225" s="227"/>
      <c r="J225" s="194"/>
      <c r="K225" s="79"/>
      <c r="L225" s="227"/>
      <c r="M225" s="227"/>
      <c r="N225" s="228"/>
      <c r="O225"/>
      <c r="P225" s="229"/>
      <c r="Q225" s="214"/>
      <c r="R225" s="214"/>
      <c r="S225" s="214"/>
      <c r="T225" s="231"/>
      <c r="U225" s="231"/>
      <c r="W225" s="231"/>
      <c r="Z225" s="203"/>
      <c r="AA225" s="203"/>
      <c r="AB225" s="232"/>
      <c r="AC225" s="232"/>
      <c r="AN225" s="194"/>
      <c r="AS225" s="209"/>
      <c r="AV225" s="210"/>
      <c r="AW225" s="211"/>
      <c r="AX225" s="213"/>
      <c r="AY225" s="212"/>
      <c r="AZ225" s="213"/>
      <c r="BA225" s="234"/>
      <c r="BB225" s="234"/>
      <c r="BC225" s="214"/>
      <c r="BD225" s="235"/>
      <c r="BE225" s="235"/>
      <c r="BF225" s="235"/>
      <c r="BG225" s="235"/>
      <c r="BH225" s="235"/>
      <c r="BI225" s="312"/>
      <c r="BJ225" s="312"/>
      <c r="BK225" s="312"/>
      <c r="BL225" s="312"/>
      <c r="BM225" s="235"/>
      <c r="BN225" s="213"/>
      <c r="BO225" s="213"/>
      <c r="BP225" s="213"/>
      <c r="BQ225" s="217"/>
      <c r="BR225" s="213"/>
      <c r="BS225" s="219"/>
      <c r="BT225" s="219"/>
      <c r="BU225" s="213"/>
      <c r="BV225" s="213"/>
      <c r="BW225" s="213"/>
      <c r="BX225" s="213"/>
      <c r="BY225" s="213"/>
      <c r="BZ225" s="220"/>
      <c r="CA225" s="213"/>
      <c r="CB225" s="220"/>
      <c r="CC225" s="222"/>
      <c r="CD225" s="301"/>
      <c r="CE225" s="262"/>
      <c r="CF225" s="262"/>
      <c r="CK225" s="187"/>
      <c r="CL225" s="188"/>
    </row>
    <row r="226" spans="2:90" ht="18" customHeight="1">
      <c r="B226" s="201" t="s">
        <v>2779</v>
      </c>
      <c r="D226" s="248" t="s">
        <v>2780</v>
      </c>
      <c r="N226" s="228"/>
      <c r="BC226" s="78"/>
      <c r="BD226" s="346"/>
      <c r="BG226" s="78"/>
      <c r="BH226" s="271"/>
      <c r="BN226" s="222"/>
      <c r="BO226" s="223"/>
      <c r="BP226" s="77"/>
      <c r="BS226" s="347" t="s">
        <v>2781</v>
      </c>
      <c r="CC226" s="222"/>
      <c r="CD226" s="223"/>
    </row>
    <row r="227" spans="2:90" ht="18" customHeight="1">
      <c r="B227" s="201" t="s">
        <v>2782</v>
      </c>
      <c r="C227" s="348"/>
      <c r="D227" s="349" t="s">
        <v>2780</v>
      </c>
      <c r="AF227"/>
      <c r="AG227"/>
      <c r="AH227"/>
      <c r="BC227" s="78"/>
      <c r="BD227" s="346"/>
      <c r="BG227" s="78"/>
      <c r="BH227" s="271"/>
      <c r="BN227" s="222"/>
      <c r="BO227" s="223"/>
      <c r="BP227" s="77"/>
      <c r="BS227" s="347"/>
      <c r="CC227" s="222"/>
      <c r="CD227" s="223"/>
    </row>
    <row r="228" spans="2:90">
      <c r="B228" s="201" t="s">
        <v>2783</v>
      </c>
      <c r="C228" s="190"/>
      <c r="D228" s="350" t="s">
        <v>2784</v>
      </c>
      <c r="E228" s="227"/>
      <c r="F228" s="227"/>
      <c r="H228" s="227"/>
      <c r="I228" s="227"/>
      <c r="J228" s="194"/>
      <c r="K228" s="79"/>
      <c r="L228" s="227"/>
      <c r="M228" s="227"/>
      <c r="N228" s="228"/>
      <c r="O228" s="197"/>
      <c r="P228" s="239"/>
      <c r="Q228" s="214"/>
      <c r="R228" s="214"/>
      <c r="S228" s="214"/>
      <c r="T228" s="231"/>
      <c r="U228" s="231"/>
      <c r="Z228" s="203"/>
      <c r="AA228" s="203"/>
      <c r="AB228" s="232"/>
      <c r="AC228" s="232"/>
      <c r="AJ228" s="227"/>
      <c r="AM228" s="206"/>
      <c r="AN228" s="207"/>
      <c r="AQ228" s="78"/>
      <c r="AR228" s="78"/>
      <c r="AS228" s="209"/>
      <c r="AV228" s="210"/>
      <c r="AW228" s="252"/>
      <c r="AX228" s="213"/>
      <c r="AY228" s="212"/>
      <c r="AZ228" s="213"/>
      <c r="BC228" s="214"/>
      <c r="BD228" s="235"/>
      <c r="BE228" s="332"/>
      <c r="BF228" s="235"/>
      <c r="BG228" s="235"/>
      <c r="BH228" s="235"/>
      <c r="BI228" s="312"/>
      <c r="BJ228" s="312"/>
      <c r="BK228" s="312"/>
      <c r="BL228" s="312"/>
      <c r="BM228" s="235"/>
      <c r="BN228" s="213"/>
      <c r="BO228" s="213"/>
      <c r="BP228" s="213"/>
      <c r="BQ228" s="217"/>
      <c r="BR228" s="213"/>
      <c r="BS228" s="219"/>
      <c r="BT228" s="219"/>
      <c r="BU228" s="213"/>
      <c r="BV228" s="213"/>
      <c r="BW228" s="213"/>
      <c r="BX228" s="213"/>
      <c r="BY228" s="213"/>
      <c r="BZ228" s="220"/>
      <c r="CA228" s="213"/>
      <c r="CB228" s="220"/>
      <c r="CC228" s="222"/>
      <c r="CD228" s="301"/>
      <c r="CE228" s="262"/>
      <c r="CF228" s="262"/>
      <c r="CK228" s="187"/>
      <c r="CL228" s="188"/>
    </row>
    <row r="229" spans="2:90">
      <c r="C229" s="190"/>
      <c r="D229" s="194"/>
      <c r="E229" s="227"/>
      <c r="F229" s="227"/>
      <c r="H229" s="227"/>
      <c r="I229" s="227"/>
      <c r="J229" s="194"/>
      <c r="K229" s="79"/>
      <c r="L229" s="227"/>
      <c r="M229" s="227"/>
      <c r="N229" s="228"/>
      <c r="O229" s="197"/>
      <c r="Q229" s="214"/>
      <c r="R229" s="214"/>
      <c r="S229" s="214"/>
      <c r="T229" s="231"/>
      <c r="U229" s="231"/>
      <c r="W229" s="231"/>
      <c r="Z229" s="203" t="str">
        <f>IF(Q229&lt;&gt;"",$A$1-Q229,"")</f>
        <v/>
      </c>
      <c r="AA229" s="203">
        <f ca="1">$A$1-R229</f>
        <v>46161</v>
      </c>
      <c r="AB229" s="232"/>
      <c r="AC229" s="232"/>
      <c r="AD229" s="78" t="s">
        <v>714</v>
      </c>
      <c r="AE229" s="78" t="s">
        <v>217</v>
      </c>
      <c r="AF229" s="78" t="s">
        <v>160</v>
      </c>
      <c r="AG229" s="78" t="s">
        <v>160</v>
      </c>
      <c r="AH229" s="23" t="s">
        <v>161</v>
      </c>
      <c r="AI229" s="23" t="s">
        <v>1560</v>
      </c>
      <c r="AJ229" s="23" t="s">
        <v>483</v>
      </c>
      <c r="AK229" s="23">
        <v>13486</v>
      </c>
      <c r="AL229" s="78" t="s">
        <v>163</v>
      </c>
      <c r="AN229" s="194"/>
      <c r="AO229" s="78" t="s">
        <v>166</v>
      </c>
      <c r="AP229" s="78" t="s">
        <v>486</v>
      </c>
      <c r="AQ229" s="201" t="s">
        <v>717</v>
      </c>
      <c r="AS229" s="209" t="s">
        <v>488</v>
      </c>
      <c r="AT229" s="23" t="s">
        <v>201</v>
      </c>
      <c r="AU229" s="23" t="s">
        <v>435</v>
      </c>
      <c r="AV229" s="210" t="s">
        <v>454</v>
      </c>
      <c r="AW229" s="211"/>
      <c r="AX229" s="213">
        <v>6500000</v>
      </c>
      <c r="AY229" s="212">
        <v>12</v>
      </c>
      <c r="AZ229" s="213">
        <f>AX229*AY229</f>
        <v>78000000</v>
      </c>
      <c r="BA229" s="213"/>
      <c r="BB229" s="213"/>
      <c r="BC229" s="230"/>
      <c r="BD229" s="235"/>
      <c r="BE229" s="235"/>
      <c r="BF229" s="339">
        <f>BG229*12</f>
        <v>55000000.000000007</v>
      </c>
      <c r="BG229" s="235">
        <f>BH229+BM229+BN229+BO229</f>
        <v>4583333.333333334</v>
      </c>
      <c r="BH229" s="235">
        <v>3937833.333333334</v>
      </c>
      <c r="BI229" s="312">
        <f>ROUND((BH229+BO229)/BJ229,2)</f>
        <v>19798.25</v>
      </c>
      <c r="BJ229" s="312">
        <f>IF(AT229="통상",209,VLOOKUP(AD229,'[2]스케줄 분석_20260109'!$B$3:$F$20,5,FALSE))</f>
        <v>209</v>
      </c>
      <c r="BK229" s="312">
        <f>IF(AT229="통상",15,VLOOKUP(AD229,'[2]스케줄 분석_20260109'!$B$3:$P$20,10,FALSE))</f>
        <v>15</v>
      </c>
      <c r="BL229" s="312">
        <f>IF(AT229="통상",0,VLOOKUP(AD229,'[2]스케줄 분석_20260109'!$B$3:$P$20,11,FALSE))</f>
        <v>0</v>
      </c>
      <c r="BM229" s="235">
        <f>IF(OR(AT229="통상",AT229="스케줄_파라"),ROUNDUP(BI229*BK229*1.5,-2),IF(OR(AT229="스케줄",AT229="휴직_스케줄"),ROUNDUP(BI229*BK229*0.5,-2),"확인바람"))</f>
        <v>445500</v>
      </c>
      <c r="BN229" s="213">
        <f>ROUNDUP(BI229*BL229*0.5,-2)</f>
        <v>0</v>
      </c>
      <c r="BO229" s="213">
        <v>200000</v>
      </c>
      <c r="BP229" s="213">
        <f>IF(OR(AT229="스케줄",AT229="스케줄_파라"),ROUNDUP(VLOOKUP(AD229,'[2]스케줄 분석_20260109'!$B$3:$Y$20,23,FALSE)*(VLOOKUP(AD229,'[2]스케줄 분석_20260109'!$B$3:$Y$20,21,FALSE)/VLOOKUP(AD229,'[2]스케줄 분석_20260109'!$B$3:$Y$20,20,FALSE))*VLOOKUP(AD229,'[2]스케줄 분석_20260109'!$B$3:$Y$20,22,FALSE)*VLOOKUP(AD229,'[2]스케줄 분석_20260109'!$B$3:$Y$20,2,FALSE)*1.5*BI229,0),0)</f>
        <v>0</v>
      </c>
      <c r="BQ229" s="217" t="str">
        <f>IF(BI229&gt;=$D$1,"적합","미달")</f>
        <v>적합</v>
      </c>
      <c r="BR229" s="213"/>
      <c r="BS229" s="219">
        <f>IF(AT229="통상",BI229*8*5,IF(OR(AT229="스케줄",AT229="스케줄_파라"),BI229*100,"확인"))</f>
        <v>791930</v>
      </c>
      <c r="BT229" s="219">
        <f>BG229+BS229/12</f>
        <v>4649327.5000000009</v>
      </c>
      <c r="BU229" s="213">
        <f>(BF229-BO229*12)*0.0475</f>
        <v>2498500.0000000005</v>
      </c>
      <c r="BV229" s="213">
        <f>(BF229-BO229*12)*0.036+(BF229-BO229*12)*0.036*0.1314</f>
        <v>2142419.04</v>
      </c>
      <c r="BW229" s="213">
        <f>(BF229-BO229*12)*(0.009+0.0065)</f>
        <v>815300.00000000012</v>
      </c>
      <c r="BX229" s="213">
        <f>(BF229-BO229*12)*0.0066</f>
        <v>347160.00000000006</v>
      </c>
      <c r="BY229" s="213">
        <f>CB229/AY229</f>
        <v>5729166.6666666679</v>
      </c>
      <c r="BZ229" s="220">
        <f>SUM(BF229,BS229:BT229)</f>
        <v>60441257.500000007</v>
      </c>
      <c r="CA229" s="213">
        <f>SUM(BU229:BX229)</f>
        <v>5803379.040000001</v>
      </c>
      <c r="CB229" s="220">
        <f>BF229*1.25</f>
        <v>68750000.000000015</v>
      </c>
      <c r="CC229" s="222">
        <f>AZ229-CB229-BP229*1.21</f>
        <v>9249999.9999999851</v>
      </c>
      <c r="CD229" s="301">
        <f>IFERROR((CC229/AZ229)*100,0)</f>
        <v>11.85897435897434</v>
      </c>
      <c r="CG229" s="23" t="s">
        <v>1733</v>
      </c>
      <c r="CH229" s="23" t="s">
        <v>438</v>
      </c>
      <c r="CK229" s="187"/>
      <c r="CL229" s="188"/>
    </row>
    <row r="230" spans="2:90">
      <c r="O230" s="227"/>
      <c r="AF230"/>
      <c r="AG230"/>
      <c r="AH230"/>
    </row>
    <row r="231" spans="2:90">
      <c r="O231" s="227"/>
      <c r="AF231"/>
      <c r="AG231"/>
      <c r="AH231"/>
    </row>
    <row r="232" spans="2:90">
      <c r="O232" s="227"/>
      <c r="AF232"/>
      <c r="AG232"/>
      <c r="AH232"/>
    </row>
    <row r="233" spans="2:90">
      <c r="O233" s="227"/>
    </row>
    <row r="234" spans="2:90">
      <c r="O234" s="227"/>
      <c r="AX234" s="318" t="s">
        <v>445</v>
      </c>
    </row>
    <row r="235" spans="2:90">
      <c r="O235" s="227"/>
    </row>
    <row r="236" spans="2:90">
      <c r="O236" s="227"/>
    </row>
    <row r="237" spans="2:90">
      <c r="O237" s="227"/>
    </row>
    <row r="238" spans="2:90">
      <c r="O238" s="227"/>
    </row>
    <row r="239" spans="2:90">
      <c r="O239" s="227"/>
    </row>
    <row r="240" spans="2:90">
      <c r="O240" s="227"/>
    </row>
    <row r="241" spans="15:15">
      <c r="O241" s="227"/>
    </row>
    <row r="242" spans="15:15">
      <c r="O242" s="227"/>
    </row>
    <row r="243" spans="15:15">
      <c r="O243" s="227"/>
    </row>
    <row r="244" spans="15:15">
      <c r="O244" s="227"/>
    </row>
    <row r="245" spans="15:15">
      <c r="O245" s="227"/>
    </row>
    <row r="246" spans="15:15">
      <c r="O246" s="227"/>
    </row>
    <row r="247" spans="15:15">
      <c r="O247" s="227"/>
    </row>
    <row r="248" spans="15:15">
      <c r="O248" s="227"/>
    </row>
    <row r="249" spans="15:15">
      <c r="O249" s="227"/>
    </row>
    <row r="250" spans="15:15">
      <c r="O250" s="227"/>
    </row>
    <row r="251" spans="15:15">
      <c r="O251" s="227"/>
    </row>
    <row r="252" spans="15:15">
      <c r="O252" s="227"/>
    </row>
    <row r="253" spans="15:15">
      <c r="O253" s="227"/>
    </row>
    <row r="254" spans="15:15">
      <c r="O254" s="227"/>
    </row>
    <row r="255" spans="15:15">
      <c r="O255" s="227"/>
    </row>
    <row r="256" spans="15:15">
      <c r="O256" s="227"/>
    </row>
    <row r="257" spans="15:15">
      <c r="O257" s="227"/>
    </row>
    <row r="258" spans="15:15">
      <c r="O258" s="227"/>
    </row>
    <row r="259" spans="15:15">
      <c r="O259" s="227"/>
    </row>
    <row r="260" spans="15:15">
      <c r="O260" s="227"/>
    </row>
    <row r="261" spans="15:15">
      <c r="O261" s="227"/>
    </row>
    <row r="262" spans="15:15">
      <c r="O262" s="353"/>
    </row>
    <row r="263" spans="15:15">
      <c r="O263" s="227"/>
    </row>
    <row r="264" spans="15:15">
      <c r="O264" s="227"/>
    </row>
    <row r="265" spans="15:15">
      <c r="O265" s="227"/>
    </row>
    <row r="266" spans="15:15">
      <c r="O266" s="227"/>
    </row>
    <row r="267" spans="15:15">
      <c r="O267" s="227"/>
    </row>
    <row r="268" spans="15:15">
      <c r="O268" s="227"/>
    </row>
    <row r="269" spans="15:15">
      <c r="O269" s="227"/>
    </row>
    <row r="270" spans="15:15">
      <c r="O270" s="227"/>
    </row>
    <row r="271" spans="15:15">
      <c r="O271" s="227"/>
    </row>
    <row r="272" spans="15:15">
      <c r="O272" s="227"/>
    </row>
    <row r="273" spans="15:15">
      <c r="O273" s="227"/>
    </row>
    <row r="274" spans="15:15">
      <c r="O274" s="227"/>
    </row>
    <row r="275" spans="15:15">
      <c r="O275" s="227"/>
    </row>
    <row r="276" spans="15:15">
      <c r="O276" s="227"/>
    </row>
    <row r="277" spans="15:15">
      <c r="O277" s="227"/>
    </row>
    <row r="278" spans="15:15">
      <c r="O278" s="227"/>
    </row>
    <row r="279" spans="15:15">
      <c r="O279" s="227"/>
    </row>
    <row r="280" spans="15:15">
      <c r="O280" s="227"/>
    </row>
    <row r="281" spans="15:15">
      <c r="O281" s="227"/>
    </row>
    <row r="282" spans="15:15">
      <c r="O282" s="227"/>
    </row>
    <row r="283" spans="15:15">
      <c r="O283" s="227"/>
    </row>
    <row r="284" spans="15:15">
      <c r="O284" s="227"/>
    </row>
    <row r="285" spans="15:15">
      <c r="O285" s="227"/>
    </row>
    <row r="286" spans="15:15">
      <c r="O286" s="227"/>
    </row>
    <row r="287" spans="15:15">
      <c r="O287" s="227"/>
    </row>
    <row r="288" spans="15:15">
      <c r="O288" s="227"/>
    </row>
    <row r="289" spans="15:15">
      <c r="O289" s="227"/>
    </row>
    <row r="290" spans="15:15">
      <c r="O290" s="227"/>
    </row>
  </sheetData>
  <phoneticPr fontId="14" type="noConversion"/>
  <conditionalFormatting sqref="CE3:CF19 CE222:CF225">
    <cfRule type="cellIs" dxfId="3" priority="3" operator="greaterThan">
      <formula>TODAY()</formula>
    </cfRule>
  </conditionalFormatting>
  <conditionalFormatting sqref="CE21:CF26 CE28:CF30 CE32:CF57 CE59:CF59">
    <cfRule type="cellIs" dxfId="2" priority="4" operator="greaterThan">
      <formula>TODAY()</formula>
    </cfRule>
  </conditionalFormatting>
  <conditionalFormatting sqref="CE63:CF220">
    <cfRule type="cellIs" dxfId="1" priority="1" operator="greaterThan">
      <formula>TODAY()</formula>
    </cfRule>
  </conditionalFormatting>
  <conditionalFormatting sqref="CE228:CF229">
    <cfRule type="cellIs" dxfId="0" priority="2" operator="greaterThan">
      <formula>TODAY()</formula>
    </cfRule>
  </conditionalFormatting>
  <hyperlinks>
    <hyperlink ref="O15" r:id="rId1" xr:uid="{50FDF63F-6AC7-41F5-8D0E-5DF04C807983}"/>
    <hyperlink ref="O24" r:id="rId2" xr:uid="{C79C1300-BD35-4541-9BF0-EE4874313DE4}"/>
    <hyperlink ref="O23" r:id="rId3" xr:uid="{38FBBD7B-05FD-4CDF-BF87-C591C2B855AC}"/>
    <hyperlink ref="O18" r:id="rId4" xr:uid="{6AE1A9BD-99D2-4466-927D-A45602B52DA9}"/>
    <hyperlink ref="O22" r:id="rId5" xr:uid="{BAE08B27-DBD1-4922-9C33-68F1768AA34D}"/>
    <hyperlink ref="O19" r:id="rId6" xr:uid="{3D7DA3EF-8399-4A09-AFFC-095F07391AD0}"/>
    <hyperlink ref="O166" r:id="rId7" xr:uid="{AC550813-9637-4003-B972-18BF72620319}"/>
    <hyperlink ref="O165" r:id="rId8" xr:uid="{0773A55F-9B27-4EA4-B6CC-1A146F46BC8C}"/>
    <hyperlink ref="O159" r:id="rId9" xr:uid="{125FEE2B-BD1A-4350-BBF9-8ADEE0AFAEAA}"/>
    <hyperlink ref="O44" r:id="rId10" xr:uid="{0C0566E8-70F7-4174-BFFC-0CF54BDDA102}"/>
    <hyperlink ref="O170" r:id="rId11" xr:uid="{0F2581FD-7B2B-4567-BBC3-A8638FBBD70D}"/>
    <hyperlink ref="O129" r:id="rId12" xr:uid="{9848A4AC-10E9-4D31-8BC9-825755B12E41}"/>
    <hyperlink ref="O60" r:id="rId13" xr:uid="{B3F1AD0A-C827-4AD9-8508-A9A663C6A870}"/>
    <hyperlink ref="O111" r:id="rId14" xr:uid="{104DF549-8DE3-4543-AD7B-DC68E4E3401F}"/>
    <hyperlink ref="O171" r:id="rId15" display="mailto:winrise@cnthoth.com" xr:uid="{29E0B137-D231-46AB-A6E5-5824CA7C4733}"/>
    <hyperlink ref="O173" r:id="rId16" xr:uid="{5DD3B61F-6DAA-4431-9A19-19FD3E4C42A8}"/>
    <hyperlink ref="O175" r:id="rId17" xr:uid="{BEAFB2E6-2727-439E-94FA-1E7319C5AC86}"/>
    <hyperlink ref="O174" r:id="rId18" xr:uid="{5CB15861-71FF-486D-9172-C2C6E6FA8759}"/>
    <hyperlink ref="O176" r:id="rId19" xr:uid="{28F9C5DB-17F4-4079-B0AA-0CC79D4BDCCC}"/>
    <hyperlink ref="O172" r:id="rId20" display="mailto:pioneer@cnthoth.com" xr:uid="{2E144884-59E5-487E-B6ED-B05DEFF2B85D}"/>
    <hyperlink ref="O88" r:id="rId21" xr:uid="{48FBB0C0-B413-44D9-A73A-0DCDDE10FF09}"/>
    <hyperlink ref="O164" r:id="rId22" xr:uid="{1CB4CF1E-E346-4683-9C62-91FA904D787C}"/>
    <hyperlink ref="O139" r:id="rId23" xr:uid="{A12AA3E3-DB8F-46FA-99F1-4B295803C6EB}"/>
    <hyperlink ref="O177" r:id="rId24" xr:uid="{0E1F1D86-3E6A-41AA-AAB2-398EE2E55875}"/>
    <hyperlink ref="O182" r:id="rId25" xr:uid="{1FE8574E-BDF2-4866-A4C0-1E60F306B84C}"/>
    <hyperlink ref="O7" r:id="rId26" xr:uid="{9EFD5E27-1581-4BEB-A042-70C3F4550747}"/>
    <hyperlink ref="O65" r:id="rId27" xr:uid="{318DAB46-449C-4A26-9A96-5C2AF19C63FF}"/>
    <hyperlink ref="O186" r:id="rId28" xr:uid="{D1097E3A-A36E-4F47-8167-2377518EBF52}"/>
    <hyperlink ref="O183" r:id="rId29" display="yang266@c nthoth.com" xr:uid="{5936DD74-CC0E-4A27-80FD-72389348B97D}"/>
    <hyperlink ref="O142" r:id="rId30" xr:uid="{0E6414D0-1924-469F-85ED-431106767E40}"/>
    <hyperlink ref="O8" r:id="rId31" xr:uid="{C3374D98-F7B7-4B06-A344-04F3B4527899}"/>
    <hyperlink ref="O20" r:id="rId32" xr:uid="{3AB86ACC-8EB1-407E-8C19-1C72E76A88AC}"/>
    <hyperlink ref="O188" r:id="rId33" xr:uid="{61CD8084-760D-40A3-9486-916F7F5E9271}"/>
    <hyperlink ref="O187" r:id="rId34" xr:uid="{CCE28B7D-87DF-4C1C-8A9B-7F5C1D36B772}"/>
    <hyperlink ref="O185" r:id="rId35" display="everday@cnthtoh.com" xr:uid="{C90B7A42-260B-40E8-8558-34F74ABE0392}"/>
    <hyperlink ref="O189" r:id="rId36" xr:uid="{48DD8632-4C45-4D75-8C28-289322059449}"/>
    <hyperlink ref="O16" r:id="rId37" xr:uid="{7CCF3324-0739-4641-AE04-24690799A927}"/>
    <hyperlink ref="O191" r:id="rId38" xr:uid="{4DF83A73-94BC-4AC5-8125-36BF800CDE7F}"/>
    <hyperlink ref="O192" r:id="rId39" xr:uid="{EE8465BD-CBC0-4DBE-9BD0-8FDEE57AF5E0}"/>
    <hyperlink ref="O193" r:id="rId40" xr:uid="{1D618879-DC01-442D-9DC3-75B0DBD2B1FF}"/>
    <hyperlink ref="O194" r:id="rId41" xr:uid="{38B95995-5D2B-4AD3-B524-857044AFA1F2}"/>
    <hyperlink ref="O195" r:id="rId42" xr:uid="{A457F083-A0C0-4796-BE44-C1C249255EE0}"/>
    <hyperlink ref="O196" r:id="rId43" xr:uid="{CEAE13B0-7911-4F52-877C-75C7752072E7}"/>
    <hyperlink ref="O190" r:id="rId44" xr:uid="{4D163AA4-FBCF-4C87-B871-6294A6036CE4}"/>
    <hyperlink ref="O197" r:id="rId45" xr:uid="{CAF957EC-A20D-45F9-8BAC-77726E789A4A}"/>
    <hyperlink ref="O199" r:id="rId46" xr:uid="{6C5795FF-4911-4C97-A5F1-5D6BBA1F845D}"/>
    <hyperlink ref="O200" r:id="rId47" xr:uid="{26767D44-7F34-4003-B0F4-C9B6274D123B}"/>
    <hyperlink ref="O201" r:id="rId48" xr:uid="{EF77DF78-F822-48E9-9D20-4D91BF56C173}"/>
    <hyperlink ref="O202" r:id="rId49" xr:uid="{E2E98692-9478-45C7-8327-74038D1FC506}"/>
    <hyperlink ref="O205" r:id="rId50" xr:uid="{780B281F-CA39-40A2-915E-6D98B192451F}"/>
    <hyperlink ref="O204" r:id="rId51" xr:uid="{C26B6B9D-067C-4F77-B872-57F853AFFE54}"/>
    <hyperlink ref="O203" r:id="rId52" xr:uid="{7F4E4683-0E56-462B-BD3F-A913AAF8840A}"/>
    <hyperlink ref="O17" r:id="rId53" xr:uid="{6A78BEB8-7E0B-4188-A1DD-3078BC460FC0}"/>
    <hyperlink ref="O198" r:id="rId54" xr:uid="{6019BCE6-F9EA-402C-B183-8F5C4D43062F}"/>
    <hyperlink ref="O208" r:id="rId55" xr:uid="{6255534C-4426-4254-BBA7-97F892800C49}"/>
    <hyperlink ref="O206" r:id="rId56" xr:uid="{56AF947E-A855-4106-B25C-248275410473}"/>
    <hyperlink ref="O207" r:id="rId57" xr:uid="{9B53AAD2-4D82-4BCB-B1A1-F334275ABB05}"/>
    <hyperlink ref="O211" r:id="rId58" xr:uid="{EB6FC0C7-8AE9-46DC-824E-B4257783A320}"/>
    <hyperlink ref="O209" r:id="rId59" xr:uid="{76E00FCB-8FC8-4BB5-A92A-8D9FABD68F81}"/>
    <hyperlink ref="O210" r:id="rId60" xr:uid="{783080F5-AD45-4468-A922-59F3D1CE345A}"/>
    <hyperlink ref="O168" r:id="rId61" xr:uid="{B2A20895-1A39-49ED-85F1-74E3749FFC95}"/>
    <hyperlink ref="O212" r:id="rId62" xr:uid="{9F3C5973-A72E-40FA-B21E-3B5D4FD5F593}"/>
    <hyperlink ref="O12" r:id="rId63" xr:uid="{FC1B9854-531A-4D57-AE8F-2F54AB319FFE}"/>
    <hyperlink ref="O13" r:id="rId64" xr:uid="{07B97437-054E-4BF6-955E-A7FDBC1E91C4}"/>
    <hyperlink ref="O14" r:id="rId65" xr:uid="{BEB11DAC-5343-4754-A1F3-867D5EDCD40F}"/>
    <hyperlink ref="O213" r:id="rId66" xr:uid="{4DCCB3BD-815E-427D-A463-D65E69541E80}"/>
    <hyperlink ref="O11" r:id="rId67" xr:uid="{21D159A0-588C-4C82-AFC1-B3A70B9C8C82}"/>
    <hyperlink ref="O214" r:id="rId68" xr:uid="{E7A1FFBE-A13D-49E6-9C27-DDD38B058F9E}"/>
    <hyperlink ref="O215" r:id="rId69" xr:uid="{BA17B204-7CB9-4E38-B955-7192D4D95529}"/>
    <hyperlink ref="O57" r:id="rId70" xr:uid="{63311A7D-E6F3-42B2-8751-17683C01F1BF}"/>
    <hyperlink ref="O216" r:id="rId71" xr:uid="{2DF5CDF0-7FAC-4DC7-9258-5B628A1AF9CC}"/>
    <hyperlink ref="O10" r:id="rId72" xr:uid="{54D2B4B9-D1D0-45A3-8E7C-BF49F813CFEB}"/>
    <hyperlink ref="O219" r:id="rId73" xr:uid="{A9851CC0-A5F1-4AAD-A5E2-D8588D4575AD}"/>
    <hyperlink ref="O218" r:id="rId74" xr:uid="{EAFE3E18-B400-4647-9616-6F627F0165C7}"/>
    <hyperlink ref="O223" r:id="rId75" xr:uid="{D59F3CB9-C8C4-4DBA-9DBB-48C1CC2B0C02}"/>
    <hyperlink ref="O224" r:id="rId76" xr:uid="{DB5675EA-F899-4B54-ACA5-4ABEDF5BEF8F}"/>
    <hyperlink ref="O217" r:id="rId77" xr:uid="{0E111D68-17BE-4253-A8D9-E970C162BA2B}"/>
  </hyperlinks>
  <pageMargins left="0.7" right="0.7" top="0.75" bottom="0.75" header="0.3" footer="0.3"/>
  <pageSetup paperSize="9" orientation="portrait" horizontalDpi="1200" verticalDpi="1200" r:id="rId78"/>
  <legacyDrawing r:id="rId7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9D66B-5BDE-4E0F-A40D-8DE8B2F040C2}">
  <dimension ref="A1:S39"/>
  <sheetViews>
    <sheetView workbookViewId="0"/>
  </sheetViews>
  <sheetFormatPr defaultRowHeight="17.399999999999999"/>
  <sheetData>
    <row r="1" spans="1:19">
      <c r="A1" s="413" t="s">
        <v>37</v>
      </c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4"/>
      <c r="M1" s="414"/>
      <c r="N1" s="414"/>
      <c r="O1" s="414"/>
      <c r="P1" s="414"/>
      <c r="Q1" s="414"/>
      <c r="R1" s="414"/>
      <c r="S1" s="415"/>
    </row>
    <row r="2" spans="1:19">
      <c r="A2" s="410" t="s">
        <v>38</v>
      </c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2"/>
    </row>
    <row r="3" spans="1:19">
      <c r="A3" s="401" t="s">
        <v>2809</v>
      </c>
      <c r="B3" s="402"/>
      <c r="C3" s="402"/>
      <c r="D3" s="402"/>
      <c r="E3" s="402"/>
      <c r="F3" s="402"/>
      <c r="G3" s="402"/>
      <c r="H3" s="402"/>
      <c r="I3" s="402"/>
      <c r="J3" s="402"/>
      <c r="K3" s="402"/>
      <c r="L3" s="402"/>
      <c r="M3" s="402"/>
      <c r="N3" s="402"/>
      <c r="O3" s="402"/>
      <c r="P3" s="402"/>
      <c r="Q3" s="402"/>
      <c r="R3" s="402"/>
      <c r="S3" s="403"/>
    </row>
    <row r="4" spans="1:19">
      <c r="A4" s="401" t="s">
        <v>40</v>
      </c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402"/>
      <c r="P4" s="402"/>
      <c r="Q4" s="402"/>
      <c r="R4" s="402"/>
      <c r="S4" s="403"/>
    </row>
    <row r="5" spans="1:19">
      <c r="A5" s="404" t="s">
        <v>41</v>
      </c>
      <c r="B5" s="405"/>
      <c r="C5" s="405"/>
      <c r="D5" s="405"/>
      <c r="E5" s="405"/>
      <c r="F5" s="405"/>
      <c r="G5" s="405"/>
      <c r="H5" s="405"/>
      <c r="I5" s="405"/>
      <c r="J5" s="405"/>
      <c r="K5" s="405"/>
      <c r="L5" s="405"/>
      <c r="M5" s="405"/>
      <c r="N5" s="405"/>
      <c r="O5" s="405"/>
      <c r="P5" s="405"/>
      <c r="Q5" s="405"/>
      <c r="R5" s="405"/>
      <c r="S5" s="406"/>
    </row>
    <row r="6" spans="1:19">
      <c r="A6" s="404" t="s">
        <v>42</v>
      </c>
      <c r="B6" s="405"/>
      <c r="C6" s="405"/>
      <c r="D6" s="405"/>
      <c r="E6" s="405"/>
      <c r="F6" s="405"/>
      <c r="G6" s="405"/>
      <c r="H6" s="405"/>
      <c r="I6" s="405"/>
      <c r="J6" s="405"/>
      <c r="K6" s="405"/>
      <c r="L6" s="405"/>
      <c r="M6" s="405"/>
      <c r="N6" s="405"/>
      <c r="O6" s="405"/>
      <c r="P6" s="405"/>
      <c r="Q6" s="405"/>
      <c r="R6" s="405"/>
      <c r="S6" s="406"/>
    </row>
    <row r="7" spans="1:19">
      <c r="A7" s="404" t="s">
        <v>43</v>
      </c>
      <c r="B7" s="405"/>
      <c r="C7" s="405"/>
      <c r="D7" s="405"/>
      <c r="E7" s="405"/>
      <c r="F7" s="405"/>
      <c r="G7" s="405"/>
      <c r="H7" s="405"/>
      <c r="I7" s="405"/>
      <c r="J7" s="405"/>
      <c r="K7" s="405"/>
      <c r="L7" s="405"/>
      <c r="M7" s="405"/>
      <c r="N7" s="405"/>
      <c r="O7" s="405"/>
      <c r="P7" s="405"/>
      <c r="Q7" s="405"/>
      <c r="R7" s="405"/>
      <c r="S7" s="406"/>
    </row>
    <row r="9" spans="1:19">
      <c r="A9" s="407" t="s">
        <v>44</v>
      </c>
      <c r="B9" s="408"/>
      <c r="C9" s="408"/>
      <c r="D9" s="408"/>
      <c r="E9" s="408"/>
      <c r="F9" s="408"/>
      <c r="G9" s="408"/>
      <c r="H9" s="408"/>
      <c r="I9" s="408"/>
      <c r="J9" s="408"/>
      <c r="K9" s="408"/>
      <c r="L9" s="408"/>
      <c r="M9" s="408"/>
      <c r="N9" s="408"/>
      <c r="O9" s="408"/>
      <c r="P9" s="408"/>
      <c r="Q9" s="408"/>
      <c r="R9" s="408"/>
      <c r="S9" s="409"/>
    </row>
    <row r="10" spans="1:19">
      <c r="A10" s="410" t="s">
        <v>45</v>
      </c>
      <c r="B10" s="411"/>
      <c r="C10" s="411"/>
      <c r="D10" s="411"/>
      <c r="E10" s="411"/>
      <c r="F10" s="411"/>
      <c r="G10" s="411"/>
      <c r="H10" s="411"/>
      <c r="I10" s="411"/>
      <c r="J10" s="411"/>
      <c r="K10" s="411"/>
      <c r="L10" s="411"/>
      <c r="M10" s="411"/>
      <c r="N10" s="411"/>
      <c r="O10" s="411"/>
      <c r="P10" s="411"/>
      <c r="Q10" s="411"/>
      <c r="R10" s="411"/>
      <c r="S10" s="412"/>
    </row>
    <row r="11" spans="1:19">
      <c r="A11" s="401" t="s">
        <v>39</v>
      </c>
      <c r="B11" s="402"/>
      <c r="C11" s="402"/>
      <c r="D11" s="402"/>
      <c r="E11" s="402"/>
      <c r="F11" s="402"/>
      <c r="G11" s="402"/>
      <c r="H11" s="402"/>
      <c r="I11" s="402"/>
      <c r="J11" s="402"/>
      <c r="K11" s="402"/>
      <c r="L11" s="402"/>
      <c r="M11" s="402"/>
      <c r="N11" s="402"/>
      <c r="O11" s="402"/>
      <c r="P11" s="402"/>
      <c r="Q11" s="402"/>
      <c r="R11" s="402"/>
      <c r="S11" s="403"/>
    </row>
    <row r="12" spans="1:19">
      <c r="A12" s="401" t="s">
        <v>46</v>
      </c>
      <c r="B12" s="402"/>
      <c r="C12" s="402"/>
      <c r="D12" s="402"/>
      <c r="E12" s="402"/>
      <c r="F12" s="402"/>
      <c r="G12" s="402"/>
      <c r="H12" s="402"/>
      <c r="I12" s="402"/>
      <c r="J12" s="402"/>
      <c r="K12" s="402"/>
      <c r="L12" s="402"/>
      <c r="M12" s="402"/>
      <c r="N12" s="402"/>
      <c r="O12" s="402"/>
      <c r="P12" s="402"/>
      <c r="Q12" s="402"/>
      <c r="R12" s="402"/>
      <c r="S12" s="403"/>
    </row>
    <row r="13" spans="1:19">
      <c r="A13" s="404" t="s">
        <v>41</v>
      </c>
      <c r="B13" s="405"/>
      <c r="C13" s="405"/>
      <c r="D13" s="405"/>
      <c r="E13" s="405"/>
      <c r="F13" s="405"/>
      <c r="G13" s="405"/>
      <c r="H13" s="405"/>
      <c r="I13" s="405"/>
      <c r="J13" s="405"/>
      <c r="K13" s="405"/>
      <c r="L13" s="405"/>
      <c r="M13" s="405"/>
      <c r="N13" s="405"/>
      <c r="O13" s="405"/>
      <c r="P13" s="405"/>
      <c r="Q13" s="405"/>
      <c r="R13" s="405"/>
      <c r="S13" s="406"/>
    </row>
    <row r="14" spans="1:19">
      <c r="A14" s="404" t="s">
        <v>47</v>
      </c>
      <c r="B14" s="405"/>
      <c r="C14" s="405"/>
      <c r="D14" s="405"/>
      <c r="E14" s="405"/>
      <c r="F14" s="405"/>
      <c r="G14" s="405"/>
      <c r="H14" s="405"/>
      <c r="I14" s="405"/>
      <c r="J14" s="405"/>
      <c r="K14" s="405"/>
      <c r="L14" s="405"/>
      <c r="M14" s="405"/>
      <c r="N14" s="405"/>
      <c r="O14" s="405"/>
      <c r="P14" s="405"/>
      <c r="Q14" s="405"/>
      <c r="R14" s="405"/>
      <c r="S14" s="406"/>
    </row>
    <row r="15" spans="1:19">
      <c r="A15" s="404" t="s">
        <v>48</v>
      </c>
      <c r="B15" s="405"/>
      <c r="C15" s="405"/>
      <c r="D15" s="405"/>
      <c r="E15" s="405"/>
      <c r="F15" s="405"/>
      <c r="G15" s="405"/>
      <c r="H15" s="405"/>
      <c r="I15" s="405"/>
      <c r="J15" s="405"/>
      <c r="K15" s="405"/>
      <c r="L15" s="405"/>
      <c r="M15" s="405"/>
      <c r="N15" s="405"/>
      <c r="O15" s="405"/>
      <c r="P15" s="405"/>
      <c r="Q15" s="405"/>
      <c r="R15" s="405"/>
      <c r="S15" s="406"/>
    </row>
    <row r="17" spans="1:19">
      <c r="A17" s="407" t="s">
        <v>49</v>
      </c>
      <c r="B17" s="408"/>
      <c r="C17" s="408"/>
      <c r="D17" s="408"/>
      <c r="E17" s="408"/>
      <c r="F17" s="408"/>
      <c r="G17" s="408"/>
      <c r="H17" s="408"/>
      <c r="I17" s="408"/>
      <c r="J17" s="408"/>
      <c r="K17" s="408"/>
      <c r="L17" s="408"/>
      <c r="M17" s="408"/>
      <c r="N17" s="408"/>
      <c r="O17" s="408"/>
      <c r="P17" s="408"/>
      <c r="Q17" s="408"/>
      <c r="R17" s="408"/>
      <c r="S17" s="409"/>
    </row>
    <row r="18" spans="1:19">
      <c r="A18" s="410" t="s">
        <v>50</v>
      </c>
      <c r="B18" s="411"/>
      <c r="C18" s="411"/>
      <c r="D18" s="411"/>
      <c r="E18" s="411"/>
      <c r="F18" s="411"/>
      <c r="G18" s="411"/>
      <c r="H18" s="411"/>
      <c r="I18" s="411"/>
      <c r="J18" s="411"/>
      <c r="K18" s="411"/>
      <c r="L18" s="411"/>
      <c r="M18" s="411"/>
      <c r="N18" s="411"/>
      <c r="O18" s="411"/>
      <c r="P18" s="411"/>
      <c r="Q18" s="411"/>
      <c r="R18" s="411"/>
      <c r="S18" s="412"/>
    </row>
    <row r="19" spans="1:19">
      <c r="A19" s="401" t="s">
        <v>39</v>
      </c>
      <c r="B19" s="402"/>
      <c r="C19" s="402"/>
      <c r="D19" s="402"/>
      <c r="E19" s="402"/>
      <c r="F19" s="402"/>
      <c r="G19" s="402"/>
      <c r="H19" s="402"/>
      <c r="I19" s="402"/>
      <c r="J19" s="402"/>
      <c r="K19" s="402"/>
      <c r="L19" s="402"/>
      <c r="M19" s="402"/>
      <c r="N19" s="402"/>
      <c r="O19" s="402"/>
      <c r="P19" s="402"/>
      <c r="Q19" s="402"/>
      <c r="R19" s="402"/>
      <c r="S19" s="403"/>
    </row>
    <row r="20" spans="1:19">
      <c r="A20" s="401" t="s">
        <v>46</v>
      </c>
      <c r="B20" s="402"/>
      <c r="C20" s="402"/>
      <c r="D20" s="402"/>
      <c r="E20" s="402"/>
      <c r="F20" s="402"/>
      <c r="G20" s="402"/>
      <c r="H20" s="402"/>
      <c r="I20" s="402"/>
      <c r="J20" s="402"/>
      <c r="K20" s="402"/>
      <c r="L20" s="402"/>
      <c r="M20" s="402"/>
      <c r="N20" s="402"/>
      <c r="O20" s="402"/>
      <c r="P20" s="402"/>
      <c r="Q20" s="402"/>
      <c r="R20" s="402"/>
      <c r="S20" s="403"/>
    </row>
    <row r="21" spans="1:19">
      <c r="A21" s="404" t="s">
        <v>41</v>
      </c>
      <c r="B21" s="405"/>
      <c r="C21" s="405"/>
      <c r="D21" s="405"/>
      <c r="E21" s="405"/>
      <c r="F21" s="405"/>
      <c r="G21" s="405"/>
      <c r="H21" s="405"/>
      <c r="I21" s="405"/>
      <c r="J21" s="405"/>
      <c r="K21" s="405"/>
      <c r="L21" s="405"/>
      <c r="M21" s="405"/>
      <c r="N21" s="405"/>
      <c r="O21" s="405"/>
      <c r="P21" s="405"/>
      <c r="Q21" s="405"/>
      <c r="R21" s="405"/>
      <c r="S21" s="406"/>
    </row>
    <row r="22" spans="1:19">
      <c r="A22" s="404" t="s">
        <v>47</v>
      </c>
      <c r="B22" s="405"/>
      <c r="C22" s="405"/>
      <c r="D22" s="405"/>
      <c r="E22" s="405"/>
      <c r="F22" s="405"/>
      <c r="G22" s="405"/>
      <c r="H22" s="405"/>
      <c r="I22" s="405"/>
      <c r="J22" s="405"/>
      <c r="K22" s="405"/>
      <c r="L22" s="405"/>
      <c r="M22" s="405"/>
      <c r="N22" s="405"/>
      <c r="O22" s="405"/>
      <c r="P22" s="405"/>
      <c r="Q22" s="405"/>
      <c r="R22" s="405"/>
      <c r="S22" s="406"/>
    </row>
    <row r="23" spans="1:19">
      <c r="A23" s="404" t="s">
        <v>48</v>
      </c>
      <c r="B23" s="405"/>
      <c r="C23" s="405"/>
      <c r="D23" s="405"/>
      <c r="E23" s="405"/>
      <c r="F23" s="405"/>
      <c r="G23" s="405"/>
      <c r="H23" s="405"/>
      <c r="I23" s="405"/>
      <c r="J23" s="405"/>
      <c r="K23" s="405"/>
      <c r="L23" s="405"/>
      <c r="M23" s="405"/>
      <c r="N23" s="405"/>
      <c r="O23" s="405"/>
      <c r="P23" s="405"/>
      <c r="Q23" s="405"/>
      <c r="R23" s="405"/>
      <c r="S23" s="406"/>
    </row>
    <row r="25" spans="1:19">
      <c r="A25" s="407" t="s">
        <v>51</v>
      </c>
      <c r="B25" s="408"/>
      <c r="C25" s="408"/>
      <c r="D25" s="408"/>
      <c r="E25" s="408"/>
      <c r="F25" s="408"/>
      <c r="G25" s="408"/>
      <c r="H25" s="408"/>
      <c r="I25" s="408"/>
      <c r="J25" s="408"/>
      <c r="K25" s="408"/>
      <c r="L25" s="408"/>
      <c r="M25" s="408"/>
      <c r="N25" s="408"/>
      <c r="O25" s="408"/>
      <c r="P25" s="408"/>
      <c r="Q25" s="408"/>
      <c r="R25" s="408"/>
      <c r="S25" s="409"/>
    </row>
    <row r="26" spans="1:19">
      <c r="A26" s="410" t="s">
        <v>52</v>
      </c>
      <c r="B26" s="411"/>
      <c r="C26" s="411"/>
      <c r="D26" s="411"/>
      <c r="E26" s="411"/>
      <c r="F26" s="411"/>
      <c r="G26" s="411"/>
      <c r="H26" s="411"/>
      <c r="I26" s="411"/>
      <c r="J26" s="411"/>
      <c r="K26" s="411"/>
      <c r="L26" s="411"/>
      <c r="M26" s="411"/>
      <c r="N26" s="411"/>
      <c r="O26" s="411"/>
      <c r="P26" s="411"/>
      <c r="Q26" s="411"/>
      <c r="R26" s="411"/>
      <c r="S26" s="412"/>
    </row>
    <row r="27" spans="1:19">
      <c r="A27" s="401" t="s">
        <v>39</v>
      </c>
      <c r="B27" s="402"/>
      <c r="C27" s="402"/>
      <c r="D27" s="402"/>
      <c r="E27" s="402"/>
      <c r="F27" s="402"/>
      <c r="G27" s="402"/>
      <c r="H27" s="402"/>
      <c r="I27" s="402"/>
      <c r="J27" s="402"/>
      <c r="K27" s="402"/>
      <c r="L27" s="402"/>
      <c r="M27" s="402"/>
      <c r="N27" s="402"/>
      <c r="O27" s="402"/>
      <c r="P27" s="402"/>
      <c r="Q27" s="402"/>
      <c r="R27" s="402"/>
      <c r="S27" s="403"/>
    </row>
    <row r="28" spans="1:19">
      <c r="A28" s="401" t="s">
        <v>53</v>
      </c>
      <c r="B28" s="402"/>
      <c r="C28" s="402"/>
      <c r="D28" s="402"/>
      <c r="E28" s="402"/>
      <c r="F28" s="402"/>
      <c r="G28" s="402"/>
      <c r="H28" s="402"/>
      <c r="I28" s="402"/>
      <c r="J28" s="402"/>
      <c r="K28" s="402"/>
      <c r="L28" s="402"/>
      <c r="M28" s="402"/>
      <c r="N28" s="402"/>
      <c r="O28" s="402"/>
      <c r="P28" s="402"/>
      <c r="Q28" s="402"/>
      <c r="R28" s="402"/>
      <c r="S28" s="403"/>
    </row>
    <row r="29" spans="1:19">
      <c r="A29" s="404" t="s">
        <v>54</v>
      </c>
      <c r="B29" s="405"/>
      <c r="C29" s="405"/>
      <c r="D29" s="405"/>
      <c r="E29" s="405"/>
      <c r="F29" s="405"/>
      <c r="G29" s="405"/>
      <c r="H29" s="405"/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6"/>
    </row>
    <row r="30" spans="1:19">
      <c r="A30" s="404" t="s">
        <v>42</v>
      </c>
      <c r="B30" s="405"/>
      <c r="C30" s="405"/>
      <c r="D30" s="405"/>
      <c r="E30" s="405"/>
      <c r="F30" s="405"/>
      <c r="G30" s="405"/>
      <c r="H30" s="405"/>
      <c r="I30" s="405"/>
      <c r="J30" s="405"/>
      <c r="K30" s="405"/>
      <c r="L30" s="405"/>
      <c r="M30" s="405"/>
      <c r="N30" s="405"/>
      <c r="O30" s="405"/>
      <c r="P30" s="405"/>
      <c r="Q30" s="405"/>
      <c r="R30" s="405"/>
      <c r="S30" s="406"/>
    </row>
    <row r="31" spans="1:19">
      <c r="A31" s="404" t="s">
        <v>55</v>
      </c>
      <c r="B31" s="405"/>
      <c r="C31" s="405"/>
      <c r="D31" s="405"/>
      <c r="E31" s="405"/>
      <c r="F31" s="405"/>
      <c r="G31" s="405"/>
      <c r="H31" s="405"/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6"/>
    </row>
    <row r="33" spans="1:19">
      <c r="A33" s="407" t="s">
        <v>56</v>
      </c>
      <c r="B33" s="408"/>
      <c r="C33" s="408"/>
      <c r="D33" s="408"/>
      <c r="E33" s="408"/>
      <c r="F33" s="408"/>
      <c r="G33" s="408"/>
      <c r="H33" s="408"/>
      <c r="I33" s="408"/>
      <c r="J33" s="408"/>
      <c r="K33" s="408"/>
      <c r="L33" s="408"/>
      <c r="M33" s="408"/>
      <c r="N33" s="408"/>
      <c r="O33" s="408"/>
      <c r="P33" s="408"/>
      <c r="Q33" s="408"/>
      <c r="R33" s="408"/>
      <c r="S33" s="409"/>
    </row>
    <row r="34" spans="1:19">
      <c r="A34" s="410" t="s">
        <v>57</v>
      </c>
      <c r="B34" s="411"/>
      <c r="C34" s="411"/>
      <c r="D34" s="411"/>
      <c r="E34" s="411"/>
      <c r="F34" s="411"/>
      <c r="G34" s="411"/>
      <c r="H34" s="411"/>
      <c r="I34" s="411"/>
      <c r="J34" s="411"/>
      <c r="K34" s="411"/>
      <c r="L34" s="411"/>
      <c r="M34" s="411"/>
      <c r="N34" s="411"/>
      <c r="O34" s="411"/>
      <c r="P34" s="411"/>
      <c r="Q34" s="411"/>
      <c r="R34" s="411"/>
      <c r="S34" s="412"/>
    </row>
    <row r="35" spans="1:19">
      <c r="A35" s="401" t="s">
        <v>39</v>
      </c>
      <c r="B35" s="402"/>
      <c r="C35" s="402"/>
      <c r="D35" s="402"/>
      <c r="E35" s="402"/>
      <c r="F35" s="402"/>
      <c r="G35" s="402"/>
      <c r="H35" s="402"/>
      <c r="I35" s="402"/>
      <c r="J35" s="402"/>
      <c r="K35" s="402"/>
      <c r="L35" s="402"/>
      <c r="M35" s="402"/>
      <c r="N35" s="402"/>
      <c r="O35" s="402"/>
      <c r="P35" s="402"/>
      <c r="Q35" s="402"/>
      <c r="R35" s="402"/>
      <c r="S35" s="403"/>
    </row>
    <row r="36" spans="1:19">
      <c r="A36" s="401" t="s">
        <v>58</v>
      </c>
      <c r="B36" s="402"/>
      <c r="C36" s="402"/>
      <c r="D36" s="402"/>
      <c r="E36" s="402"/>
      <c r="F36" s="402"/>
      <c r="G36" s="402"/>
      <c r="H36" s="402"/>
      <c r="I36" s="402"/>
      <c r="J36" s="402"/>
      <c r="K36" s="402"/>
      <c r="L36" s="402"/>
      <c r="M36" s="402"/>
      <c r="N36" s="402"/>
      <c r="O36" s="402"/>
      <c r="P36" s="402"/>
      <c r="Q36" s="402"/>
      <c r="R36" s="402"/>
      <c r="S36" s="403"/>
    </row>
    <row r="37" spans="1:19">
      <c r="A37" s="404" t="s">
        <v>54</v>
      </c>
      <c r="B37" s="405"/>
      <c r="C37" s="405"/>
      <c r="D37" s="405"/>
      <c r="E37" s="405"/>
      <c r="F37" s="405"/>
      <c r="G37" s="405"/>
      <c r="H37" s="405"/>
      <c r="I37" s="405"/>
      <c r="J37" s="405"/>
      <c r="K37" s="405"/>
      <c r="L37" s="405"/>
      <c r="M37" s="405"/>
      <c r="N37" s="405"/>
      <c r="O37" s="405"/>
      <c r="P37" s="405"/>
      <c r="Q37" s="405"/>
      <c r="R37" s="405"/>
      <c r="S37" s="406"/>
    </row>
    <row r="38" spans="1:19">
      <c r="A38" s="404" t="s">
        <v>59</v>
      </c>
      <c r="B38" s="405"/>
      <c r="C38" s="405"/>
      <c r="D38" s="405"/>
      <c r="E38" s="405"/>
      <c r="F38" s="405"/>
      <c r="G38" s="405"/>
      <c r="H38" s="405"/>
      <c r="I38" s="405"/>
      <c r="J38" s="405"/>
      <c r="K38" s="405"/>
      <c r="L38" s="405"/>
      <c r="M38" s="405"/>
      <c r="N38" s="405"/>
      <c r="O38" s="405"/>
      <c r="P38" s="405"/>
      <c r="Q38" s="405"/>
      <c r="R38" s="405"/>
      <c r="S38" s="406"/>
    </row>
    <row r="39" spans="1:19">
      <c r="A39" s="404" t="s">
        <v>60</v>
      </c>
      <c r="B39" s="405"/>
      <c r="C39" s="405"/>
      <c r="D39" s="405"/>
      <c r="E39" s="405"/>
      <c r="F39" s="405"/>
      <c r="G39" s="405"/>
      <c r="H39" s="405"/>
      <c r="I39" s="405"/>
      <c r="J39" s="405"/>
      <c r="K39" s="405"/>
      <c r="L39" s="405"/>
      <c r="M39" s="405"/>
      <c r="N39" s="405"/>
      <c r="O39" s="405"/>
      <c r="P39" s="405"/>
      <c r="Q39" s="405"/>
      <c r="R39" s="405"/>
      <c r="S39" s="406"/>
    </row>
  </sheetData>
  <mergeCells count="35">
    <mergeCell ref="A6:S6"/>
    <mergeCell ref="A1:S1"/>
    <mergeCell ref="A2:S2"/>
    <mergeCell ref="A3:S3"/>
    <mergeCell ref="A4:S4"/>
    <mergeCell ref="A5:S5"/>
    <mergeCell ref="A20:S20"/>
    <mergeCell ref="A7:S7"/>
    <mergeCell ref="A9:S9"/>
    <mergeCell ref="A10:S10"/>
    <mergeCell ref="A11:S11"/>
    <mergeCell ref="A12:S12"/>
    <mergeCell ref="A13:S13"/>
    <mergeCell ref="A14:S14"/>
    <mergeCell ref="A15:S15"/>
    <mergeCell ref="A17:S17"/>
    <mergeCell ref="A18:S18"/>
    <mergeCell ref="A19:S19"/>
    <mergeCell ref="A34:S34"/>
    <mergeCell ref="A21:S21"/>
    <mergeCell ref="A22:S22"/>
    <mergeCell ref="A23:S23"/>
    <mergeCell ref="A25:S25"/>
    <mergeCell ref="A26:S26"/>
    <mergeCell ref="A27:S27"/>
    <mergeCell ref="A28:S28"/>
    <mergeCell ref="A29:S29"/>
    <mergeCell ref="A30:S30"/>
    <mergeCell ref="A31:S31"/>
    <mergeCell ref="A33:S33"/>
    <mergeCell ref="A35:S35"/>
    <mergeCell ref="A36:S36"/>
    <mergeCell ref="A37:S37"/>
    <mergeCell ref="A38:S38"/>
    <mergeCell ref="A39:S39"/>
  </mergeCells>
  <phoneticPr fontId="1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EDE567EECF552438A921F5EA88BDB5A" ma:contentTypeVersion="18" ma:contentTypeDescription="새 문서를 만듭니다." ma:contentTypeScope="" ma:versionID="36314c3f185c896a8c33b1ea49813ecd">
  <xsd:schema xmlns:xsd="http://www.w3.org/2001/XMLSchema" xmlns:xs="http://www.w3.org/2001/XMLSchema" xmlns:p="http://schemas.microsoft.com/office/2006/metadata/properties" xmlns:ns1="http://schemas.microsoft.com/sharepoint/v3" xmlns:ns2="7c5da91c-716d-4d19-9a05-c1bf6e12f6a1" xmlns:ns3="2d96d6ea-c5de-4c40-bc92-b1ab094ec47a" targetNamespace="http://schemas.microsoft.com/office/2006/metadata/properties" ma:root="true" ma:fieldsID="71d775ee102b07dea32047ca62761d67" ns1:_="" ns2:_="" ns3:_="">
    <xsd:import namespace="http://schemas.microsoft.com/sharepoint/v3"/>
    <xsd:import namespace="7c5da91c-716d-4d19-9a05-c1bf6e12f6a1"/>
    <xsd:import namespace="2d96d6ea-c5de-4c40-bc92-b1ab094ec4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통합 준수 정책 속성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통합 준수 정책 UI 작업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5da91c-716d-4d19-9a05-c1bf6e12f6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ff03d178-5140-4df7-9c0a-8516d1fab9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96d6ea-c5de-4c40-bc92-b1ab094ec47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f96acb8-8a96-4296-89b5-46cb97ddd370}" ma:internalName="TaxCatchAll" ma:showField="CatchAllData" ma:web="2d96d6ea-c5de-4c40-bc92-b1ab094ec4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5da91c-716d-4d19-9a05-c1bf6e12f6a1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TaxCatchAll xmlns="2d96d6ea-c5de-4c40-bc92-b1ab094ec47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AAB71F-5055-412C-AA72-211B6CE1B0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c5da91c-716d-4d19-9a05-c1bf6e12f6a1"/>
    <ds:schemaRef ds:uri="2d96d6ea-c5de-4c40-bc92-b1ab094ec4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59D7-816A-47BD-B663-AA43B6A2F1E2}">
  <ds:schemaRefs>
    <ds:schemaRef ds:uri="http://schemas.microsoft.com/office/2006/metadata/properties"/>
    <ds:schemaRef ds:uri="http://schemas.microsoft.com/office/infopath/2007/PartnerControls"/>
    <ds:schemaRef ds:uri="7c5da91c-716d-4d19-9a05-c1bf6e12f6a1"/>
    <ds:schemaRef ds:uri="http://schemas.microsoft.com/sharepoint/v3"/>
    <ds:schemaRef ds:uri="2d96d6ea-c5de-4c40-bc92-b1ab094ec47a"/>
  </ds:schemaRefs>
</ds:datastoreItem>
</file>

<file path=customXml/itemProps3.xml><?xml version="1.0" encoding="utf-8"?>
<ds:datastoreItem xmlns:ds="http://schemas.openxmlformats.org/officeDocument/2006/customXml" ds:itemID="{7536AC60-C58E-4F87-B6EC-BBEAA00733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별첨1</vt:lpstr>
      <vt:lpstr>검증_1</vt:lpstr>
      <vt:lpstr>인력현황_202604</vt:lpstr>
      <vt:lpstr>계산식_전인환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2024-11-06T06:01:21Z</dcterms:created>
  <dcterms:modified xsi:type="dcterms:W3CDTF">2026-05-19T06:03:10Z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0x0101001EDE567EECF552438A921F5EA88BDB5A</vt:lpwstr>
  </property>
  <property fmtid="{D5CDD505-2E9C-101B-9397-08002B2CF9AE}" pid="3" name="MediaServiceImageTags">
    <vt:lpwstr/>
  </property>
</Properties>
</file>